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hidePivotFieldList="1" defaultThemeVersion="124226"/>
  <xr:revisionPtr revIDLastSave="0" documentId="8_{D1EA24A1-F4C4-449F-8252-67247D9D825E}" xr6:coauthVersionLast="47" xr6:coauthVersionMax="47" xr10:uidLastSave="{00000000-0000-0000-0000-000000000000}"/>
  <bookViews>
    <workbookView xWindow="240" yWindow="15" windowWidth="16095" windowHeight="9660" firstSheet="5" activeTab="6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Raw_Data" sheetId="1" r:id="rId5"/>
    <sheet name="Sheet5 (2)" sheetId="7" r:id="rId6"/>
    <sheet name="Sheet5 (3)" sheetId="8" r:id="rId7"/>
    <sheet name="Sheet5" sheetId="6" r:id="rId8"/>
  </sheets>
  <definedNames>
    <definedName name="_xlnm._FilterDatabase" localSheetId="4" hidden="1">Raw_Data!$G$1:$P$1801</definedName>
    <definedName name="Slicer_Campaign">#N/A</definedName>
  </definedNames>
  <calcPr calcId="191028"/>
  <pivotCaches>
    <pivotCache cacheId="365" r:id="rId9"/>
    <pivotCache cacheId="369" r:id="rId10"/>
    <pivotCache cacheId="385" r:id="rId11"/>
  </pivotCaches>
  <extLs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8" l="1"/>
  <c r="C37" i="8"/>
  <c r="C36" i="8"/>
  <c r="C35" i="8"/>
  <c r="C34" i="8"/>
  <c r="K24" i="8"/>
  <c r="K23" i="8"/>
  <c r="K22" i="8"/>
  <c r="K21" i="8"/>
  <c r="K20" i="8"/>
  <c r="K19" i="8"/>
  <c r="K18" i="8"/>
  <c r="K17" i="8"/>
  <c r="N9" i="8"/>
  <c r="J9" i="8"/>
  <c r="B9" i="8"/>
  <c r="C38" i="7"/>
  <c r="C37" i="7"/>
  <c r="C36" i="7"/>
  <c r="C35" i="7"/>
  <c r="C34" i="7"/>
  <c r="K24" i="7"/>
  <c r="K23" i="7"/>
  <c r="K22" i="7"/>
  <c r="K21" i="7"/>
  <c r="K20" i="7"/>
  <c r="K19" i="7"/>
  <c r="K18" i="7"/>
  <c r="K17" i="7"/>
  <c r="N9" i="7"/>
  <c r="J9" i="7"/>
  <c r="B9" i="7"/>
  <c r="Q4" i="1" a="1"/>
  <c r="Q4" i="1"/>
  <c r="Q3" i="1"/>
  <c r="Q2" i="1"/>
  <c r="K24" i="6"/>
  <c r="K18" i="6"/>
  <c r="K19" i="6"/>
  <c r="K20" i="6"/>
  <c r="K21" i="6"/>
  <c r="K22" i="6"/>
  <c r="K23" i="6"/>
  <c r="K17" i="6"/>
  <c r="C34" i="6"/>
  <c r="C35" i="6"/>
  <c r="C36" i="6"/>
  <c r="C37" i="6"/>
  <c r="C38" i="6"/>
  <c r="N9" i="6"/>
  <c r="J9" i="6"/>
  <c r="B9" i="6"/>
  <c r="P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2" i="1"/>
  <c r="L3" i="1"/>
  <c r="O2" i="1"/>
  <c r="J2" i="1"/>
  <c r="L9" i="1"/>
  <c r="L8" i="1"/>
  <c r="L7" i="1"/>
  <c r="L6" i="1"/>
  <c r="L5" i="1"/>
  <c r="L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N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<sst xmlns="http://schemas.openxmlformats.org/spreadsheetml/2006/main" count="7465" uniqueCount="194">
  <si>
    <t>Month</t>
  </si>
  <si>
    <t>Sum of Amount-fixed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</si>
  <si>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</si>
  <si>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</si>
  <si>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</si>
  <si>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</si>
  <si>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</si>
  <si>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</si>
  <si>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</si>
  <si>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</si>
  <si>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</si>
  <si>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</si>
  <si>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</si>
  <si>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</si>
  <si>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</si>
  <si>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</si>
  <si>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</si>
  <si>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</si>
  <si>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</si>
  <si>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</si>
  <si>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(blank)</t>
  </si>
  <si>
    <t>Grand Total</t>
  </si>
  <si>
    <t>Region-fixed</t>
  </si>
  <si>
    <t>Central</t>
  </si>
  <si>
    <t>East</t>
  </si>
  <si>
    <t>North</t>
  </si>
  <si>
    <t>NOT KNOWN</t>
  </si>
  <si>
    <t>South</t>
  </si>
  <si>
    <t>West</t>
  </si>
  <si>
    <t>Campaign</t>
  </si>
  <si>
    <t>EmergencyFoodBank</t>
  </si>
  <si>
    <t>FloodReliefMeals</t>
  </si>
  <si>
    <t>RamadanFeeding</t>
  </si>
  <si>
    <t>SchoolLunchFund</t>
  </si>
  <si>
    <t>WinterMealDrive</t>
  </si>
  <si>
    <t>YearEndGiving</t>
  </si>
  <si>
    <t>Status</t>
  </si>
  <si>
    <t>Donor name</t>
  </si>
  <si>
    <t>ACTIVE</t>
  </si>
  <si>
    <t>Donor_001</t>
  </si>
  <si>
    <t>Donor_002</t>
  </si>
  <si>
    <t>Donor_003</t>
  </si>
  <si>
    <t>Donor_004</t>
  </si>
  <si>
    <t>Donor_005</t>
  </si>
  <si>
    <t>Donor_006</t>
  </si>
  <si>
    <t>Donor_007</t>
  </si>
  <si>
    <t>Donor_008</t>
  </si>
  <si>
    <t>Donor_009</t>
  </si>
  <si>
    <t>Donor_010</t>
  </si>
  <si>
    <t>Donor_011</t>
  </si>
  <si>
    <t>Donor_012</t>
  </si>
  <si>
    <t>Donor_013</t>
  </si>
  <si>
    <t>Donor_014</t>
  </si>
  <si>
    <t>Donor_015</t>
  </si>
  <si>
    <t>Donor_016</t>
  </si>
  <si>
    <t>Donor_018</t>
  </si>
  <si>
    <t>Donor_019</t>
  </si>
  <si>
    <t>Donor_020</t>
  </si>
  <si>
    <t>Donor_021</t>
  </si>
  <si>
    <t>Donor_022</t>
  </si>
  <si>
    <t>Donor_023</t>
  </si>
  <si>
    <t>Donor_024</t>
  </si>
  <si>
    <t>Donor_025</t>
  </si>
  <si>
    <t>Donor_026</t>
  </si>
  <si>
    <t>Donor_027</t>
  </si>
  <si>
    <t>Donor_029</t>
  </si>
  <si>
    <t>Donor_030</t>
  </si>
  <si>
    <t>Donor_031</t>
  </si>
  <si>
    <t>Donor_032</t>
  </si>
  <si>
    <t>Donor_033</t>
  </si>
  <si>
    <t>Donor_034</t>
  </si>
  <si>
    <t>Donor_035</t>
  </si>
  <si>
    <t>Donor_036</t>
  </si>
  <si>
    <t>Donor_037</t>
  </si>
  <si>
    <t>Donor_038</t>
  </si>
  <si>
    <t>Donor_039</t>
  </si>
  <si>
    <t>Donor_040</t>
  </si>
  <si>
    <t>Donor_041</t>
  </si>
  <si>
    <t>Donor_043</t>
  </si>
  <si>
    <t>Donor_044</t>
  </si>
  <si>
    <t>Donor_045</t>
  </si>
  <si>
    <t>Donor_046</t>
  </si>
  <si>
    <t>Donor_047</t>
  </si>
  <si>
    <t>Donor_048</t>
  </si>
  <si>
    <t>Donor_049</t>
  </si>
  <si>
    <t>Donor_050</t>
  </si>
  <si>
    <t>Donor_051</t>
  </si>
  <si>
    <t>Donor_052</t>
  </si>
  <si>
    <t>Donor_053</t>
  </si>
  <si>
    <t>Donor_054</t>
  </si>
  <si>
    <t>Donor_055</t>
  </si>
  <si>
    <t>Donor_056</t>
  </si>
  <si>
    <t>Donor_057</t>
  </si>
  <si>
    <t>Donor_058</t>
  </si>
  <si>
    <t>Donor_059</t>
  </si>
  <si>
    <t>Donor_060</t>
  </si>
  <si>
    <t>Donor_061</t>
  </si>
  <si>
    <t>Donor_062</t>
  </si>
  <si>
    <t>Donor_063</t>
  </si>
  <si>
    <t>Donor_064</t>
  </si>
  <si>
    <t>Donor_065</t>
  </si>
  <si>
    <t>Donor_067</t>
  </si>
  <si>
    <t>Donor_068</t>
  </si>
  <si>
    <t>Donor_069</t>
  </si>
  <si>
    <t>Donor_070</t>
  </si>
  <si>
    <t>Donor_071</t>
  </si>
  <si>
    <t>Donor_072</t>
  </si>
  <si>
    <t>Donor_073</t>
  </si>
  <si>
    <t>Donor_074</t>
  </si>
  <si>
    <t>Donor_075</t>
  </si>
  <si>
    <t>Donor_076</t>
  </si>
  <si>
    <t>Donor_077</t>
  </si>
  <si>
    <t>Donor_079</t>
  </si>
  <si>
    <t>Donor_080</t>
  </si>
  <si>
    <t>Donor_081</t>
  </si>
  <si>
    <t>Donor_082</t>
  </si>
  <si>
    <t>Donor_083</t>
  </si>
  <si>
    <t>Donor_084</t>
  </si>
  <si>
    <t>Donor_085</t>
  </si>
  <si>
    <t>Donor_086</t>
  </si>
  <si>
    <t>Donor_087</t>
  </si>
  <si>
    <t>Donor_088</t>
  </si>
  <si>
    <t>Donor_089</t>
  </si>
  <si>
    <t>Donor_090</t>
  </si>
  <si>
    <t>Donor_091</t>
  </si>
  <si>
    <t>Donor_092</t>
  </si>
  <si>
    <t>Donor_094</t>
  </si>
  <si>
    <t>Donor_095</t>
  </si>
  <si>
    <t>Donor_096</t>
  </si>
  <si>
    <t>Donor_097</t>
  </si>
  <si>
    <t>Donor_098</t>
  </si>
  <si>
    <t>Donor_099</t>
  </si>
  <si>
    <t>Donor_100</t>
  </si>
  <si>
    <t>Donor_101</t>
  </si>
  <si>
    <t>Donor_102</t>
  </si>
  <si>
    <t>Donor_104</t>
  </si>
  <si>
    <t>Donor_105</t>
  </si>
  <si>
    <t>Donor_106</t>
  </si>
  <si>
    <t>Donor_108</t>
  </si>
  <si>
    <t>Donor_109</t>
  </si>
  <si>
    <t>Donor_110</t>
  </si>
  <si>
    <t>Donor_111</t>
  </si>
  <si>
    <t>Donor_112</t>
  </si>
  <si>
    <t>Donor_113</t>
  </si>
  <si>
    <t>Donor_114</t>
  </si>
  <si>
    <t>Donor_115</t>
  </si>
  <si>
    <t>Donor_116</t>
  </si>
  <si>
    <t>Donor_117</t>
  </si>
  <si>
    <t>Donor_118</t>
  </si>
  <si>
    <t>Donor_119</t>
  </si>
  <si>
    <t>Donor_120</t>
  </si>
  <si>
    <t>ACTIVE Total</t>
  </si>
  <si>
    <t>LAPSED</t>
  </si>
  <si>
    <t>Donor_017</t>
  </si>
  <si>
    <t>Donor_028</t>
  </si>
  <si>
    <t>Donor_042</t>
  </si>
  <si>
    <t>Donor_066</t>
  </si>
  <si>
    <t>Donor_078</t>
  </si>
  <si>
    <t>Donor_093</t>
  </si>
  <si>
    <t>Donor_103</t>
  </si>
  <si>
    <t>Donor_107</t>
  </si>
  <si>
    <t>LAPSED Total</t>
  </si>
  <si>
    <t>(blank) Total</t>
  </si>
  <si>
    <t>TransactionID</t>
  </si>
  <si>
    <t>DonationDate-fixed</t>
  </si>
  <si>
    <t>Amount-fixed</t>
  </si>
  <si>
    <t>PaymentMethod</t>
  </si>
  <si>
    <t>Last donation date</t>
  </si>
  <si>
    <t>sum acc to campaign</t>
  </si>
  <si>
    <t>Donor to search</t>
  </si>
  <si>
    <t>Donor status</t>
  </si>
  <si>
    <t>Donor's total donation mount made</t>
  </si>
  <si>
    <t>Credit Card</t>
  </si>
  <si>
    <t>Cash</t>
  </si>
  <si>
    <t>Bank Transfer</t>
  </si>
  <si>
    <t>Cheque</t>
  </si>
  <si>
    <t>UPI</t>
  </si>
  <si>
    <t>TOTAL DONATIONS</t>
  </si>
  <si>
    <t>TOTAL ACTIVE DONORS</t>
  </si>
  <si>
    <t>RETENTION RATE</t>
  </si>
  <si>
    <t>AVERAGE GIFT</t>
  </si>
  <si>
    <t>MONTHLY DONATION TRENDS</t>
  </si>
  <si>
    <t>NEEDS ATTENTION</t>
  </si>
  <si>
    <t>DONOR NAME</t>
  </si>
  <si>
    <t>LAST DONATION DATE</t>
  </si>
  <si>
    <t>TOTAL AMOUNT</t>
  </si>
  <si>
    <t>CAMPAIGN PERFORMANCE</t>
  </si>
  <si>
    <t>REGION</t>
  </si>
  <si>
    <t>NORTH</t>
  </si>
  <si>
    <t>WEST</t>
  </si>
  <si>
    <t>EAST</t>
  </si>
  <si>
    <t>SOUTH</t>
  </si>
  <si>
    <t>CENTRAL</t>
  </si>
  <si>
    <t>KEY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</si>
</sst>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6" formatCode="[$₹-4009]\ #,##0.00"/>
  </numFmts>
  <fonts count="6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8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NumberFormat="1"/>
    <xf numFmtId="0" fontId="1" fillId="0" borderId="0" xfId="0" applyFont="1"/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[FoodCast_Donor_Transactions_RAW 1.xlsx]Sheet1!MONTHLY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Sheet1!$A$4:$A$23</c:f>
              <c:strCache>
                <c:ptCount val="19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(blank)</c:v>
                </c:pt>
              </c:strCache>
            </c:strRef>
          </c:cat>
          <c:val>
            <c:numRef>
              <c:f>Sheet1!$B$4:$B$23</c:f>
              <c:numCache>
                <c:formatCode>0.00</c:formatCode>
                <c:ptCount val="19"/>
                <c:pt idx="0">
                  <c:v>291203</c:v>
                </c:pt>
                <c:pt idx="1">
                  <c:v>298204</c:v>
                </c:pt>
                <c:pt idx="2">
                  <c:v>251308</c:v>
                </c:pt>
                <c:pt idx="3">
                  <c:v>211725</c:v>
                </c:pt>
                <c:pt idx="4">
                  <c:v>277922</c:v>
                </c:pt>
                <c:pt idx="5">
                  <c:v>281054</c:v>
                </c:pt>
                <c:pt idx="6">
                  <c:v>288698</c:v>
                </c:pt>
                <c:pt idx="7">
                  <c:v>236243</c:v>
                </c:pt>
                <c:pt idx="8">
                  <c:v>187983</c:v>
                </c:pt>
                <c:pt idx="9">
                  <c:v>369848</c:v>
                </c:pt>
                <c:pt idx="10">
                  <c:v>343939</c:v>
                </c:pt>
                <c:pt idx="11">
                  <c:v>284812</c:v>
                </c:pt>
                <c:pt idx="12">
                  <c:v>193890</c:v>
                </c:pt>
                <c:pt idx="13">
                  <c:v>207372</c:v>
                </c:pt>
                <c:pt idx="14">
                  <c:v>286020</c:v>
                </c:pt>
                <c:pt idx="15">
                  <c:v>214868</c:v>
                </c:pt>
                <c:pt idx="16">
                  <c:v>294244</c:v>
                </c:pt>
                <c:pt idx="17">
                  <c:v>175220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FF-4F65-A830-C4438FC14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262152"/>
        <c:axId val="1878896136"/>
      </c:lineChart>
      <c:catAx>
        <c:axId val="186426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896136"/>
        <c:crosses val="autoZero"/>
        <c:auto val="1"/>
        <c:lblAlgn val="ctr"/>
        <c:lblOffset val="100"/>
        <c:noMultiLvlLbl val="0"/>
      </c:catAx>
      <c:valAx>
        <c:axId val="187889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26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[FoodCast_Donor_Transactions_RAW 1.xlsx]Sheet1!MONTHLY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Sheet1!$A$4:$A$23</c:f>
              <c:strCache>
                <c:ptCount val="19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(blank)</c:v>
                </c:pt>
              </c:strCache>
            </c:strRef>
          </c:cat>
          <c:val>
            <c:numRef>
              <c:f>Sheet1!$B$4:$B$23</c:f>
              <c:numCache>
                <c:formatCode>0.00</c:formatCode>
                <c:ptCount val="19"/>
                <c:pt idx="0">
                  <c:v>291203</c:v>
                </c:pt>
                <c:pt idx="1">
                  <c:v>298204</c:v>
                </c:pt>
                <c:pt idx="2">
                  <c:v>251308</c:v>
                </c:pt>
                <c:pt idx="3">
                  <c:v>211725</c:v>
                </c:pt>
                <c:pt idx="4">
                  <c:v>277922</c:v>
                </c:pt>
                <c:pt idx="5">
                  <c:v>281054</c:v>
                </c:pt>
                <c:pt idx="6">
                  <c:v>288698</c:v>
                </c:pt>
                <c:pt idx="7">
                  <c:v>236243</c:v>
                </c:pt>
                <c:pt idx="8">
                  <c:v>187983</c:v>
                </c:pt>
                <c:pt idx="9">
                  <c:v>369848</c:v>
                </c:pt>
                <c:pt idx="10">
                  <c:v>343939</c:v>
                </c:pt>
                <c:pt idx="11">
                  <c:v>284812</c:v>
                </c:pt>
                <c:pt idx="12">
                  <c:v>193890</c:v>
                </c:pt>
                <c:pt idx="13">
                  <c:v>207372</c:v>
                </c:pt>
                <c:pt idx="14">
                  <c:v>286020</c:v>
                </c:pt>
                <c:pt idx="15">
                  <c:v>214868</c:v>
                </c:pt>
                <c:pt idx="16">
                  <c:v>294244</c:v>
                </c:pt>
                <c:pt idx="17">
                  <c:v>175220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8-4BF4-B703-587DF0034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262152"/>
        <c:axId val="1878896136"/>
      </c:lineChart>
      <c:catAx>
        <c:axId val="186426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896136"/>
        <c:crosses val="autoZero"/>
        <c:auto val="1"/>
        <c:lblAlgn val="ctr"/>
        <c:lblOffset val="100"/>
        <c:noMultiLvlLbl val="0"/>
      </c:catAx>
      <c:valAx>
        <c:axId val="187889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26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[FoodCast_Donor_Transactions_RAW 1.xlsx]Sheet3!CAMPAIGN WISE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EmergencyFoodBank</c:v>
                </c:pt>
                <c:pt idx="1">
                  <c:v>FloodReliefMeals</c:v>
                </c:pt>
                <c:pt idx="2">
                  <c:v>RamadanFeeding</c:v>
                </c:pt>
                <c:pt idx="3">
                  <c:v>SchoolLunchFund</c:v>
                </c:pt>
                <c:pt idx="4">
                  <c:v>WinterMealDrive</c:v>
                </c:pt>
                <c:pt idx="5">
                  <c:v>YearEndGiving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885899</c:v>
                </c:pt>
                <c:pt idx="1">
                  <c:v>723916</c:v>
                </c:pt>
                <c:pt idx="2">
                  <c:v>789822</c:v>
                </c:pt>
                <c:pt idx="3">
                  <c:v>802130</c:v>
                </c:pt>
                <c:pt idx="4">
                  <c:v>765625</c:v>
                </c:pt>
                <c:pt idx="5">
                  <c:v>727161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7A-4527-BCA4-3A7A9A8E0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736008"/>
        <c:axId val="1595932680"/>
      </c:barChart>
      <c:catAx>
        <c:axId val="183673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932680"/>
        <c:crosses val="autoZero"/>
        <c:auto val="1"/>
        <c:lblAlgn val="ctr"/>
        <c:lblOffset val="100"/>
        <c:noMultiLvlLbl val="0"/>
      </c:catAx>
      <c:valAx>
        <c:axId val="159593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73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[FoodCast_Donor_Transactions_RAW 1.xlsx]Sheet1!MONTHLY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Sheet1!$A$4:$A$23</c:f>
              <c:strCache>
                <c:ptCount val="19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(blank)</c:v>
                </c:pt>
              </c:strCache>
            </c:strRef>
          </c:cat>
          <c:val>
            <c:numRef>
              <c:f>Sheet1!$B$4:$B$23</c:f>
              <c:numCache>
                <c:formatCode>0.00</c:formatCode>
                <c:ptCount val="19"/>
                <c:pt idx="0">
                  <c:v>291203</c:v>
                </c:pt>
                <c:pt idx="1">
                  <c:v>298204</c:v>
                </c:pt>
                <c:pt idx="2">
                  <c:v>251308</c:v>
                </c:pt>
                <c:pt idx="3">
                  <c:v>211725</c:v>
                </c:pt>
                <c:pt idx="4">
                  <c:v>277922</c:v>
                </c:pt>
                <c:pt idx="5">
                  <c:v>281054</c:v>
                </c:pt>
                <c:pt idx="6">
                  <c:v>288698</c:v>
                </c:pt>
                <c:pt idx="7">
                  <c:v>236243</c:v>
                </c:pt>
                <c:pt idx="8">
                  <c:v>187983</c:v>
                </c:pt>
                <c:pt idx="9">
                  <c:v>369848</c:v>
                </c:pt>
                <c:pt idx="10">
                  <c:v>343939</c:v>
                </c:pt>
                <c:pt idx="11">
                  <c:v>284812</c:v>
                </c:pt>
                <c:pt idx="12">
                  <c:v>193890</c:v>
                </c:pt>
                <c:pt idx="13">
                  <c:v>207372</c:v>
                </c:pt>
                <c:pt idx="14">
                  <c:v>286020</c:v>
                </c:pt>
                <c:pt idx="15">
                  <c:v>214868</c:v>
                </c:pt>
                <c:pt idx="16">
                  <c:v>294244</c:v>
                </c:pt>
                <c:pt idx="17">
                  <c:v>175220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C6-403E-B2FE-9ECE64409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262152"/>
        <c:axId val="1878896136"/>
      </c:lineChart>
      <c:catAx>
        <c:axId val="186426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896136"/>
        <c:crosses val="autoZero"/>
        <c:auto val="1"/>
        <c:lblAlgn val="ctr"/>
        <c:lblOffset val="100"/>
        <c:noMultiLvlLbl val="0"/>
      </c:catAx>
      <c:valAx>
        <c:axId val="187889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26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[FoodCast_Donor_Transactions_RAW 1.xlsx]Sheet3!CAMPAIGN WISE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EmergencyFoodBank</c:v>
                </c:pt>
                <c:pt idx="1">
                  <c:v>FloodReliefMeals</c:v>
                </c:pt>
                <c:pt idx="2">
                  <c:v>RamadanFeeding</c:v>
                </c:pt>
                <c:pt idx="3">
                  <c:v>SchoolLunchFund</c:v>
                </c:pt>
                <c:pt idx="4">
                  <c:v>WinterMealDrive</c:v>
                </c:pt>
                <c:pt idx="5">
                  <c:v>YearEndGiving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885899</c:v>
                </c:pt>
                <c:pt idx="1">
                  <c:v>723916</c:v>
                </c:pt>
                <c:pt idx="2">
                  <c:v>789822</c:v>
                </c:pt>
                <c:pt idx="3">
                  <c:v>802130</c:v>
                </c:pt>
                <c:pt idx="4">
                  <c:v>765625</c:v>
                </c:pt>
                <c:pt idx="5">
                  <c:v>727161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6-43B6-A6A2-254FFB611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736008"/>
        <c:axId val="1595932680"/>
      </c:barChart>
      <c:catAx>
        <c:axId val="183673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932680"/>
        <c:crosses val="autoZero"/>
        <c:auto val="1"/>
        <c:lblAlgn val="ctr"/>
        <c:lblOffset val="100"/>
        <c:noMultiLvlLbl val="0"/>
      </c:catAx>
      <c:valAx>
        <c:axId val="159593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73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[FoodCast_Donor_Transactions_RAW 1.xlsx]Sheet1!MONTHLY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Sheet1!$A$4:$A$23</c:f>
              <c:strCache>
                <c:ptCount val="19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(blank)</c:v>
                </c:pt>
              </c:strCache>
            </c:strRef>
          </c:cat>
          <c:val>
            <c:numRef>
              <c:f>Sheet1!$B$4:$B$23</c:f>
              <c:numCache>
                <c:formatCode>0.00</c:formatCode>
                <c:ptCount val="19"/>
                <c:pt idx="0">
                  <c:v>291203</c:v>
                </c:pt>
                <c:pt idx="1">
                  <c:v>298204</c:v>
                </c:pt>
                <c:pt idx="2">
                  <c:v>251308</c:v>
                </c:pt>
                <c:pt idx="3">
                  <c:v>211725</c:v>
                </c:pt>
                <c:pt idx="4">
                  <c:v>277922</c:v>
                </c:pt>
                <c:pt idx="5">
                  <c:v>281054</c:v>
                </c:pt>
                <c:pt idx="6">
                  <c:v>288698</c:v>
                </c:pt>
                <c:pt idx="7">
                  <c:v>236243</c:v>
                </c:pt>
                <c:pt idx="8">
                  <c:v>187983</c:v>
                </c:pt>
                <c:pt idx="9">
                  <c:v>369848</c:v>
                </c:pt>
                <c:pt idx="10">
                  <c:v>343939</c:v>
                </c:pt>
                <c:pt idx="11">
                  <c:v>284812</c:v>
                </c:pt>
                <c:pt idx="12">
                  <c:v>193890</c:v>
                </c:pt>
                <c:pt idx="13">
                  <c:v>207372</c:v>
                </c:pt>
                <c:pt idx="14">
                  <c:v>286020</c:v>
                </c:pt>
                <c:pt idx="15">
                  <c:v>214868</c:v>
                </c:pt>
                <c:pt idx="16">
                  <c:v>294244</c:v>
                </c:pt>
                <c:pt idx="17">
                  <c:v>175220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7D-4C4F-928E-75B5C1B7D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4262152"/>
        <c:axId val="1878896136"/>
      </c:lineChart>
      <c:catAx>
        <c:axId val="1864262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896136"/>
        <c:crosses val="autoZero"/>
        <c:auto val="1"/>
        <c:lblAlgn val="ctr"/>
        <c:lblOffset val="100"/>
        <c:noMultiLvlLbl val="0"/>
      </c:catAx>
      <c:valAx>
        <c:axId val="1878896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262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[FoodCast_Donor_Transactions_RAW 1.xlsx]Sheet3!CAMPAIGN WISE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Sheet3!$A$4:$A$10</c:f>
              <c:strCache>
                <c:ptCount val="6"/>
                <c:pt idx="0">
                  <c:v>EmergencyFoodBank</c:v>
                </c:pt>
                <c:pt idx="1">
                  <c:v>FloodReliefMeals</c:v>
                </c:pt>
                <c:pt idx="2">
                  <c:v>RamadanFeeding</c:v>
                </c:pt>
                <c:pt idx="3">
                  <c:v>SchoolLunchFund</c:v>
                </c:pt>
                <c:pt idx="4">
                  <c:v>WinterMealDrive</c:v>
                </c:pt>
                <c:pt idx="5">
                  <c:v>YearEndGiving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885899</c:v>
                </c:pt>
                <c:pt idx="1">
                  <c:v>723916</c:v>
                </c:pt>
                <c:pt idx="2">
                  <c:v>789822</c:v>
                </c:pt>
                <c:pt idx="3">
                  <c:v>802130</c:v>
                </c:pt>
                <c:pt idx="4">
                  <c:v>765625</c:v>
                </c:pt>
                <c:pt idx="5">
                  <c:v>727161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7-4CBE-9CB7-E946DD9F8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736008"/>
        <c:axId val="1595932680"/>
      </c:barChart>
      <c:catAx>
        <c:axId val="1836736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932680"/>
        <c:crosses val="autoZero"/>
        <c:auto val="1"/>
        <c:lblAlgn val="ctr"/>
        <c:lblOffset val="100"/>
        <c:noMultiLvlLbl val="0"/>
      </c:catAx>
      <c:valAx>
        <c:axId val="1595932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73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5</xdr:row>
      <xdr:rowOff>171450</xdr:rowOff>
    </xdr:from>
    <xdr:to>
      <xdr:col>10</xdr:col>
      <xdr:colOff>276225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95764E-D04B-A6AE-73D3-629D231DF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1</xdr:row>
      <xdr:rowOff>47625</xdr:rowOff>
    </xdr:from>
    <xdr:to>
      <xdr:col>6</xdr:col>
      <xdr:colOff>161925</xdr:colOff>
      <xdr:row>15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mpaign">
              <a:extLst>
                <a:ext uri="{FF2B5EF4-FFF2-40B4-BE49-F238E27FC236}">
                  <a16:creationId xmlns:a16="http://schemas.microsoft.com/office/drawing/2014/main" id="{21F2A52D-D528-6EF4-96A6-0BA36BAAD1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mpaig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29100" y="1133475"/>
              <a:ext cx="2381250" cy="268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76200</xdr:colOff>
      <xdr:row>5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C3440B9-C51B-492B-9E20-6AC4CDB85386}"/>
            </a:ext>
          </a:extLst>
        </xdr:cNvPr>
        <xdr:cNvSpPr/>
      </xdr:nvSpPr>
      <xdr:spPr>
        <a:xfrm>
          <a:off x="0" y="0"/>
          <a:ext cx="17649825" cy="107632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lt"/>
              <a:cs typeface="+mn-lt"/>
            </a:rPr>
            <a:t>NGO Donor &amp; Operations Dashboard</a:t>
          </a:r>
        </a:p>
      </xdr:txBody>
    </xdr:sp>
    <xdr:clientData/>
  </xdr:twoCellAnchor>
  <xdr:twoCellAnchor>
    <xdr:from>
      <xdr:col>0</xdr:col>
      <xdr:colOff>485775</xdr:colOff>
      <xdr:row>15</xdr:row>
      <xdr:rowOff>85725</xdr:rowOff>
    </xdr:from>
    <xdr:to>
      <xdr:col>8</xdr:col>
      <xdr:colOff>180975</xdr:colOff>
      <xdr:row>29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37FBFD-8616-40C0-B267-EA27E2DFBC0D}"/>
            </a:ext>
            <a:ext uri="{147F2762-F138-4A5C-976F-8EAC2B608ADB}">
              <a16:predDERef xmlns:a16="http://schemas.microsoft.com/office/drawing/2014/main" pred="{6C3440B9-C51B-492B-9E20-6AC4CDB853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32</xdr:row>
      <xdr:rowOff>0</xdr:rowOff>
    </xdr:from>
    <xdr:to>
      <xdr:col>11</xdr:col>
      <xdr:colOff>28575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CFC13C-C7AF-450C-845C-B2D1789BB603}"/>
            </a:ext>
            <a:ext uri="{147F2762-F138-4A5C-976F-8EAC2B608ADB}">
              <a16:predDERef xmlns:a16="http://schemas.microsoft.com/office/drawing/2014/main" pred="{CA37FBFD-8616-40C0-B267-EA27E2DFBC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609600</xdr:colOff>
      <xdr:row>50</xdr:row>
      <xdr:rowOff>76200</xdr:rowOff>
    </xdr:from>
    <xdr:to>
      <xdr:col>11</xdr:col>
      <xdr:colOff>933450</xdr:colOff>
      <xdr:row>62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E88D23-948C-4D1E-937C-4F0806638534}"/>
            </a:ext>
            <a:ext uri="{147F2762-F138-4A5C-976F-8EAC2B608ADB}">
              <a16:predDERef xmlns:a16="http://schemas.microsoft.com/office/drawing/2014/main" pred="{C0CFC13C-C7AF-450C-845C-B2D1789BB603}"/>
            </a:ext>
          </a:extLst>
        </xdr:cNvPr>
        <xdr:cNvSpPr txBox="1"/>
      </xdr:nvSpPr>
      <xdr:spPr>
        <a:xfrm>
          <a:off x="1962150" y="9972675"/>
          <a:ext cx="8820150" cy="23622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rgbClr val="0070BF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Total donations of ₹46,94,553 raised across Jan 2024 – Jun 2025 (1801 transactions, 123 donors)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93.5% donor retention rate — 115 active donors vs. 8 lapsed, indicating strong overall donor loyalty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EmergencyFoodBank is the top-performing campaign, suggesting donors respond well to emergency/relief-framed appeals over routine giving programs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Central region leads in donations (₹10.85L), while East lags furthest behind (₹7.55L) — an opportunity to study what's working in Central and replicate outreach strategies in East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8 donors flagged as lapsed (Donor_017, Donor_028, Donor_042, Donor_066, Donor_078, Donor_093, Donor_103, Donor_107) — recommend a targeted re-engagement campaign, prioritizing high-value past donors like Donor_078 (₹76,761 lifetime giving)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76200</xdr:colOff>
      <xdr:row>5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994EA77-B0E9-4C21-8E05-39102D8E7261}"/>
            </a:ext>
          </a:extLst>
        </xdr:cNvPr>
        <xdr:cNvSpPr/>
      </xdr:nvSpPr>
      <xdr:spPr>
        <a:xfrm>
          <a:off x="0" y="0"/>
          <a:ext cx="17649825" cy="107632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lt"/>
              <a:cs typeface="+mn-lt"/>
            </a:rPr>
            <a:t>NGO Donor &amp; Operations Dashboard</a:t>
          </a:r>
        </a:p>
      </xdr:txBody>
    </xdr:sp>
    <xdr:clientData/>
  </xdr:twoCellAnchor>
  <xdr:twoCellAnchor>
    <xdr:from>
      <xdr:col>0</xdr:col>
      <xdr:colOff>485775</xdr:colOff>
      <xdr:row>15</xdr:row>
      <xdr:rowOff>85725</xdr:rowOff>
    </xdr:from>
    <xdr:to>
      <xdr:col>8</xdr:col>
      <xdr:colOff>180975</xdr:colOff>
      <xdr:row>29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E9D664-7B33-4893-8D88-C86F2A238945}"/>
            </a:ext>
            <a:ext uri="{147F2762-F138-4A5C-976F-8EAC2B608ADB}">
              <a16:predDERef xmlns:a16="http://schemas.microsoft.com/office/drawing/2014/main" pred="{3994EA77-B0E9-4C21-8E05-39102D8E7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32</xdr:row>
      <xdr:rowOff>0</xdr:rowOff>
    </xdr:from>
    <xdr:to>
      <xdr:col>11</xdr:col>
      <xdr:colOff>28575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C077EF-67A3-4FD5-9DF0-4C6183474B05}"/>
            </a:ext>
            <a:ext uri="{147F2762-F138-4A5C-976F-8EAC2B608ADB}">
              <a16:predDERef xmlns:a16="http://schemas.microsoft.com/office/drawing/2014/main" pred="{83E9D664-7B33-4893-8D88-C86F2A238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609600</xdr:colOff>
      <xdr:row>50</xdr:row>
      <xdr:rowOff>76200</xdr:rowOff>
    </xdr:from>
    <xdr:to>
      <xdr:col>11</xdr:col>
      <xdr:colOff>933450</xdr:colOff>
      <xdr:row>62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026331A-B033-462B-8152-362AE876751E}"/>
            </a:ext>
            <a:ext uri="{147F2762-F138-4A5C-976F-8EAC2B608ADB}">
              <a16:predDERef xmlns:a16="http://schemas.microsoft.com/office/drawing/2014/main" pred="{A0C077EF-67A3-4FD5-9DF0-4C6183474B05}"/>
            </a:ext>
          </a:extLst>
        </xdr:cNvPr>
        <xdr:cNvSpPr txBox="1"/>
      </xdr:nvSpPr>
      <xdr:spPr>
        <a:xfrm>
          <a:off x="1962150" y="9972675"/>
          <a:ext cx="8820150" cy="23622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rgbClr val="0070BF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Total donations of ₹46,94,553 raised across Jan 2024 – Jun 2025 (1801 transactions, 123 donors)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93.5% donor retention rate — 115 active donors vs. 8 lapsed, indicating strong overall donor loyalty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EmergencyFoodBank is the top-performing campaign, suggesting donors respond well to emergency/relief-framed appeals over routine giving programs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Central region leads in donations (₹10.85L), while East lags furthest behind (₹7.55L) — an opportunity to study what's working in Central and replicate outreach strategies in East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8 donors flagged as lapsed (Donor_017, Donor_028, Donor_042, Donor_066, Donor_078, Donor_093, Donor_103, Donor_107) — recommend a targeted re-engagement campaign, prioritizing high-value past donors like Donor_078 (₹76,761 lifetime giving)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76200</xdr:colOff>
      <xdr:row>5</xdr:row>
      <xdr:rowOff>123825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4B6B534-DC66-D478-68DB-1B01D2728DA6}"/>
            </a:ext>
          </a:extLst>
        </xdr:cNvPr>
        <xdr:cNvSpPr/>
      </xdr:nvSpPr>
      <xdr:spPr>
        <a:xfrm>
          <a:off x="0" y="0"/>
          <a:ext cx="17649825" cy="1076325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lt"/>
              <a:cs typeface="+mn-lt"/>
            </a:rPr>
            <a:t>NGO Donor &amp; Operations Dashboard</a:t>
          </a:r>
        </a:p>
      </xdr:txBody>
    </xdr:sp>
    <xdr:clientData/>
  </xdr:twoCellAnchor>
  <xdr:twoCellAnchor>
    <xdr:from>
      <xdr:col>0</xdr:col>
      <xdr:colOff>485775</xdr:colOff>
      <xdr:row>15</xdr:row>
      <xdr:rowOff>85725</xdr:rowOff>
    </xdr:from>
    <xdr:to>
      <xdr:col>8</xdr:col>
      <xdr:colOff>180975</xdr:colOff>
      <xdr:row>29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8A26E7-F64D-4D7D-96A7-C9AFE1546389}"/>
            </a:ext>
            <a:ext uri="{147F2762-F138-4A5C-976F-8EAC2B608ADB}">
              <a16:predDERef xmlns:a16="http://schemas.microsoft.com/office/drawing/2014/main" pred="{84B6B534-DC66-D478-68DB-1B01D2728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32</xdr:row>
      <xdr:rowOff>0</xdr:rowOff>
    </xdr:from>
    <xdr:to>
      <xdr:col>11</xdr:col>
      <xdr:colOff>28575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956844-6DDE-4411-AF30-7AD1EAF9BE83}"/>
            </a:ext>
            <a:ext uri="{147F2762-F138-4A5C-976F-8EAC2B608ADB}">
              <a16:predDERef xmlns:a16="http://schemas.microsoft.com/office/drawing/2014/main" pred="{298A26E7-F64D-4D7D-96A7-C9AFE1546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609600</xdr:colOff>
      <xdr:row>50</xdr:row>
      <xdr:rowOff>76200</xdr:rowOff>
    </xdr:from>
    <xdr:to>
      <xdr:col>11</xdr:col>
      <xdr:colOff>933450</xdr:colOff>
      <xdr:row>62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931555-A65D-8FD1-DE41-0C0EB0D9A0F3}"/>
            </a:ext>
            <a:ext uri="{147F2762-F138-4A5C-976F-8EAC2B608ADB}">
              <a16:predDERef xmlns:a16="http://schemas.microsoft.com/office/drawing/2014/main" pred="{06956844-6DDE-4411-AF30-7AD1EAF9BE83}"/>
            </a:ext>
          </a:extLst>
        </xdr:cNvPr>
        <xdr:cNvSpPr txBox="1"/>
      </xdr:nvSpPr>
      <xdr:spPr>
        <a:xfrm>
          <a:off x="1962150" y="9972675"/>
          <a:ext cx="8820150" cy="23622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rgbClr val="0070BF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Total donations of ₹46,94,553 raised across Jan 2024 – Jun 2025 (1801 transactions, 123 donors)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93.5% donor retention rate — 115 active donors vs. 8 lapsed, indicating strong overall donor loyalty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EmergencyFoodBank is the top-performing campaign, suggesting donors respond well to emergency/relief-framed appeals over routine giving programs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Central region leads in donations (₹10.85L), while East lags furthest behind (₹7.55L) — an opportunity to study what's working in Central and replicate outreach strategies in East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8 donors flagged as lapsed (Donor_017, Donor_028, Donor_042, Donor_066, Donor_078, Donor_093, Donor_103, Donor_107) — recommend a targeted re-engagement campaign, prioritizing high-value past donors like Donor_078 (₹76,761 lifetime giving)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4.797362962963" createdVersion="8" refreshedVersion="8" minRefreshableVersion="3" recordCount="1816" xr:uid="{AACE017B-7EBD-4D18-9F8B-D61C0BFA46BD}">
  <cacheSource type="worksheet">
    <worksheetSource ref="A1:O1048576" sheet="Raw_Data"/>
  </cacheSource>
  <cacheFields count="15">
    <cacheField name="TransactionID" numFmtId="0">
      <sharedItems containsString="0" containsBlank="1" containsNumber="1" containsInteger="1" minValue="1" maxValue="1800"/>
    </cacheField>
    <cacheField name="Donor name" numFmtId="0">
      <sharedItems containsBlank="1" count="121">
        <s v="Donor_003"/>
        <s v="Donor_029"/>
        <s v="Donor_005"/>
        <s v="Donor_035"/>
        <s v="Donor_065"/>
        <s v="Donor_023"/>
        <s v="Donor_020"/>
        <s v="Donor_106"/>
        <s v="Donor_080"/>
        <s v="Donor_032"/>
        <s v="Donor_095"/>
        <s v="Donor_116"/>
        <s v="Donor_019"/>
        <s v="Donor_101"/>
        <s v="Donor_053"/>
        <s v="Donor_009"/>
        <s v="Donor_026"/>
        <s v="Donor_108"/>
        <s v="Donor_037"/>
        <s v="Donor_049"/>
        <s v="Donor_079"/>
        <s v="Donor_014"/>
        <s v="Donor_087"/>
        <s v="Donor_077"/>
        <s v="Donor_050"/>
        <s v="Donor_093"/>
        <s v="Donor_010"/>
        <s v="Donor_084"/>
        <s v="Donor_102"/>
        <s v="Donor_111"/>
        <s v="Donor_062"/>
        <s v="Donor_091"/>
        <s v="Donor_092"/>
        <s v="Donor_078"/>
        <s v="Donor_089"/>
        <s v="Donor_052"/>
        <s v="Donor_059"/>
        <s v="Donor_022"/>
        <s v="Donor_086"/>
        <s v="Donor_085"/>
        <s v="Donor_099"/>
        <s v="Donor_048"/>
        <s v="Donor_104"/>
        <s v="Donor_041"/>
        <s v="Donor_038"/>
        <s v="Donor_054"/>
        <s v="Donor_011"/>
        <s v="Donor_045"/>
        <s v="Donor_072"/>
        <s v="Donor_001"/>
        <s v="Donor_007"/>
        <s v="Donor_058"/>
        <s v="Donor_114"/>
        <s v="Donor_006"/>
        <s v="Donor_042"/>
        <s v="Donor_109"/>
        <s v="Donor_039"/>
        <s v="Donor_071"/>
        <s v="Donor_067"/>
        <s v="Donor_036"/>
        <s v="Donor_004"/>
        <s v="Donor_119"/>
        <s v="Donor_027"/>
        <s v="Donor_051"/>
        <s v="Donor_013"/>
        <s v="Donor_074"/>
        <s v="Donor_034"/>
        <s v="Donor_033"/>
        <s v="Donor_090"/>
        <s v="Donor_066"/>
        <s v="Donor_112"/>
        <s v="Donor_068"/>
        <s v="Donor_088"/>
        <s v="Donor_031"/>
        <s v="Donor_055"/>
        <s v="Donor_043"/>
        <s v="Donor_107"/>
        <s v="Donor_061"/>
        <s v="Donor_082"/>
        <s v="Donor_075"/>
        <s v="Donor_103"/>
        <s v="Donor_115"/>
        <s v="Donor_083"/>
        <s v="Donor_017"/>
        <s v="Donor_008"/>
        <s v="Donor_113"/>
        <s v="Donor_105"/>
        <s v="Donor_015"/>
        <s v="Donor_073"/>
        <s v="Donor_046"/>
        <s v="Donor_120"/>
        <s v="Donor_047"/>
        <s v="Donor_063"/>
        <s v="Donor_018"/>
        <s v="Donor_117"/>
        <s v="Donor_076"/>
        <s v="Donor_024"/>
        <s v="Donor_069"/>
        <s v="Donor_044"/>
        <s v="Donor_057"/>
        <s v="Donor_096"/>
        <s v="Donor_012"/>
        <s v="Donor_021"/>
        <s v="Donor_118"/>
        <s v="Donor_025"/>
        <s v="Donor_016"/>
        <s v="Donor_098"/>
        <s v="Donor_002"/>
        <s v="Donor_100"/>
        <s v="Donor_040"/>
        <s v="Donor_064"/>
        <s v="Donor_081"/>
        <s v="Donor_097"/>
        <s v="Donor_070"/>
        <s v="Donor_056"/>
        <s v="Donor_028"/>
        <s v="Donor_060"/>
        <s v="Donor_110"/>
        <s v="Donor_030"/>
        <s v="Donor_094"/>
        <m/>
      </sharedItems>
    </cacheField>
    <cacheField name="DonationDate-fixed" numFmtId="0">
      <sharedItems containsNonDate="0" containsDate="1" containsString="0" containsBlank="1" minDate="2024-01-01T00:00:00" maxDate="2025-06-24T00:00:00"/>
    </cacheField>
    <cacheField name="Region-fixed" numFmtId="0">
      <sharedItems containsBlank="1" count="7">
        <s v="West"/>
        <s v="East"/>
        <s v="North"/>
        <s v="Central"/>
        <s v="South"/>
        <s v="NOT KNOWN"/>
        <m/>
      </sharedItems>
    </cacheField>
    <cacheField name="Campaign" numFmtId="0">
      <sharedItems containsBlank="1" count="7">
        <s v="YearEndGiving"/>
        <s v="RamadanFeeding"/>
        <s v="EmergencyFoodBank"/>
        <s v="WinterMealDrive"/>
        <s v="SchoolLunchFund"/>
        <s v="FloodReliefMeals"/>
        <m/>
      </sharedItems>
    </cacheField>
    <cacheField name="Field6" caption="Field6" numFmtId="0">
      <sharedItems containsNonDate="0" containsString="0" containsBlank="1"/>
    </cacheField>
    <cacheField name="Amount-fixed" numFmtId="2">
      <sharedItems containsString="0" containsBlank="1" containsNumber="1" containsInteger="1" minValue="0" maxValue="11996"/>
    </cacheField>
    <cacheField name="PaymentMethod" numFmtId="0">
      <sharedItems containsBlank="1"/>
    </cacheField>
    <cacheField name="Month" numFmtId="2">
      <sharedItems containsBlank="1"/>
    </cacheField>
    <cacheField name="Last donation date" numFmtId="14">
      <sharedItems containsNonDate="0" containsDate="1" containsString="0" containsBlank="1" minDate="2025-02-02T00:00:00" maxDate="2025-06-24T00:00:00"/>
    </cacheField>
    <cacheField name="Status" numFmtId="0">
      <sharedItems containsBlank="1" count="3">
        <s v="ACTIVE"/>
        <s v="LAPSED"/>
        <m/>
      </sharedItems>
    </cacheField>
    <cacheField name="sum acc to campaign" numFmtId="0">
      <sharedItems containsDate="1" containsString="0" containsBlank="1" containsMixedTypes="1" minDate="2025-06-23T00:00:00" maxDate="1899-12-31T09:44:05"/>
    </cacheField>
    <cacheField name="Donor to search" numFmtId="0">
      <sharedItems containsBlank="1"/>
    </cacheField>
    <cacheField name="Donor status" numFmtId="0">
      <sharedItems containsBlank="1"/>
    </cacheField>
    <cacheField name="Donor's total donation mount made" numFmtId="0">
      <sharedItems containsString="0" containsBlank="1" containsNumber="1" containsInteger="1" minValue="33565" maxValue="33565"/>
    </cacheField>
  </cacheFields>
  <extLst>
    <ext xmlns:x14="http://schemas.microsoft.com/office/spreadsheetml/2009/9/main" uri="{725AE2AE-9491-48be-B2B4-4EB974FC3084}">
      <x14:pivotCacheDefinition pivotCacheId="65253734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4.797363078702" createdVersion="8" refreshedVersion="8" minRefreshableVersion="3" recordCount="1801" xr:uid="{EDE2E6AA-373C-4024-A427-26EAF957C335}">
  <cacheSource type="worksheet">
    <worksheetSource ref="A1:O1802" sheet="Raw_Data"/>
  </cacheSource>
  <cacheFields count="15">
    <cacheField name="TransactionID" numFmtId="0">
      <sharedItems containsString="0" containsBlank="1" containsNumber="1" containsInteger="1" minValue="1" maxValue="1800"/>
    </cacheField>
    <cacheField name="Donor name" numFmtId="0">
      <sharedItems containsBlank="1"/>
    </cacheField>
    <cacheField name="DonationDate-fixed" numFmtId="0">
      <sharedItems containsNonDate="0" containsDate="1" containsString="0" containsBlank="1" minDate="2024-01-01T00:00:00" maxDate="2025-06-24T00:00:00"/>
    </cacheField>
    <cacheField name="Region-fixed" numFmtId="0">
      <sharedItems containsBlank="1"/>
    </cacheField>
    <cacheField name="Campaign" numFmtId="0">
      <sharedItems containsBlank="1"/>
    </cacheField>
    <cacheField name="Field6" caption="Field6" numFmtId="0">
      <sharedItems containsNonDate="0" containsString="0" containsBlank="1"/>
    </cacheField>
    <cacheField name="Amount-fixed" numFmtId="2">
      <sharedItems containsString="0" containsBlank="1" containsNumber="1" containsInteger="1" minValue="0" maxValue="11996"/>
    </cacheField>
    <cacheField name="PaymentMethod" numFmtId="0">
      <sharedItems containsBlank="1"/>
    </cacheField>
    <cacheField name="Month" numFmtId="2">
      <sharedItems containsBlank="1" count="38">
        <s v="2024-09"/>
        <s v="2024-08"/>
        <s v="2024-06"/>
        <s v="2024-04"/>
        <s v="2024-11"/>
        <s v="2024-07"/>
        <s v="2025-03"/>
        <s v="2025-01"/>
        <s v="2024-03"/>
        <s v="2024-12"/>
        <s v="2024-01"/>
        <s v="2025-05"/>
        <s v="2024-10"/>
        <s v="2025-02"/>
        <s v="2024-02"/>
        <s v="2024-05"/>
        <s v="2025-06"/>
        <s v="2025-04"/>
        <m/>
        <s v="2024-Sep" u="1"/>
        <s v="2024-Aug" u="1"/>
        <s v="2024-Jun" u="1"/>
        <s v="2024-Apr" u="1"/>
        <s v="2024-Nov" u="1"/>
        <s v="2024-Jul" u="1"/>
        <s v="2025-Mar" u="1"/>
        <s v="2025-Jan" u="1"/>
        <s v="2024-Mar" u="1"/>
        <s v="2024-Dec" u="1"/>
        <s v="2024-Jan" u="1"/>
        <s v="2025-May" u="1"/>
        <s v="2024-Oct" u="1"/>
        <s v="2025-Feb" u="1"/>
        <s v="2024-Feb" u="1"/>
        <s v="2024-May" u="1"/>
        <s v="2025-Jun" u="1"/>
        <s v="2025-Apr" u="1"/>
        <s v="1900-Jan" u="1"/>
      </sharedItems>
    </cacheField>
    <cacheField name="Last donation date" numFmtId="14">
      <sharedItems containsNonDate="0" containsDate="1" containsString="0" containsBlank="1" minDate="2025-02-02T00:00:00" maxDate="2025-06-24T00:00:00"/>
    </cacheField>
    <cacheField name="Status" numFmtId="0">
      <sharedItems containsBlank="1"/>
    </cacheField>
    <cacheField name="sum acc to campaign" numFmtId="0">
      <sharedItems containsDate="1" containsString="0" containsBlank="1" containsMixedTypes="1" minDate="2025-06-23T00:00:00" maxDate="1899-12-31T09:44:05"/>
    </cacheField>
    <cacheField name="Donor to search" numFmtId="0">
      <sharedItems containsBlank="1"/>
    </cacheField>
    <cacheField name="Donor status" numFmtId="0">
      <sharedItems containsBlank="1"/>
    </cacheField>
    <cacheField name="Donor's total donation mount made" numFmtId="0">
      <sharedItems containsString="0" containsBlank="1" containsNumber="1" containsInteger="1" minValue="33565" maxValue="335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94.803968749999" createdVersion="8" refreshedVersion="8" minRefreshableVersion="3" recordCount="1800" xr:uid="{482884EE-21A4-46DF-93F5-EFFC366AAB54}">
  <cacheSource type="worksheet">
    <worksheetSource ref="A1:O1801" sheet="Raw_Data"/>
  </cacheSource>
  <cacheFields count="15">
    <cacheField name="TransactionID" numFmtId="0">
      <sharedItems containsSemiMixedTypes="0" containsString="0" containsNumber="1" containsInteger="1" minValue="1" maxValue="1800"/>
    </cacheField>
    <cacheField name="Donor name" numFmtId="0">
      <sharedItems/>
    </cacheField>
    <cacheField name="DonationDate-fixed" numFmtId="14">
      <sharedItems containsSemiMixedTypes="0" containsNonDate="0" containsDate="1" containsString="0" minDate="2024-01-01T00:00:00" maxDate="2025-06-24T00:00:00"/>
    </cacheField>
    <cacheField name="Region-fixed" numFmtId="0">
      <sharedItems/>
    </cacheField>
    <cacheField name="Campaign" numFmtId="0">
      <sharedItems count="6">
        <s v="YearEndGiving"/>
        <s v="RamadanFeeding"/>
        <s v="EmergencyFoodBank"/>
        <s v="WinterMealDrive"/>
        <s v="SchoolLunchFund"/>
        <s v="FloodReliefMeals"/>
      </sharedItems>
    </cacheField>
    <cacheField name="Field6" caption="Field6" numFmtId="0">
      <sharedItems containsNonDate="0" containsString="0" containsBlank="1"/>
    </cacheField>
    <cacheField name="Amount-fixed" numFmtId="2">
      <sharedItems containsSemiMixedTypes="0" containsString="0" containsNumber="1" containsInteger="1" minValue="0" maxValue="11996"/>
    </cacheField>
    <cacheField name="PaymentMethod" numFmtId="0">
      <sharedItems/>
    </cacheField>
    <cacheField name="Month" numFmtId="2">
      <sharedItems/>
    </cacheField>
    <cacheField name="Last donation date" numFmtId="14">
      <sharedItems containsSemiMixedTypes="0" containsNonDate="0" containsDate="1" containsString="0" minDate="2025-02-02T00:00:00" maxDate="2025-06-24T00:00:00"/>
    </cacheField>
    <cacheField name="Status" numFmtId="0">
      <sharedItems/>
    </cacheField>
    <cacheField name="sum acc to campaign" numFmtId="0">
      <sharedItems containsDate="1" containsString="0" containsBlank="1" containsMixedTypes="1" minDate="2025-06-23T00:00:00" maxDate="1899-12-31T09:44:05"/>
    </cacheField>
    <cacheField name="Donor to search" numFmtId="0">
      <sharedItems containsBlank="1"/>
    </cacheField>
    <cacheField name="Donor status" numFmtId="0">
      <sharedItems containsBlank="1"/>
    </cacheField>
    <cacheField name="Donor's total donation mount made" numFmtId="0">
      <sharedItems containsString="0" containsBlank="1" containsNumber="1" containsInteger="1" minValue="33565" maxValue="33565"/>
    </cacheField>
  </cacheFields>
  <extLst>
    <ext xmlns:x14="http://schemas.microsoft.com/office/spreadsheetml/2009/9/main" uri="{725AE2AE-9491-48be-B2B4-4EB974FC3084}">
      <x14:pivotCacheDefinition pivotCacheId="14817899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6">
  <r>
    <n v="1566"/>
    <x v="0"/>
    <d v="2024-09-26T00:00:00"/>
    <x v="0"/>
    <x v="0"/>
    <m/>
    <n v="9051"/>
    <s v="Credit Card"/>
    <s v="2024-09"/>
    <d v="2025-05-08T00:00:00"/>
    <x v="0"/>
    <m/>
    <s v="Donor_003"/>
    <s v="ACTIVE"/>
    <n v="33565"/>
  </r>
  <r>
    <n v="888"/>
    <x v="1"/>
    <d v="2024-08-24T00:00:00"/>
    <x v="1"/>
    <x v="1"/>
    <m/>
    <n v="247"/>
    <s v="Cash"/>
    <s v="2024-08"/>
    <d v="2025-06-05T00:00:00"/>
    <x v="0"/>
    <d v="2025-06-23T00:00:00"/>
    <m/>
    <m/>
    <m/>
  </r>
  <r>
    <n v="38"/>
    <x v="2"/>
    <d v="2024-09-28T00:00:00"/>
    <x v="2"/>
    <x v="0"/>
    <m/>
    <n v="704"/>
    <s v="Bank Transfer"/>
    <s v="2024-09"/>
    <d v="2025-06-10T00:00:00"/>
    <x v="0"/>
    <n v="765625"/>
    <m/>
    <m/>
    <m/>
  </r>
  <r>
    <n v="1503"/>
    <x v="3"/>
    <d v="2024-06-19T00:00:00"/>
    <x v="3"/>
    <x v="2"/>
    <m/>
    <n v="11535"/>
    <s v="Cheque"/>
    <s v="2024-06"/>
    <d v="2025-06-15T00:00:00"/>
    <x v="0"/>
    <n v="727161"/>
    <m/>
    <m/>
    <m/>
  </r>
  <r>
    <n v="288"/>
    <x v="4"/>
    <d v="2024-04-07T00:00:00"/>
    <x v="4"/>
    <x v="2"/>
    <m/>
    <n v="622"/>
    <s v="Cheque"/>
    <s v="2024-04"/>
    <d v="2025-05-02T00:00:00"/>
    <x v="0"/>
    <n v="885899"/>
    <m/>
    <m/>
    <m/>
  </r>
  <r>
    <n v="708"/>
    <x v="5"/>
    <d v="2024-06-11T00:00:00"/>
    <x v="3"/>
    <x v="3"/>
    <m/>
    <n v="935"/>
    <s v="UPI"/>
    <s v="2024-06"/>
    <d v="2025-05-24T00:00:00"/>
    <x v="0"/>
    <n v="789822"/>
    <m/>
    <m/>
    <m/>
  </r>
  <r>
    <n v="128"/>
    <x v="6"/>
    <d v="2024-11-19T00:00:00"/>
    <x v="0"/>
    <x v="3"/>
    <m/>
    <n v="293"/>
    <s v="Bank Transfer"/>
    <s v="2024-11"/>
    <d v="2025-05-31T00:00:00"/>
    <x v="0"/>
    <n v="802130"/>
    <m/>
    <m/>
    <m/>
  </r>
  <r>
    <n v="1678"/>
    <x v="7"/>
    <d v="2024-06-16T00:00:00"/>
    <x v="4"/>
    <x v="2"/>
    <m/>
    <n v="0"/>
    <s v="Credit Card"/>
    <s v="2024-06"/>
    <d v="2025-06-11T00:00:00"/>
    <x v="0"/>
    <n v="723916"/>
    <m/>
    <m/>
    <m/>
  </r>
  <r>
    <n v="1465"/>
    <x v="8"/>
    <d v="2024-07-13T00:00:00"/>
    <x v="0"/>
    <x v="0"/>
    <m/>
    <n v="1190"/>
    <s v="Credit Card"/>
    <s v="2024-07"/>
    <d v="2025-05-11T00:00:00"/>
    <x v="0"/>
    <m/>
    <m/>
    <m/>
    <m/>
  </r>
  <r>
    <n v="919"/>
    <x v="9"/>
    <d v="2025-03-07T00:00:00"/>
    <x v="4"/>
    <x v="4"/>
    <m/>
    <n v="549"/>
    <s v="UPI"/>
    <s v="2025-03"/>
    <d v="2025-04-29T00:00:00"/>
    <x v="0"/>
    <m/>
    <m/>
    <m/>
    <m/>
  </r>
  <r>
    <n v="485"/>
    <x v="10"/>
    <d v="2024-04-25T00:00:00"/>
    <x v="2"/>
    <x v="4"/>
    <m/>
    <n v="1721"/>
    <s v="Bank Transfer"/>
    <s v="2024-04"/>
    <d v="2025-05-17T00:00:00"/>
    <x v="0"/>
    <m/>
    <m/>
    <m/>
    <m/>
  </r>
  <r>
    <n v="1296"/>
    <x v="11"/>
    <d v="2024-11-03T00:00:00"/>
    <x v="3"/>
    <x v="1"/>
    <m/>
    <n v="440"/>
    <s v="Bank Transfer"/>
    <s v="2024-11"/>
    <d v="2025-06-11T00:00:00"/>
    <x v="0"/>
    <m/>
    <m/>
    <m/>
    <m/>
  </r>
  <r>
    <n v="1089"/>
    <x v="2"/>
    <d v="2024-09-10T00:00:00"/>
    <x v="1"/>
    <x v="2"/>
    <m/>
    <n v="1125"/>
    <s v="Cash"/>
    <s v="2024-09"/>
    <d v="2025-06-10T00:00:00"/>
    <x v="0"/>
    <m/>
    <m/>
    <m/>
    <m/>
  </r>
  <r>
    <n v="180"/>
    <x v="12"/>
    <d v="2025-01-24T00:00:00"/>
    <x v="4"/>
    <x v="3"/>
    <m/>
    <n v="876"/>
    <s v="Cash"/>
    <s v="2025-01"/>
    <d v="2025-05-28T00:00:00"/>
    <x v="0"/>
    <m/>
    <m/>
    <m/>
    <m/>
  </r>
  <r>
    <n v="695"/>
    <x v="13"/>
    <d v="2024-07-02T00:00:00"/>
    <x v="4"/>
    <x v="1"/>
    <m/>
    <n v="417"/>
    <s v="Bank Transfer"/>
    <s v="2024-07"/>
    <d v="2025-05-11T00:00:00"/>
    <x v="0"/>
    <m/>
    <m/>
    <m/>
    <m/>
  </r>
  <r>
    <n v="1386"/>
    <x v="12"/>
    <d v="2024-03-13T00:00:00"/>
    <x v="4"/>
    <x v="0"/>
    <m/>
    <n v="1717"/>
    <s v="UPI"/>
    <s v="2024-03"/>
    <d v="2025-05-28T00:00:00"/>
    <x v="0"/>
    <m/>
    <m/>
    <m/>
    <m/>
  </r>
  <r>
    <n v="1555"/>
    <x v="14"/>
    <d v="2024-12-18T00:00:00"/>
    <x v="2"/>
    <x v="4"/>
    <m/>
    <n v="702"/>
    <s v="Cheque"/>
    <s v="2024-12"/>
    <d v="2025-04-16T00:00:00"/>
    <x v="0"/>
    <m/>
    <m/>
    <m/>
    <m/>
  </r>
  <r>
    <n v="976"/>
    <x v="15"/>
    <d v="2024-01-17T00:00:00"/>
    <x v="0"/>
    <x v="3"/>
    <m/>
    <n v="817"/>
    <s v="Bank Transfer"/>
    <s v="2024-01"/>
    <d v="2025-05-15T00:00:00"/>
    <x v="0"/>
    <m/>
    <m/>
    <m/>
    <m/>
  </r>
  <r>
    <n v="351"/>
    <x v="16"/>
    <d v="2025-05-24T00:00:00"/>
    <x v="3"/>
    <x v="4"/>
    <m/>
    <n v="2831"/>
    <s v="Credit Card"/>
    <s v="2025-05"/>
    <d v="2025-05-28T00:00:00"/>
    <x v="0"/>
    <m/>
    <m/>
    <m/>
    <m/>
  </r>
  <r>
    <n v="397"/>
    <x v="17"/>
    <d v="2024-03-24T00:00:00"/>
    <x v="1"/>
    <x v="4"/>
    <m/>
    <n v="8786"/>
    <s v="UPI"/>
    <s v="2024-03"/>
    <d v="2025-05-21T00:00:00"/>
    <x v="0"/>
    <m/>
    <m/>
    <m/>
    <m/>
  </r>
  <r>
    <n v="451"/>
    <x v="18"/>
    <d v="2024-10-05T00:00:00"/>
    <x v="3"/>
    <x v="5"/>
    <m/>
    <n v="656"/>
    <s v="UPI"/>
    <s v="2024-10"/>
    <d v="2025-05-23T00:00:00"/>
    <x v="0"/>
    <m/>
    <m/>
    <m/>
    <m/>
  </r>
  <r>
    <n v="489"/>
    <x v="19"/>
    <d v="2024-08-24T00:00:00"/>
    <x v="3"/>
    <x v="2"/>
    <m/>
    <n v="1162"/>
    <s v="Cash"/>
    <s v="2024-08"/>
    <d v="2025-06-19T00:00:00"/>
    <x v="0"/>
    <m/>
    <m/>
    <m/>
    <m/>
  </r>
  <r>
    <n v="205"/>
    <x v="20"/>
    <d v="2025-03-05T00:00:00"/>
    <x v="2"/>
    <x v="4"/>
    <m/>
    <n v="1654"/>
    <s v="Cheque"/>
    <s v="2025-03"/>
    <d v="2025-06-07T00:00:00"/>
    <x v="0"/>
    <m/>
    <m/>
    <m/>
    <m/>
  </r>
  <r>
    <n v="59"/>
    <x v="21"/>
    <d v="2025-05-16T00:00:00"/>
    <x v="0"/>
    <x v="5"/>
    <m/>
    <n v="325"/>
    <s v="Cash"/>
    <s v="2025-05"/>
    <d v="2025-06-03T00:00:00"/>
    <x v="0"/>
    <m/>
    <m/>
    <m/>
    <m/>
  </r>
  <r>
    <n v="872"/>
    <x v="22"/>
    <d v="2025-03-10T00:00:00"/>
    <x v="3"/>
    <x v="2"/>
    <m/>
    <n v="1488"/>
    <s v="Cheque"/>
    <s v="2025-03"/>
    <d v="2025-06-09T00:00:00"/>
    <x v="0"/>
    <m/>
    <m/>
    <m/>
    <m/>
  </r>
  <r>
    <n v="1361"/>
    <x v="23"/>
    <d v="2024-03-31T00:00:00"/>
    <x v="1"/>
    <x v="1"/>
    <m/>
    <n v="305"/>
    <s v="Bank Transfer"/>
    <s v="2024-03"/>
    <d v="2025-06-21T00:00:00"/>
    <x v="0"/>
    <m/>
    <m/>
    <m/>
    <m/>
  </r>
  <r>
    <n v="1138"/>
    <x v="24"/>
    <d v="2024-12-13T00:00:00"/>
    <x v="4"/>
    <x v="1"/>
    <m/>
    <n v="1371"/>
    <s v="Cash"/>
    <s v="2024-12"/>
    <d v="2025-06-18T00:00:00"/>
    <x v="0"/>
    <m/>
    <m/>
    <m/>
    <m/>
  </r>
  <r>
    <n v="631"/>
    <x v="25"/>
    <d v="2024-01-05T00:00:00"/>
    <x v="2"/>
    <x v="4"/>
    <m/>
    <n v="11405"/>
    <s v="Cash"/>
    <s v="2024-01"/>
    <d v="2025-03-24T00:00:00"/>
    <x v="1"/>
    <m/>
    <m/>
    <m/>
    <m/>
  </r>
  <r>
    <n v="1276"/>
    <x v="26"/>
    <d v="2024-11-23T00:00:00"/>
    <x v="4"/>
    <x v="1"/>
    <m/>
    <n v="2057"/>
    <s v="Cheque"/>
    <s v="2024-11"/>
    <d v="2025-06-01T00:00:00"/>
    <x v="0"/>
    <m/>
    <m/>
    <m/>
    <m/>
  </r>
  <r>
    <n v="900"/>
    <x v="27"/>
    <d v="2024-01-02T00:00:00"/>
    <x v="1"/>
    <x v="2"/>
    <m/>
    <n v="4649"/>
    <s v="Cheque"/>
    <s v="2024-01"/>
    <d v="2025-05-13T00:00:00"/>
    <x v="0"/>
    <m/>
    <m/>
    <m/>
    <m/>
  </r>
  <r>
    <n v="1345"/>
    <x v="0"/>
    <d v="2025-02-09T00:00:00"/>
    <x v="3"/>
    <x v="5"/>
    <m/>
    <n v="243"/>
    <s v="Cash"/>
    <s v="2025-02"/>
    <d v="2025-05-08T00:00:00"/>
    <x v="0"/>
    <m/>
    <m/>
    <m/>
    <m/>
  </r>
  <r>
    <n v="364"/>
    <x v="28"/>
    <d v="2024-04-03T00:00:00"/>
    <x v="3"/>
    <x v="0"/>
    <m/>
    <n v="2890"/>
    <s v="Cheque"/>
    <s v="2024-04"/>
    <d v="2025-04-29T00:00:00"/>
    <x v="0"/>
    <m/>
    <m/>
    <m/>
    <m/>
  </r>
  <r>
    <n v="1095"/>
    <x v="29"/>
    <d v="2024-07-31T00:00:00"/>
    <x v="0"/>
    <x v="0"/>
    <m/>
    <n v="1667"/>
    <s v="Cash"/>
    <s v="2024-07"/>
    <d v="2025-04-26T00:00:00"/>
    <x v="0"/>
    <m/>
    <m/>
    <m/>
    <m/>
  </r>
  <r>
    <n v="1051"/>
    <x v="30"/>
    <d v="2025-01-02T00:00:00"/>
    <x v="3"/>
    <x v="4"/>
    <m/>
    <n v="618"/>
    <s v="UPI"/>
    <s v="2025-01"/>
    <d v="2025-05-17T00:00:00"/>
    <x v="0"/>
    <m/>
    <m/>
    <m/>
    <m/>
  </r>
  <r>
    <n v="1412"/>
    <x v="31"/>
    <d v="2024-04-02T00:00:00"/>
    <x v="4"/>
    <x v="3"/>
    <m/>
    <n v="8200"/>
    <s v="UPI"/>
    <s v="2024-04"/>
    <d v="2025-05-16T00:00:00"/>
    <x v="0"/>
    <m/>
    <m/>
    <m/>
    <m/>
  </r>
  <r>
    <n v="368"/>
    <x v="32"/>
    <d v="2024-07-14T00:00:00"/>
    <x v="1"/>
    <x v="3"/>
    <m/>
    <n v="614"/>
    <s v="Cheque"/>
    <s v="2024-07"/>
    <d v="2025-05-07T00:00:00"/>
    <x v="0"/>
    <m/>
    <m/>
    <m/>
    <m/>
  </r>
  <r>
    <n v="1151"/>
    <x v="33"/>
    <d v="2024-02-16T00:00:00"/>
    <x v="0"/>
    <x v="4"/>
    <m/>
    <n v="2273"/>
    <s v="Cash"/>
    <s v="2024-02"/>
    <d v="2025-03-13T00:00:00"/>
    <x v="1"/>
    <m/>
    <m/>
    <m/>
    <m/>
  </r>
  <r>
    <n v="1626"/>
    <x v="34"/>
    <d v="2024-08-03T00:00:00"/>
    <x v="1"/>
    <x v="2"/>
    <m/>
    <n v="9429"/>
    <s v="Credit Card"/>
    <s v="2024-08"/>
    <d v="2025-05-16T00:00:00"/>
    <x v="0"/>
    <m/>
    <m/>
    <m/>
    <m/>
  </r>
  <r>
    <n v="573"/>
    <x v="35"/>
    <d v="2024-02-13T00:00:00"/>
    <x v="2"/>
    <x v="4"/>
    <m/>
    <n v="9833"/>
    <s v="Cheque"/>
    <s v="2024-02"/>
    <d v="2025-06-13T00:00:00"/>
    <x v="0"/>
    <m/>
    <m/>
    <m/>
    <m/>
  </r>
  <r>
    <n v="1211"/>
    <x v="27"/>
    <d v="2024-03-27T00:00:00"/>
    <x v="0"/>
    <x v="1"/>
    <m/>
    <n v="590"/>
    <s v="Bank Transfer"/>
    <s v="2024-03"/>
    <d v="2025-05-13T00:00:00"/>
    <x v="0"/>
    <m/>
    <m/>
    <m/>
    <m/>
  </r>
  <r>
    <n v="604"/>
    <x v="36"/>
    <d v="2025-03-31T00:00:00"/>
    <x v="1"/>
    <x v="0"/>
    <m/>
    <n v="1739"/>
    <s v="Bank Transfer"/>
    <s v="2025-03"/>
    <d v="2025-06-16T00:00:00"/>
    <x v="0"/>
    <m/>
    <m/>
    <m/>
    <m/>
  </r>
  <r>
    <n v="1017"/>
    <x v="37"/>
    <d v="2024-09-03T00:00:00"/>
    <x v="3"/>
    <x v="2"/>
    <m/>
    <n v="8801"/>
    <s v="Cash"/>
    <s v="2024-09"/>
    <d v="2025-06-21T00:00:00"/>
    <x v="0"/>
    <m/>
    <m/>
    <m/>
    <m/>
  </r>
  <r>
    <n v="1455"/>
    <x v="38"/>
    <d v="2024-08-22T00:00:00"/>
    <x v="3"/>
    <x v="5"/>
    <m/>
    <n v="680"/>
    <s v="Cheque"/>
    <s v="2024-08"/>
    <d v="2025-05-29T00:00:00"/>
    <x v="0"/>
    <m/>
    <m/>
    <m/>
    <m/>
  </r>
  <r>
    <n v="456"/>
    <x v="36"/>
    <d v="2024-07-22T00:00:00"/>
    <x v="2"/>
    <x v="0"/>
    <m/>
    <n v="1978"/>
    <s v="Bank Transfer"/>
    <s v="2024-07"/>
    <d v="2025-06-16T00:00:00"/>
    <x v="0"/>
    <m/>
    <m/>
    <m/>
    <m/>
  </r>
  <r>
    <n v="314"/>
    <x v="39"/>
    <d v="2024-09-28T00:00:00"/>
    <x v="1"/>
    <x v="5"/>
    <m/>
    <n v="1677"/>
    <s v="Cash"/>
    <s v="2024-09"/>
    <d v="2025-06-22T00:00:00"/>
    <x v="0"/>
    <m/>
    <m/>
    <m/>
    <m/>
  </r>
  <r>
    <n v="507"/>
    <x v="5"/>
    <d v="2024-05-28T00:00:00"/>
    <x v="2"/>
    <x v="1"/>
    <m/>
    <n v="2310"/>
    <s v="Cash"/>
    <s v="2024-05"/>
    <d v="2025-05-24T00:00:00"/>
    <x v="0"/>
    <m/>
    <m/>
    <m/>
    <m/>
  </r>
  <r>
    <n v="1204"/>
    <x v="40"/>
    <d v="2024-07-24T00:00:00"/>
    <x v="3"/>
    <x v="5"/>
    <m/>
    <n v="1313"/>
    <s v="Credit Card"/>
    <s v="2024-07"/>
    <d v="2025-05-30T00:00:00"/>
    <x v="0"/>
    <m/>
    <m/>
    <m/>
    <m/>
  </r>
  <r>
    <n v="1262"/>
    <x v="19"/>
    <d v="2025-02-21T00:00:00"/>
    <x v="0"/>
    <x v="4"/>
    <m/>
    <n v="4366"/>
    <s v="Bank Transfer"/>
    <s v="2025-02"/>
    <d v="2025-06-19T00:00:00"/>
    <x v="0"/>
    <m/>
    <m/>
    <m/>
    <m/>
  </r>
  <r>
    <n v="1150"/>
    <x v="41"/>
    <d v="2024-02-20T00:00:00"/>
    <x v="3"/>
    <x v="1"/>
    <m/>
    <n v="2209"/>
    <s v="Cash"/>
    <s v="2024-02"/>
    <d v="2025-06-08T00:00:00"/>
    <x v="0"/>
    <m/>
    <m/>
    <m/>
    <m/>
  </r>
  <r>
    <n v="1047"/>
    <x v="42"/>
    <d v="2024-02-28T00:00:00"/>
    <x v="2"/>
    <x v="0"/>
    <m/>
    <n v="886"/>
    <s v="Bank Transfer"/>
    <s v="2024-02"/>
    <d v="2025-05-08T00:00:00"/>
    <x v="0"/>
    <m/>
    <m/>
    <m/>
    <m/>
  </r>
  <r>
    <n v="345"/>
    <x v="1"/>
    <d v="2024-09-11T00:00:00"/>
    <x v="1"/>
    <x v="5"/>
    <m/>
    <n v="1262"/>
    <s v="Cheque"/>
    <s v="2024-09"/>
    <d v="2025-06-05T00:00:00"/>
    <x v="0"/>
    <m/>
    <m/>
    <m/>
    <m/>
  </r>
  <r>
    <n v="1597"/>
    <x v="37"/>
    <d v="2025-05-10T00:00:00"/>
    <x v="2"/>
    <x v="4"/>
    <m/>
    <n v="11332"/>
    <s v="Bank Transfer"/>
    <s v="2025-05"/>
    <d v="2025-06-21T00:00:00"/>
    <x v="0"/>
    <m/>
    <m/>
    <m/>
    <m/>
  </r>
  <r>
    <n v="230"/>
    <x v="43"/>
    <d v="2025-02-02T00:00:00"/>
    <x v="1"/>
    <x v="3"/>
    <m/>
    <n v="802"/>
    <s v="Bank Transfer"/>
    <s v="2025-02"/>
    <d v="2025-06-13T00:00:00"/>
    <x v="0"/>
    <m/>
    <m/>
    <m/>
    <m/>
  </r>
  <r>
    <n v="282"/>
    <x v="1"/>
    <d v="2025-03-05T00:00:00"/>
    <x v="1"/>
    <x v="4"/>
    <m/>
    <n v="875"/>
    <s v="Bank Transfer"/>
    <s v="2025-03"/>
    <d v="2025-06-05T00:00:00"/>
    <x v="0"/>
    <m/>
    <m/>
    <m/>
    <m/>
  </r>
  <r>
    <n v="867"/>
    <x v="43"/>
    <d v="2024-06-23T00:00:00"/>
    <x v="0"/>
    <x v="4"/>
    <m/>
    <n v="5612"/>
    <s v="Cheque"/>
    <s v="2024-06"/>
    <d v="2025-06-13T00:00:00"/>
    <x v="0"/>
    <m/>
    <m/>
    <m/>
    <m/>
  </r>
  <r>
    <n v="876"/>
    <x v="44"/>
    <d v="2024-04-30T00:00:00"/>
    <x v="1"/>
    <x v="1"/>
    <m/>
    <n v="2265"/>
    <s v="UPI"/>
    <s v="2024-04"/>
    <d v="2025-04-26T00:00:00"/>
    <x v="0"/>
    <m/>
    <m/>
    <m/>
    <m/>
  </r>
  <r>
    <n v="877"/>
    <x v="7"/>
    <d v="2025-06-11T00:00:00"/>
    <x v="5"/>
    <x v="1"/>
    <m/>
    <n v="247"/>
    <s v="UPI"/>
    <s v="2025-06"/>
    <d v="2025-06-11T00:00:00"/>
    <x v="0"/>
    <m/>
    <m/>
    <m/>
    <m/>
  </r>
  <r>
    <n v="1355"/>
    <x v="45"/>
    <d v="2024-10-13T00:00:00"/>
    <x v="2"/>
    <x v="5"/>
    <m/>
    <n v="580"/>
    <s v="Bank Transfer"/>
    <s v="2024-10"/>
    <d v="2025-06-18T00:00:00"/>
    <x v="0"/>
    <m/>
    <m/>
    <m/>
    <m/>
  </r>
  <r>
    <n v="1581"/>
    <x v="13"/>
    <d v="2024-10-22T00:00:00"/>
    <x v="3"/>
    <x v="3"/>
    <m/>
    <n v="1276"/>
    <s v="UPI"/>
    <s v="2024-10"/>
    <d v="2025-05-11T00:00:00"/>
    <x v="0"/>
    <m/>
    <m/>
    <m/>
    <m/>
  </r>
  <r>
    <n v="420"/>
    <x v="46"/>
    <d v="2025-01-14T00:00:00"/>
    <x v="3"/>
    <x v="3"/>
    <m/>
    <n v="879"/>
    <s v="Cash"/>
    <s v="2025-01"/>
    <d v="2025-06-04T00:00:00"/>
    <x v="0"/>
    <m/>
    <m/>
    <m/>
    <m/>
  </r>
  <r>
    <n v="375"/>
    <x v="18"/>
    <d v="2024-06-13T00:00:00"/>
    <x v="1"/>
    <x v="4"/>
    <m/>
    <n v="538"/>
    <s v="Bank Transfer"/>
    <s v="2024-06"/>
    <d v="2025-05-23T00:00:00"/>
    <x v="0"/>
    <m/>
    <m/>
    <m/>
    <m/>
  </r>
  <r>
    <n v="1196"/>
    <x v="34"/>
    <d v="2024-10-25T00:00:00"/>
    <x v="2"/>
    <x v="4"/>
    <m/>
    <n v="1148"/>
    <s v="Bank Transfer"/>
    <s v="2024-10"/>
    <d v="2025-05-16T00:00:00"/>
    <x v="0"/>
    <m/>
    <m/>
    <m/>
    <m/>
  </r>
  <r>
    <n v="299"/>
    <x v="47"/>
    <d v="2025-05-11T00:00:00"/>
    <x v="3"/>
    <x v="0"/>
    <m/>
    <n v="4777"/>
    <s v="Credit Card"/>
    <s v="2025-05"/>
    <d v="2025-05-11T00:00:00"/>
    <x v="0"/>
    <m/>
    <m/>
    <m/>
    <m/>
  </r>
  <r>
    <n v="1279"/>
    <x v="14"/>
    <d v="2024-10-06T00:00:00"/>
    <x v="2"/>
    <x v="1"/>
    <m/>
    <n v="713"/>
    <s v="Credit Card"/>
    <s v="2024-10"/>
    <d v="2025-04-16T00:00:00"/>
    <x v="0"/>
    <m/>
    <m/>
    <m/>
    <m/>
  </r>
  <r>
    <n v="756"/>
    <x v="10"/>
    <d v="2024-01-26T00:00:00"/>
    <x v="4"/>
    <x v="2"/>
    <m/>
    <n v="887"/>
    <s v="Credit Card"/>
    <s v="2024-01"/>
    <d v="2025-05-17T00:00:00"/>
    <x v="0"/>
    <m/>
    <m/>
    <m/>
    <m/>
  </r>
  <r>
    <n v="417"/>
    <x v="48"/>
    <d v="2025-01-14T00:00:00"/>
    <x v="3"/>
    <x v="1"/>
    <m/>
    <n v="2989"/>
    <s v="Cheque"/>
    <s v="2025-01"/>
    <d v="2025-04-13T00:00:00"/>
    <x v="0"/>
    <m/>
    <m/>
    <m/>
    <m/>
  </r>
  <r>
    <n v="1183"/>
    <x v="49"/>
    <d v="2025-04-12T00:00:00"/>
    <x v="1"/>
    <x v="1"/>
    <m/>
    <n v="2493"/>
    <s v="Credit Card"/>
    <s v="2025-04"/>
    <d v="2025-05-18T00:00:00"/>
    <x v="0"/>
    <m/>
    <m/>
    <m/>
    <m/>
  </r>
  <r>
    <n v="325"/>
    <x v="50"/>
    <d v="2024-08-31T00:00:00"/>
    <x v="0"/>
    <x v="5"/>
    <m/>
    <n v="4040"/>
    <s v="Bank Transfer"/>
    <s v="2024-08"/>
    <d v="2025-06-21T00:00:00"/>
    <x v="0"/>
    <m/>
    <m/>
    <m/>
    <m/>
  </r>
  <r>
    <n v="1427"/>
    <x v="47"/>
    <d v="2025-04-16T00:00:00"/>
    <x v="3"/>
    <x v="5"/>
    <m/>
    <n v="2368"/>
    <s v="Cheque"/>
    <s v="2025-04"/>
    <d v="2025-05-11T00:00:00"/>
    <x v="0"/>
    <m/>
    <m/>
    <m/>
    <m/>
  </r>
  <r>
    <n v="1094"/>
    <x v="51"/>
    <d v="2024-08-25T00:00:00"/>
    <x v="1"/>
    <x v="1"/>
    <m/>
    <n v="1057"/>
    <s v="Bank Transfer"/>
    <s v="2024-08"/>
    <d v="2025-06-22T00:00:00"/>
    <x v="0"/>
    <m/>
    <m/>
    <m/>
    <m/>
  </r>
  <r>
    <n v="117"/>
    <x v="15"/>
    <d v="2025-02-14T00:00:00"/>
    <x v="4"/>
    <x v="2"/>
    <m/>
    <n v="418"/>
    <s v="Cheque"/>
    <s v="2025-02"/>
    <d v="2025-05-15T00:00:00"/>
    <x v="0"/>
    <m/>
    <m/>
    <m/>
    <m/>
  </r>
  <r>
    <n v="755"/>
    <x v="52"/>
    <d v="2024-02-14T00:00:00"/>
    <x v="4"/>
    <x v="3"/>
    <m/>
    <n v="2918"/>
    <s v="Cheque"/>
    <s v="2024-02"/>
    <d v="2025-04-04T00:00:00"/>
    <x v="0"/>
    <m/>
    <m/>
    <m/>
    <m/>
  </r>
  <r>
    <n v="770"/>
    <x v="53"/>
    <d v="2025-01-03T00:00:00"/>
    <x v="2"/>
    <x v="4"/>
    <m/>
    <n v="1827"/>
    <s v="Credit Card"/>
    <s v="2025-01"/>
    <d v="2025-06-06T00:00:00"/>
    <x v="0"/>
    <m/>
    <m/>
    <m/>
    <m/>
  </r>
  <r>
    <n v="1615"/>
    <x v="54"/>
    <d v="2024-02-03T00:00:00"/>
    <x v="4"/>
    <x v="0"/>
    <m/>
    <n v="1004"/>
    <s v="Cash"/>
    <s v="2024-02"/>
    <d v="2025-02-10T00:00:00"/>
    <x v="1"/>
    <m/>
    <m/>
    <m/>
    <m/>
  </r>
  <r>
    <n v="141"/>
    <x v="55"/>
    <d v="2025-06-12T00:00:00"/>
    <x v="2"/>
    <x v="5"/>
    <m/>
    <n v="1105"/>
    <s v="Bank Transfer"/>
    <s v="2025-06"/>
    <d v="2025-06-22T00:00:00"/>
    <x v="0"/>
    <m/>
    <m/>
    <m/>
    <m/>
  </r>
  <r>
    <n v="541"/>
    <x v="56"/>
    <d v="2024-11-20T00:00:00"/>
    <x v="3"/>
    <x v="2"/>
    <m/>
    <n v="2919"/>
    <s v="Cash"/>
    <s v="2024-11"/>
    <d v="2025-04-25T00:00:00"/>
    <x v="0"/>
    <m/>
    <m/>
    <m/>
    <m/>
  </r>
  <r>
    <n v="1711"/>
    <x v="50"/>
    <d v="2025-03-13T00:00:00"/>
    <x v="3"/>
    <x v="4"/>
    <m/>
    <n v="11516"/>
    <s v="UPI"/>
    <s v="2025-03"/>
    <d v="2025-06-21T00:00:00"/>
    <x v="0"/>
    <m/>
    <m/>
    <m/>
    <m/>
  </r>
  <r>
    <n v="3"/>
    <x v="42"/>
    <d v="2024-10-11T00:00:00"/>
    <x v="2"/>
    <x v="4"/>
    <m/>
    <n v="702"/>
    <s v="Credit Card"/>
    <s v="2024-10"/>
    <d v="2025-05-08T00:00:00"/>
    <x v="0"/>
    <m/>
    <m/>
    <m/>
    <m/>
  </r>
  <r>
    <n v="377"/>
    <x v="57"/>
    <d v="2024-11-16T00:00:00"/>
    <x v="2"/>
    <x v="3"/>
    <m/>
    <n v="2203"/>
    <s v="Cash"/>
    <s v="2024-11"/>
    <d v="2025-06-08T00:00:00"/>
    <x v="0"/>
    <m/>
    <m/>
    <m/>
    <m/>
  </r>
  <r>
    <n v="360"/>
    <x v="58"/>
    <d v="2025-06-15T00:00:00"/>
    <x v="3"/>
    <x v="3"/>
    <m/>
    <n v="799"/>
    <s v="Credit Card"/>
    <s v="2025-06"/>
    <d v="2025-06-15T00:00:00"/>
    <x v="0"/>
    <m/>
    <m/>
    <m/>
    <m/>
  </r>
  <r>
    <n v="242"/>
    <x v="51"/>
    <d v="2024-08-14T00:00:00"/>
    <x v="1"/>
    <x v="1"/>
    <m/>
    <n v="333"/>
    <s v="Cheque"/>
    <s v="2024-08"/>
    <d v="2025-06-22T00:00:00"/>
    <x v="0"/>
    <m/>
    <m/>
    <m/>
    <m/>
  </r>
  <r>
    <n v="588"/>
    <x v="59"/>
    <d v="2024-03-02T00:00:00"/>
    <x v="4"/>
    <x v="3"/>
    <m/>
    <n v="295"/>
    <s v="Credit Card"/>
    <s v="2024-03"/>
    <d v="2025-06-07T00:00:00"/>
    <x v="0"/>
    <m/>
    <m/>
    <m/>
    <m/>
  </r>
  <r>
    <n v="1511"/>
    <x v="60"/>
    <d v="2024-12-11T00:00:00"/>
    <x v="2"/>
    <x v="3"/>
    <m/>
    <n v="555"/>
    <s v="UPI"/>
    <s v="2024-12"/>
    <d v="2025-05-26T00:00:00"/>
    <x v="0"/>
    <m/>
    <m/>
    <m/>
    <m/>
  </r>
  <r>
    <n v="1126"/>
    <x v="61"/>
    <d v="2024-02-02T00:00:00"/>
    <x v="2"/>
    <x v="0"/>
    <m/>
    <n v="1485"/>
    <s v="Cash"/>
    <s v="2024-02"/>
    <d v="2025-05-18T00:00:00"/>
    <x v="0"/>
    <m/>
    <m/>
    <m/>
    <m/>
  </r>
  <r>
    <n v="1107"/>
    <x v="62"/>
    <d v="2025-04-29T00:00:00"/>
    <x v="4"/>
    <x v="3"/>
    <m/>
    <n v="2391"/>
    <s v="UPI"/>
    <s v="2025-04"/>
    <d v="2025-06-06T00:00:00"/>
    <x v="0"/>
    <m/>
    <m/>
    <m/>
    <m/>
  </r>
  <r>
    <n v="1322"/>
    <x v="34"/>
    <d v="2024-02-13T00:00:00"/>
    <x v="1"/>
    <x v="1"/>
    <m/>
    <n v="346"/>
    <s v="Bank Transfer"/>
    <s v="2024-02"/>
    <d v="2025-05-16T00:00:00"/>
    <x v="0"/>
    <m/>
    <m/>
    <m/>
    <m/>
  </r>
  <r>
    <n v="1574"/>
    <x v="10"/>
    <d v="2024-12-14T00:00:00"/>
    <x v="0"/>
    <x v="2"/>
    <m/>
    <n v="268"/>
    <s v="Cash"/>
    <s v="2024-12"/>
    <d v="2025-05-17T00:00:00"/>
    <x v="0"/>
    <m/>
    <m/>
    <m/>
    <m/>
  </r>
  <r>
    <n v="962"/>
    <x v="63"/>
    <d v="2024-07-31T00:00:00"/>
    <x v="2"/>
    <x v="1"/>
    <m/>
    <n v="483"/>
    <s v="Cash"/>
    <s v="2024-07"/>
    <d v="2025-06-11T00:00:00"/>
    <x v="0"/>
    <m/>
    <m/>
    <m/>
    <m/>
  </r>
  <r>
    <n v="72"/>
    <x v="44"/>
    <d v="2025-04-26T00:00:00"/>
    <x v="2"/>
    <x v="4"/>
    <m/>
    <n v="2707"/>
    <s v="Cash"/>
    <s v="2025-04"/>
    <d v="2025-04-26T00:00:00"/>
    <x v="0"/>
    <m/>
    <m/>
    <m/>
    <m/>
  </r>
  <r>
    <n v="1682"/>
    <x v="40"/>
    <d v="2024-03-07T00:00:00"/>
    <x v="3"/>
    <x v="4"/>
    <m/>
    <n v="2595"/>
    <s v="Cheque"/>
    <s v="2024-03"/>
    <d v="2025-05-30T00:00:00"/>
    <x v="0"/>
    <m/>
    <m/>
    <m/>
    <m/>
  </r>
  <r>
    <n v="285"/>
    <x v="40"/>
    <d v="2025-05-20T00:00:00"/>
    <x v="4"/>
    <x v="2"/>
    <m/>
    <n v="11042"/>
    <s v="Credit Card"/>
    <s v="2025-05"/>
    <d v="2025-05-30T00:00:00"/>
    <x v="0"/>
    <m/>
    <m/>
    <m/>
    <m/>
  </r>
  <r>
    <n v="830"/>
    <x v="64"/>
    <d v="2024-02-12T00:00:00"/>
    <x v="4"/>
    <x v="0"/>
    <m/>
    <n v="475"/>
    <s v="Cheque"/>
    <s v="2024-02"/>
    <d v="2025-04-28T00:00:00"/>
    <x v="0"/>
    <m/>
    <m/>
    <m/>
    <m/>
  </r>
  <r>
    <n v="1648"/>
    <x v="42"/>
    <d v="2024-04-09T00:00:00"/>
    <x v="1"/>
    <x v="1"/>
    <m/>
    <n v="859"/>
    <s v="UPI"/>
    <s v="2024-04"/>
    <d v="2025-05-08T00:00:00"/>
    <x v="0"/>
    <m/>
    <m/>
    <m/>
    <m/>
  </r>
  <r>
    <n v="5"/>
    <x v="65"/>
    <d v="2025-01-05T00:00:00"/>
    <x v="4"/>
    <x v="2"/>
    <m/>
    <n v="818"/>
    <s v="Credit Card"/>
    <s v="2025-01"/>
    <d v="2025-06-18T00:00:00"/>
    <x v="0"/>
    <m/>
    <m/>
    <m/>
    <m/>
  </r>
  <r>
    <n v="416"/>
    <x v="66"/>
    <d v="2024-09-16T00:00:00"/>
    <x v="3"/>
    <x v="1"/>
    <m/>
    <n v="5224"/>
    <s v="Cash"/>
    <s v="2024-09"/>
    <d v="2025-06-21T00:00:00"/>
    <x v="0"/>
    <m/>
    <m/>
    <m/>
    <m/>
  </r>
  <r>
    <n v="559"/>
    <x v="67"/>
    <d v="2024-04-10T00:00:00"/>
    <x v="3"/>
    <x v="1"/>
    <m/>
    <n v="333"/>
    <s v="Credit Card"/>
    <s v="2024-04"/>
    <d v="2025-06-21T00:00:00"/>
    <x v="0"/>
    <m/>
    <m/>
    <m/>
    <m/>
  </r>
  <r>
    <n v="1785"/>
    <x v="68"/>
    <d v="2024-07-19T00:00:00"/>
    <x v="2"/>
    <x v="2"/>
    <m/>
    <n v="1641"/>
    <s v="UPI"/>
    <s v="2024-07"/>
    <d v="2025-04-25T00:00:00"/>
    <x v="0"/>
    <m/>
    <m/>
    <m/>
    <m/>
  </r>
  <r>
    <n v="621"/>
    <x v="69"/>
    <d v="2024-03-19T00:00:00"/>
    <x v="4"/>
    <x v="2"/>
    <m/>
    <n v="1659"/>
    <s v="Cheque"/>
    <s v="2024-03"/>
    <d v="2025-03-22T00:00:00"/>
    <x v="1"/>
    <m/>
    <m/>
    <m/>
    <m/>
  </r>
  <r>
    <n v="1387"/>
    <x v="17"/>
    <d v="2025-02-27T00:00:00"/>
    <x v="1"/>
    <x v="4"/>
    <m/>
    <n v="2406"/>
    <s v="Cash"/>
    <s v="2025-02"/>
    <d v="2025-05-21T00:00:00"/>
    <x v="0"/>
    <m/>
    <m/>
    <m/>
    <m/>
  </r>
  <r>
    <n v="1237"/>
    <x v="17"/>
    <d v="2025-05-21T00:00:00"/>
    <x v="0"/>
    <x v="1"/>
    <m/>
    <n v="528"/>
    <s v="Bank Transfer"/>
    <s v="2025-05"/>
    <d v="2025-05-21T00:00:00"/>
    <x v="0"/>
    <m/>
    <m/>
    <m/>
    <m/>
  </r>
  <r>
    <n v="934"/>
    <x v="57"/>
    <d v="2024-11-12T00:00:00"/>
    <x v="2"/>
    <x v="1"/>
    <m/>
    <n v="982"/>
    <s v="Credit Card"/>
    <s v="2024-11"/>
    <d v="2025-06-08T00:00:00"/>
    <x v="0"/>
    <m/>
    <m/>
    <m/>
    <m/>
  </r>
  <r>
    <n v="1400"/>
    <x v="53"/>
    <d v="2024-02-25T00:00:00"/>
    <x v="2"/>
    <x v="5"/>
    <m/>
    <n v="1019"/>
    <s v="Bank Transfer"/>
    <s v="2024-02"/>
    <d v="2025-06-06T00:00:00"/>
    <x v="0"/>
    <m/>
    <m/>
    <m/>
    <m/>
  </r>
  <r>
    <n v="341"/>
    <x v="70"/>
    <d v="2024-02-25T00:00:00"/>
    <x v="4"/>
    <x v="4"/>
    <m/>
    <n v="1874"/>
    <s v="Cheque"/>
    <s v="2024-02"/>
    <d v="2025-05-26T00:00:00"/>
    <x v="0"/>
    <m/>
    <m/>
    <m/>
    <m/>
  </r>
  <r>
    <n v="937"/>
    <x v="55"/>
    <d v="2025-06-08T00:00:00"/>
    <x v="3"/>
    <x v="5"/>
    <m/>
    <n v="4167"/>
    <s v="Cash"/>
    <s v="2025-06"/>
    <d v="2025-06-22T00:00:00"/>
    <x v="0"/>
    <m/>
    <m/>
    <m/>
    <m/>
  </r>
  <r>
    <n v="1433"/>
    <x v="71"/>
    <d v="2024-11-30T00:00:00"/>
    <x v="4"/>
    <x v="2"/>
    <m/>
    <n v="10730"/>
    <s v="Cheque"/>
    <s v="2024-11"/>
    <d v="2025-05-16T00:00:00"/>
    <x v="0"/>
    <m/>
    <m/>
    <m/>
    <m/>
  </r>
  <r>
    <n v="681"/>
    <x v="50"/>
    <d v="2025-03-26T00:00:00"/>
    <x v="4"/>
    <x v="4"/>
    <m/>
    <n v="446"/>
    <s v="UPI"/>
    <s v="2025-03"/>
    <d v="2025-06-21T00:00:00"/>
    <x v="0"/>
    <m/>
    <m/>
    <m/>
    <m/>
  </r>
  <r>
    <n v="693"/>
    <x v="72"/>
    <d v="2024-05-10T00:00:00"/>
    <x v="1"/>
    <x v="4"/>
    <m/>
    <n v="9711"/>
    <s v="Cheque"/>
    <s v="2024-05"/>
    <d v="2025-05-21T00:00:00"/>
    <x v="0"/>
    <m/>
    <m/>
    <m/>
    <m/>
  </r>
  <r>
    <n v="1344"/>
    <x v="30"/>
    <d v="2024-08-18T00:00:00"/>
    <x v="2"/>
    <x v="3"/>
    <m/>
    <n v="2207"/>
    <s v="Credit Card"/>
    <s v="2024-08"/>
    <d v="2025-05-17T00:00:00"/>
    <x v="0"/>
    <m/>
    <m/>
    <m/>
    <m/>
  </r>
  <r>
    <n v="886"/>
    <x v="68"/>
    <d v="2024-04-15T00:00:00"/>
    <x v="3"/>
    <x v="0"/>
    <m/>
    <n v="1313"/>
    <s v="Cheque"/>
    <s v="2024-04"/>
    <d v="2025-04-25T00:00:00"/>
    <x v="0"/>
    <m/>
    <m/>
    <m/>
    <m/>
  </r>
  <r>
    <n v="526"/>
    <x v="7"/>
    <d v="2024-04-10T00:00:00"/>
    <x v="5"/>
    <x v="2"/>
    <m/>
    <n v="1323"/>
    <s v="UPI"/>
    <s v="2024-04"/>
    <d v="2025-06-11T00:00:00"/>
    <x v="0"/>
    <m/>
    <m/>
    <m/>
    <m/>
  </r>
  <r>
    <n v="1651"/>
    <x v="47"/>
    <d v="2024-07-05T00:00:00"/>
    <x v="3"/>
    <x v="0"/>
    <m/>
    <n v="4894"/>
    <s v="Cash"/>
    <s v="2024-07"/>
    <d v="2025-05-11T00:00:00"/>
    <x v="0"/>
    <m/>
    <m/>
    <m/>
    <m/>
  </r>
  <r>
    <n v="1790"/>
    <x v="56"/>
    <d v="2025-04-25T00:00:00"/>
    <x v="0"/>
    <x v="0"/>
    <m/>
    <n v="572"/>
    <s v="Credit Card"/>
    <s v="2025-04"/>
    <d v="2025-04-25T00:00:00"/>
    <x v="0"/>
    <m/>
    <m/>
    <m/>
    <m/>
  </r>
  <r>
    <n v="427"/>
    <x v="15"/>
    <d v="2024-09-21T00:00:00"/>
    <x v="0"/>
    <x v="2"/>
    <m/>
    <n v="2142"/>
    <s v="Credit Card"/>
    <s v="2024-09"/>
    <d v="2025-05-15T00:00:00"/>
    <x v="0"/>
    <m/>
    <m/>
    <m/>
    <m/>
  </r>
  <r>
    <n v="1157"/>
    <x v="73"/>
    <d v="2025-05-17T00:00:00"/>
    <x v="0"/>
    <x v="0"/>
    <m/>
    <n v="1427"/>
    <s v="UPI"/>
    <s v="2025-05"/>
    <d v="2025-05-17T00:00:00"/>
    <x v="0"/>
    <m/>
    <m/>
    <m/>
    <m/>
  </r>
  <r>
    <n v="685"/>
    <x v="63"/>
    <d v="2024-05-04T00:00:00"/>
    <x v="1"/>
    <x v="0"/>
    <m/>
    <n v="1135"/>
    <s v="Credit Card"/>
    <s v="2024-05"/>
    <d v="2025-06-11T00:00:00"/>
    <x v="0"/>
    <m/>
    <m/>
    <m/>
    <m/>
  </r>
  <r>
    <n v="884"/>
    <x v="74"/>
    <d v="2024-12-16T00:00:00"/>
    <x v="3"/>
    <x v="2"/>
    <m/>
    <n v="487"/>
    <s v="Bank Transfer"/>
    <s v="2024-12"/>
    <d v="2025-05-11T00:00:00"/>
    <x v="0"/>
    <m/>
    <m/>
    <m/>
    <m/>
  </r>
  <r>
    <n v="1658"/>
    <x v="16"/>
    <d v="2024-03-07T00:00:00"/>
    <x v="0"/>
    <x v="0"/>
    <m/>
    <n v="322"/>
    <s v="Cash"/>
    <s v="2024-03"/>
    <d v="2025-05-28T00:00:00"/>
    <x v="0"/>
    <m/>
    <m/>
    <m/>
    <m/>
  </r>
  <r>
    <n v="864"/>
    <x v="26"/>
    <d v="2024-09-10T00:00:00"/>
    <x v="1"/>
    <x v="3"/>
    <m/>
    <n v="8440"/>
    <s v="Cheque"/>
    <s v="2024-09"/>
    <d v="2025-06-01T00:00:00"/>
    <x v="0"/>
    <m/>
    <m/>
    <m/>
    <m/>
  </r>
  <r>
    <n v="1709"/>
    <x v="75"/>
    <d v="2024-08-22T00:00:00"/>
    <x v="4"/>
    <x v="5"/>
    <m/>
    <n v="407"/>
    <s v="UPI"/>
    <s v="2024-08"/>
    <d v="2025-06-13T00:00:00"/>
    <x v="0"/>
    <m/>
    <m/>
    <m/>
    <m/>
  </r>
  <r>
    <n v="632"/>
    <x v="76"/>
    <d v="2024-07-04T00:00:00"/>
    <x v="1"/>
    <x v="1"/>
    <m/>
    <n v="664"/>
    <s v="Credit Card"/>
    <s v="2024-07"/>
    <d v="2025-03-18T00:00:00"/>
    <x v="1"/>
    <m/>
    <m/>
    <m/>
    <m/>
  </r>
  <r>
    <n v="817"/>
    <x v="0"/>
    <d v="2025-05-08T00:00:00"/>
    <x v="0"/>
    <x v="1"/>
    <m/>
    <n v="1104"/>
    <s v="Bank Transfer"/>
    <s v="2025-05"/>
    <d v="2025-05-08T00:00:00"/>
    <x v="0"/>
    <m/>
    <m/>
    <m/>
    <m/>
  </r>
  <r>
    <n v="1454"/>
    <x v="77"/>
    <d v="2024-03-05T00:00:00"/>
    <x v="0"/>
    <x v="1"/>
    <m/>
    <n v="2338"/>
    <s v="Cheque"/>
    <s v="2024-03"/>
    <d v="2025-05-21T00:00:00"/>
    <x v="0"/>
    <m/>
    <m/>
    <m/>
    <m/>
  </r>
  <r>
    <n v="528"/>
    <x v="78"/>
    <d v="2024-11-15T00:00:00"/>
    <x v="4"/>
    <x v="5"/>
    <m/>
    <n v="1754"/>
    <s v="Bank Transfer"/>
    <s v="2024-11"/>
    <d v="2025-06-02T00:00:00"/>
    <x v="0"/>
    <m/>
    <m/>
    <m/>
    <m/>
  </r>
  <r>
    <n v="670"/>
    <x v="0"/>
    <d v="2024-08-17T00:00:00"/>
    <x v="2"/>
    <x v="0"/>
    <m/>
    <n v="2325"/>
    <s v="Cash"/>
    <s v="2024-08"/>
    <d v="2025-05-08T00:00:00"/>
    <x v="0"/>
    <m/>
    <m/>
    <m/>
    <m/>
  </r>
  <r>
    <n v="1770"/>
    <x v="79"/>
    <d v="2024-07-07T00:00:00"/>
    <x v="2"/>
    <x v="2"/>
    <m/>
    <n v="1597"/>
    <s v="Cheque"/>
    <s v="2024-07"/>
    <d v="2025-04-29T00:00:00"/>
    <x v="0"/>
    <m/>
    <m/>
    <m/>
    <m/>
  </r>
  <r>
    <n v="502"/>
    <x v="48"/>
    <d v="2024-02-10T00:00:00"/>
    <x v="0"/>
    <x v="0"/>
    <m/>
    <n v="438"/>
    <s v="Cash"/>
    <s v="2024-02"/>
    <d v="2025-04-13T00:00:00"/>
    <x v="0"/>
    <m/>
    <m/>
    <m/>
    <m/>
  </r>
  <r>
    <n v="1029"/>
    <x v="80"/>
    <d v="2024-05-21T00:00:00"/>
    <x v="2"/>
    <x v="1"/>
    <m/>
    <n v="788"/>
    <s v="UPI"/>
    <s v="2024-05"/>
    <d v="2025-02-25T00:00:00"/>
    <x v="1"/>
    <m/>
    <m/>
    <m/>
    <m/>
  </r>
  <r>
    <n v="1434"/>
    <x v="75"/>
    <d v="2024-10-05T00:00:00"/>
    <x v="3"/>
    <x v="5"/>
    <m/>
    <n v="357"/>
    <s v="Cash"/>
    <s v="2024-10"/>
    <d v="2025-06-13T00:00:00"/>
    <x v="0"/>
    <m/>
    <m/>
    <m/>
    <m/>
  </r>
  <r>
    <n v="1117"/>
    <x v="81"/>
    <d v="2024-11-20T00:00:00"/>
    <x v="4"/>
    <x v="0"/>
    <m/>
    <n v="5033"/>
    <s v="Cash"/>
    <s v="2024-11"/>
    <d v="2025-06-20T00:00:00"/>
    <x v="0"/>
    <m/>
    <m/>
    <m/>
    <m/>
  </r>
  <r>
    <n v="1135"/>
    <x v="24"/>
    <d v="2024-04-08T00:00:00"/>
    <x v="4"/>
    <x v="5"/>
    <m/>
    <n v="1440"/>
    <s v="Bank Transfer"/>
    <s v="2024-04"/>
    <d v="2025-06-18T00:00:00"/>
    <x v="0"/>
    <m/>
    <m/>
    <m/>
    <m/>
  </r>
  <r>
    <n v="1715"/>
    <x v="42"/>
    <d v="2024-02-07T00:00:00"/>
    <x v="2"/>
    <x v="2"/>
    <m/>
    <n v="10991"/>
    <s v="Cash"/>
    <s v="2024-02"/>
    <d v="2025-05-08T00:00:00"/>
    <x v="0"/>
    <m/>
    <m/>
    <m/>
    <m/>
  </r>
  <r>
    <n v="1746"/>
    <x v="59"/>
    <d v="2024-09-20T00:00:00"/>
    <x v="0"/>
    <x v="3"/>
    <m/>
    <n v="851"/>
    <s v="UPI"/>
    <s v="2024-09"/>
    <d v="2025-06-07T00:00:00"/>
    <x v="0"/>
    <m/>
    <m/>
    <m/>
    <m/>
  </r>
  <r>
    <n v="801"/>
    <x v="6"/>
    <d v="2024-10-06T00:00:00"/>
    <x v="0"/>
    <x v="5"/>
    <m/>
    <n v="1330"/>
    <s v="UPI"/>
    <s v="2024-10"/>
    <d v="2025-05-31T00:00:00"/>
    <x v="0"/>
    <m/>
    <m/>
    <m/>
    <m/>
  </r>
  <r>
    <n v="899"/>
    <x v="52"/>
    <d v="2024-05-31T00:00:00"/>
    <x v="1"/>
    <x v="4"/>
    <m/>
    <n v="2873"/>
    <s v="UPI"/>
    <s v="2024-05"/>
    <d v="2025-04-04T00:00:00"/>
    <x v="0"/>
    <m/>
    <m/>
    <m/>
    <m/>
  </r>
  <r>
    <n v="737"/>
    <x v="6"/>
    <d v="2024-04-01T00:00:00"/>
    <x v="1"/>
    <x v="1"/>
    <m/>
    <n v="1235"/>
    <s v="Bank Transfer"/>
    <s v="2024-04"/>
    <d v="2025-05-31T00:00:00"/>
    <x v="0"/>
    <m/>
    <m/>
    <m/>
    <m/>
  </r>
  <r>
    <n v="1733"/>
    <x v="38"/>
    <d v="2024-04-02T00:00:00"/>
    <x v="4"/>
    <x v="1"/>
    <m/>
    <n v="2385"/>
    <s v="Credit Card"/>
    <s v="2024-04"/>
    <d v="2025-05-29T00:00:00"/>
    <x v="0"/>
    <m/>
    <m/>
    <m/>
    <m/>
  </r>
  <r>
    <n v="501"/>
    <x v="82"/>
    <d v="2025-06-21T00:00:00"/>
    <x v="2"/>
    <x v="0"/>
    <m/>
    <n v="981"/>
    <s v="UPI"/>
    <s v="2025-06"/>
    <d v="2025-06-21T00:00:00"/>
    <x v="0"/>
    <m/>
    <m/>
    <m/>
    <m/>
  </r>
  <r>
    <n v="849"/>
    <x v="65"/>
    <d v="2024-06-16T00:00:00"/>
    <x v="4"/>
    <x v="1"/>
    <m/>
    <n v="275"/>
    <s v="Credit Card"/>
    <s v="2024-06"/>
    <d v="2025-06-18T00:00:00"/>
    <x v="0"/>
    <m/>
    <m/>
    <m/>
    <m/>
  </r>
  <r>
    <n v="749"/>
    <x v="24"/>
    <d v="2025-01-01T00:00:00"/>
    <x v="5"/>
    <x v="2"/>
    <m/>
    <n v="425"/>
    <s v="Bank Transfer"/>
    <s v="2025-01"/>
    <d v="2025-06-18T00:00:00"/>
    <x v="0"/>
    <m/>
    <m/>
    <m/>
    <m/>
  </r>
  <r>
    <n v="147"/>
    <x v="38"/>
    <d v="2024-07-10T00:00:00"/>
    <x v="2"/>
    <x v="0"/>
    <m/>
    <n v="4135"/>
    <s v="Cheque"/>
    <s v="2024-07"/>
    <d v="2025-05-29T00:00:00"/>
    <x v="0"/>
    <m/>
    <m/>
    <m/>
    <m/>
  </r>
  <r>
    <n v="1543"/>
    <x v="67"/>
    <d v="2024-08-11T00:00:00"/>
    <x v="1"/>
    <x v="5"/>
    <m/>
    <n v="563"/>
    <s v="Cheque"/>
    <s v="2024-08"/>
    <d v="2025-06-21T00:00:00"/>
    <x v="0"/>
    <m/>
    <m/>
    <m/>
    <m/>
  </r>
  <r>
    <n v="453"/>
    <x v="83"/>
    <d v="2024-10-02T00:00:00"/>
    <x v="0"/>
    <x v="2"/>
    <m/>
    <n v="447"/>
    <s v="Credit Card"/>
    <s v="2024-10"/>
    <d v="2025-02-02T00:00:00"/>
    <x v="1"/>
    <m/>
    <m/>
    <m/>
    <m/>
  </r>
  <r>
    <n v="603"/>
    <x v="76"/>
    <d v="2024-08-25T00:00:00"/>
    <x v="3"/>
    <x v="2"/>
    <m/>
    <n v="4823"/>
    <s v="Bank Transfer"/>
    <s v="2024-08"/>
    <d v="2025-03-18T00:00:00"/>
    <x v="1"/>
    <m/>
    <m/>
    <m/>
    <m/>
  </r>
  <r>
    <n v="300"/>
    <x v="84"/>
    <d v="2024-10-14T00:00:00"/>
    <x v="0"/>
    <x v="0"/>
    <m/>
    <n v="5534"/>
    <s v="Credit Card"/>
    <s v="2024-10"/>
    <d v="2025-06-07T00:00:00"/>
    <x v="0"/>
    <m/>
    <m/>
    <m/>
    <m/>
  </r>
  <r>
    <n v="1776"/>
    <x v="34"/>
    <d v="2024-01-26T00:00:00"/>
    <x v="3"/>
    <x v="4"/>
    <m/>
    <n v="581"/>
    <s v="UPI"/>
    <s v="2024-01"/>
    <d v="2025-05-16T00:00:00"/>
    <x v="0"/>
    <m/>
    <m/>
    <m/>
    <m/>
  </r>
  <r>
    <n v="390"/>
    <x v="77"/>
    <d v="2024-02-01T00:00:00"/>
    <x v="4"/>
    <x v="0"/>
    <m/>
    <n v="1709"/>
    <s v="Cash"/>
    <s v="2024-02"/>
    <d v="2025-05-21T00:00:00"/>
    <x v="0"/>
    <m/>
    <m/>
    <m/>
    <m/>
  </r>
  <r>
    <n v="1734"/>
    <x v="59"/>
    <d v="2024-05-28T00:00:00"/>
    <x v="2"/>
    <x v="0"/>
    <m/>
    <n v="882"/>
    <s v="Cash"/>
    <s v="2024-05"/>
    <d v="2025-06-07T00:00:00"/>
    <x v="0"/>
    <m/>
    <m/>
    <m/>
    <m/>
  </r>
  <r>
    <n v="1260"/>
    <x v="20"/>
    <d v="2024-03-13T00:00:00"/>
    <x v="2"/>
    <x v="0"/>
    <m/>
    <n v="819"/>
    <s v="Credit Card"/>
    <s v="2024-03"/>
    <d v="2025-06-07T00:00:00"/>
    <x v="0"/>
    <m/>
    <m/>
    <m/>
    <m/>
  </r>
  <r>
    <n v="112"/>
    <x v="41"/>
    <d v="2024-09-18T00:00:00"/>
    <x v="4"/>
    <x v="2"/>
    <m/>
    <n v="248"/>
    <s v="UPI"/>
    <s v="2024-09"/>
    <d v="2025-06-08T00:00:00"/>
    <x v="0"/>
    <m/>
    <m/>
    <m/>
    <m/>
  </r>
  <r>
    <n v="688"/>
    <x v="5"/>
    <d v="2024-09-18T00:00:00"/>
    <x v="4"/>
    <x v="1"/>
    <m/>
    <n v="808"/>
    <s v="Credit Card"/>
    <s v="2024-09"/>
    <d v="2025-05-24T00:00:00"/>
    <x v="0"/>
    <m/>
    <m/>
    <m/>
    <m/>
  </r>
  <r>
    <n v="264"/>
    <x v="85"/>
    <d v="2024-05-15T00:00:00"/>
    <x v="1"/>
    <x v="4"/>
    <m/>
    <n v="2093"/>
    <s v="Bank Transfer"/>
    <s v="2024-05"/>
    <d v="2025-04-17T00:00:00"/>
    <x v="0"/>
    <m/>
    <m/>
    <m/>
    <m/>
  </r>
  <r>
    <n v="142"/>
    <x v="86"/>
    <d v="2024-08-15T00:00:00"/>
    <x v="0"/>
    <x v="5"/>
    <m/>
    <n v="483"/>
    <s v="Cash"/>
    <s v="2024-08"/>
    <d v="2025-06-15T00:00:00"/>
    <x v="0"/>
    <m/>
    <m/>
    <m/>
    <m/>
  </r>
  <r>
    <n v="965"/>
    <x v="58"/>
    <d v="2024-01-24T00:00:00"/>
    <x v="3"/>
    <x v="4"/>
    <m/>
    <n v="2293"/>
    <s v="UPI"/>
    <s v="2024-01"/>
    <d v="2025-06-15T00:00:00"/>
    <x v="0"/>
    <m/>
    <m/>
    <m/>
    <m/>
  </r>
  <r>
    <n v="748"/>
    <x v="13"/>
    <d v="2024-03-24T00:00:00"/>
    <x v="2"/>
    <x v="0"/>
    <m/>
    <n v="579"/>
    <s v="Cash"/>
    <s v="2024-03"/>
    <d v="2025-05-11T00:00:00"/>
    <x v="0"/>
    <m/>
    <m/>
    <m/>
    <m/>
  </r>
  <r>
    <n v="1756"/>
    <x v="37"/>
    <d v="2024-06-30T00:00:00"/>
    <x v="2"/>
    <x v="1"/>
    <m/>
    <n v="5839"/>
    <s v="Bank Transfer"/>
    <s v="2024-06"/>
    <d v="2025-06-21T00:00:00"/>
    <x v="0"/>
    <m/>
    <m/>
    <m/>
    <m/>
  </r>
  <r>
    <n v="1472"/>
    <x v="87"/>
    <d v="2025-01-06T00:00:00"/>
    <x v="2"/>
    <x v="5"/>
    <m/>
    <n v="4637"/>
    <s v="UPI"/>
    <s v="2025-01"/>
    <d v="2025-05-02T00:00:00"/>
    <x v="0"/>
    <m/>
    <m/>
    <m/>
    <m/>
  </r>
  <r>
    <n v="972"/>
    <x v="88"/>
    <d v="2025-04-21T00:00:00"/>
    <x v="1"/>
    <x v="4"/>
    <m/>
    <n v="8265"/>
    <s v="Bank Transfer"/>
    <s v="2025-04"/>
    <d v="2025-06-23T00:00:00"/>
    <x v="0"/>
    <m/>
    <m/>
    <m/>
    <m/>
  </r>
  <r>
    <n v="998"/>
    <x v="89"/>
    <d v="2024-05-25T00:00:00"/>
    <x v="0"/>
    <x v="3"/>
    <m/>
    <n v="2062"/>
    <s v="Cash"/>
    <s v="2024-05"/>
    <d v="2025-05-10T00:00:00"/>
    <x v="0"/>
    <m/>
    <m/>
    <m/>
    <m/>
  </r>
  <r>
    <n v="398"/>
    <x v="40"/>
    <d v="2025-02-18T00:00:00"/>
    <x v="3"/>
    <x v="4"/>
    <m/>
    <n v="510"/>
    <s v="Cheque"/>
    <s v="2025-02"/>
    <d v="2025-05-30T00:00:00"/>
    <x v="0"/>
    <m/>
    <m/>
    <m/>
    <m/>
  </r>
  <r>
    <n v="518"/>
    <x v="67"/>
    <d v="2024-10-15T00:00:00"/>
    <x v="2"/>
    <x v="5"/>
    <m/>
    <n v="2507"/>
    <s v="Bank Transfer"/>
    <s v="2024-10"/>
    <d v="2025-06-21T00:00:00"/>
    <x v="0"/>
    <m/>
    <m/>
    <m/>
    <m/>
  </r>
  <r>
    <n v="1732"/>
    <x v="90"/>
    <d v="2025-01-12T00:00:00"/>
    <x v="4"/>
    <x v="3"/>
    <m/>
    <n v="283"/>
    <s v="Cheque"/>
    <s v="2025-01"/>
    <d v="2025-06-19T00:00:00"/>
    <x v="0"/>
    <m/>
    <m/>
    <m/>
    <m/>
  </r>
  <r>
    <n v="769"/>
    <x v="91"/>
    <d v="2024-01-07T00:00:00"/>
    <x v="2"/>
    <x v="3"/>
    <m/>
    <n v="4060"/>
    <s v="UPI"/>
    <s v="2024-01"/>
    <d v="2025-05-04T00:00:00"/>
    <x v="0"/>
    <m/>
    <m/>
    <m/>
    <m/>
  </r>
  <r>
    <n v="1324"/>
    <x v="35"/>
    <d v="2024-06-01T00:00:00"/>
    <x v="5"/>
    <x v="3"/>
    <m/>
    <n v="837"/>
    <s v="Credit Card"/>
    <s v="2024-06"/>
    <d v="2025-06-13T00:00:00"/>
    <x v="0"/>
    <m/>
    <m/>
    <m/>
    <m/>
  </r>
  <r>
    <n v="1286"/>
    <x v="39"/>
    <d v="2024-12-09T00:00:00"/>
    <x v="0"/>
    <x v="3"/>
    <m/>
    <n v="248"/>
    <s v="Credit Card"/>
    <s v="2024-12"/>
    <d v="2025-06-22T00:00:00"/>
    <x v="0"/>
    <m/>
    <m/>
    <m/>
    <m/>
  </r>
  <r>
    <n v="1084"/>
    <x v="92"/>
    <d v="2024-10-01T00:00:00"/>
    <x v="4"/>
    <x v="5"/>
    <m/>
    <n v="462"/>
    <s v="Cash"/>
    <s v="2024-10"/>
    <d v="2025-04-20T00:00:00"/>
    <x v="0"/>
    <m/>
    <m/>
    <m/>
    <m/>
  </r>
  <r>
    <n v="186"/>
    <x v="93"/>
    <d v="2024-10-05T00:00:00"/>
    <x v="2"/>
    <x v="0"/>
    <m/>
    <n v="1794"/>
    <s v="Cheque"/>
    <s v="2024-10"/>
    <d v="2025-06-16T00:00:00"/>
    <x v="0"/>
    <m/>
    <m/>
    <m/>
    <m/>
  </r>
  <r>
    <n v="1263"/>
    <x v="66"/>
    <d v="2024-07-07T00:00:00"/>
    <x v="0"/>
    <x v="4"/>
    <m/>
    <n v="1881"/>
    <s v="UPI"/>
    <s v="2024-07"/>
    <d v="2025-06-21T00:00:00"/>
    <x v="0"/>
    <m/>
    <m/>
    <m/>
    <m/>
  </r>
  <r>
    <n v="173"/>
    <x v="18"/>
    <d v="2025-04-26T00:00:00"/>
    <x v="3"/>
    <x v="3"/>
    <m/>
    <n v="972"/>
    <s v="Bank Transfer"/>
    <s v="2025-04"/>
    <d v="2025-05-23T00:00:00"/>
    <x v="0"/>
    <m/>
    <m/>
    <m/>
    <m/>
  </r>
  <r>
    <n v="340"/>
    <x v="29"/>
    <d v="2024-02-24T00:00:00"/>
    <x v="3"/>
    <x v="0"/>
    <m/>
    <n v="989"/>
    <s v="Credit Card"/>
    <s v="2024-02"/>
    <d v="2025-04-26T00:00:00"/>
    <x v="0"/>
    <m/>
    <m/>
    <m/>
    <m/>
  </r>
  <r>
    <n v="1653"/>
    <x v="46"/>
    <d v="2024-06-01T00:00:00"/>
    <x v="1"/>
    <x v="0"/>
    <m/>
    <n v="1010"/>
    <s v="Credit Card"/>
    <s v="2024-06"/>
    <d v="2025-06-04T00:00:00"/>
    <x v="0"/>
    <m/>
    <m/>
    <m/>
    <m/>
  </r>
  <r>
    <n v="1078"/>
    <x v="18"/>
    <d v="2025-05-23T00:00:00"/>
    <x v="4"/>
    <x v="4"/>
    <m/>
    <n v="1180"/>
    <s v="Credit Card"/>
    <s v="2025-05"/>
    <d v="2025-05-23T00:00:00"/>
    <x v="0"/>
    <m/>
    <m/>
    <m/>
    <m/>
  </r>
  <r>
    <n v="1602"/>
    <x v="73"/>
    <d v="2024-05-12T00:00:00"/>
    <x v="3"/>
    <x v="0"/>
    <m/>
    <n v="11426"/>
    <s v="Bank Transfer"/>
    <s v="2024-05"/>
    <d v="2025-05-17T00:00:00"/>
    <x v="0"/>
    <m/>
    <m/>
    <m/>
    <m/>
  </r>
  <r>
    <n v="701"/>
    <x v="79"/>
    <d v="2025-04-05T00:00:00"/>
    <x v="4"/>
    <x v="4"/>
    <m/>
    <n v="2569"/>
    <s v="Cash"/>
    <s v="2025-04"/>
    <d v="2025-04-29T00:00:00"/>
    <x v="0"/>
    <m/>
    <m/>
    <m/>
    <m/>
  </r>
  <r>
    <n v="493"/>
    <x v="45"/>
    <d v="2024-08-20T00:00:00"/>
    <x v="4"/>
    <x v="0"/>
    <m/>
    <n v="1456"/>
    <s v="Bank Transfer"/>
    <s v="2024-08"/>
    <d v="2025-06-18T00:00:00"/>
    <x v="0"/>
    <m/>
    <m/>
    <m/>
    <m/>
  </r>
  <r>
    <n v="96"/>
    <x v="94"/>
    <d v="2024-04-02T00:00:00"/>
    <x v="1"/>
    <x v="5"/>
    <m/>
    <n v="653"/>
    <s v="Credit Card"/>
    <s v="2024-04"/>
    <d v="2025-04-05T00:00:00"/>
    <x v="0"/>
    <m/>
    <m/>
    <m/>
    <m/>
  </r>
  <r>
    <n v="1692"/>
    <x v="43"/>
    <d v="2024-11-14T00:00:00"/>
    <x v="0"/>
    <x v="5"/>
    <m/>
    <n v="331"/>
    <s v="Bank Transfer"/>
    <s v="2024-11"/>
    <d v="2025-06-13T00:00:00"/>
    <x v="0"/>
    <m/>
    <m/>
    <m/>
    <m/>
  </r>
  <r>
    <n v="757"/>
    <x v="30"/>
    <d v="2024-01-29T00:00:00"/>
    <x v="0"/>
    <x v="3"/>
    <m/>
    <n v="5681"/>
    <s v="Credit Card"/>
    <s v="2024-01"/>
    <d v="2025-05-17T00:00:00"/>
    <x v="0"/>
    <m/>
    <m/>
    <m/>
    <m/>
  </r>
  <r>
    <n v="354"/>
    <x v="70"/>
    <d v="2024-06-27T00:00:00"/>
    <x v="2"/>
    <x v="5"/>
    <m/>
    <n v="5603"/>
    <s v="Bank Transfer"/>
    <s v="2024-06"/>
    <d v="2025-05-26T00:00:00"/>
    <x v="0"/>
    <m/>
    <m/>
    <m/>
    <m/>
  </r>
  <r>
    <n v="1735"/>
    <x v="95"/>
    <d v="2025-06-08T00:00:00"/>
    <x v="2"/>
    <x v="1"/>
    <m/>
    <n v="562"/>
    <s v="Bank Transfer"/>
    <s v="2025-06"/>
    <d v="2025-06-08T00:00:00"/>
    <x v="0"/>
    <m/>
    <m/>
    <m/>
    <m/>
  </r>
  <r>
    <n v="1039"/>
    <x v="96"/>
    <d v="2025-03-25T00:00:00"/>
    <x v="1"/>
    <x v="3"/>
    <m/>
    <n v="4699"/>
    <s v="Credit Card"/>
    <s v="2025-03"/>
    <d v="2025-06-07T00:00:00"/>
    <x v="0"/>
    <m/>
    <m/>
    <m/>
    <m/>
  </r>
  <r>
    <n v="8"/>
    <x v="42"/>
    <d v="2024-02-02T00:00:00"/>
    <x v="1"/>
    <x v="1"/>
    <m/>
    <n v="2066"/>
    <s v="Cheque"/>
    <s v="2024-02"/>
    <d v="2025-05-08T00:00:00"/>
    <x v="0"/>
    <m/>
    <m/>
    <m/>
    <m/>
  </r>
  <r>
    <n v="102"/>
    <x v="95"/>
    <d v="2025-03-05T00:00:00"/>
    <x v="4"/>
    <x v="1"/>
    <m/>
    <n v="1133"/>
    <s v="Cheque"/>
    <s v="2025-03"/>
    <d v="2025-06-08T00:00:00"/>
    <x v="0"/>
    <m/>
    <m/>
    <m/>
    <m/>
  </r>
  <r>
    <n v="650"/>
    <x v="8"/>
    <d v="2024-08-19T00:00:00"/>
    <x v="2"/>
    <x v="2"/>
    <m/>
    <n v="1037"/>
    <s v="Bank Transfer"/>
    <s v="2024-08"/>
    <d v="2025-05-11T00:00:00"/>
    <x v="0"/>
    <m/>
    <m/>
    <m/>
    <m/>
  </r>
  <r>
    <n v="1152"/>
    <x v="23"/>
    <d v="2025-04-18T00:00:00"/>
    <x v="1"/>
    <x v="3"/>
    <m/>
    <n v="1780"/>
    <s v="Bank Transfer"/>
    <s v="2025-04"/>
    <d v="2025-06-21T00:00:00"/>
    <x v="0"/>
    <m/>
    <m/>
    <m/>
    <m/>
  </r>
  <r>
    <n v="329"/>
    <x v="59"/>
    <d v="2024-07-22T00:00:00"/>
    <x v="1"/>
    <x v="1"/>
    <m/>
    <n v="9588"/>
    <s v="UPI"/>
    <s v="2024-07"/>
    <d v="2025-06-07T00:00:00"/>
    <x v="0"/>
    <m/>
    <m/>
    <m/>
    <m/>
  </r>
  <r>
    <n v="661"/>
    <x v="97"/>
    <d v="2025-05-17T00:00:00"/>
    <x v="1"/>
    <x v="2"/>
    <m/>
    <n v="927"/>
    <s v="Cash"/>
    <s v="2025-05"/>
    <d v="2025-06-13T00:00:00"/>
    <x v="0"/>
    <m/>
    <m/>
    <m/>
    <m/>
  </r>
  <r>
    <n v="738"/>
    <x v="14"/>
    <d v="2024-05-25T00:00:00"/>
    <x v="1"/>
    <x v="5"/>
    <m/>
    <n v="882"/>
    <s v="UPI"/>
    <s v="2024-05"/>
    <d v="2025-04-16T00:00:00"/>
    <x v="0"/>
    <m/>
    <m/>
    <m/>
    <m/>
  </r>
  <r>
    <n v="1028"/>
    <x v="98"/>
    <d v="2024-03-14T00:00:00"/>
    <x v="4"/>
    <x v="2"/>
    <m/>
    <n v="9985"/>
    <s v="Credit Card"/>
    <s v="2024-03"/>
    <d v="2025-05-05T00:00:00"/>
    <x v="0"/>
    <m/>
    <m/>
    <m/>
    <m/>
  </r>
  <r>
    <n v="109"/>
    <x v="74"/>
    <d v="2025-02-15T00:00:00"/>
    <x v="2"/>
    <x v="1"/>
    <m/>
    <n v="249"/>
    <s v="UPI"/>
    <s v="2025-02"/>
    <d v="2025-05-11T00:00:00"/>
    <x v="0"/>
    <m/>
    <m/>
    <m/>
    <m/>
  </r>
  <r>
    <n v="1191"/>
    <x v="39"/>
    <d v="2024-08-01T00:00:00"/>
    <x v="1"/>
    <x v="5"/>
    <m/>
    <n v="4047"/>
    <s v="Cash"/>
    <s v="2024-08"/>
    <d v="2025-06-22T00:00:00"/>
    <x v="0"/>
    <m/>
    <m/>
    <m/>
    <m/>
  </r>
  <r>
    <n v="411"/>
    <x v="21"/>
    <d v="2024-05-15T00:00:00"/>
    <x v="2"/>
    <x v="4"/>
    <m/>
    <n v="11438"/>
    <s v="Cheque"/>
    <s v="2024-05"/>
    <d v="2025-06-03T00:00:00"/>
    <x v="0"/>
    <m/>
    <m/>
    <m/>
    <m/>
  </r>
  <r>
    <n v="1384"/>
    <x v="69"/>
    <d v="2024-03-02T00:00:00"/>
    <x v="2"/>
    <x v="3"/>
    <m/>
    <n v="10664"/>
    <s v="Cheque"/>
    <s v="2024-03"/>
    <d v="2025-03-22T00:00:00"/>
    <x v="1"/>
    <m/>
    <m/>
    <m/>
    <m/>
  </r>
  <r>
    <n v="201"/>
    <x v="90"/>
    <d v="2024-03-11T00:00:00"/>
    <x v="0"/>
    <x v="3"/>
    <m/>
    <n v="2409"/>
    <s v="Credit Card"/>
    <s v="2024-03"/>
    <d v="2025-06-19T00:00:00"/>
    <x v="0"/>
    <m/>
    <m/>
    <m/>
    <m/>
  </r>
  <r>
    <n v="352"/>
    <x v="34"/>
    <d v="2024-07-31T00:00:00"/>
    <x v="0"/>
    <x v="5"/>
    <m/>
    <n v="1602"/>
    <s v="UPI"/>
    <s v="2024-07"/>
    <d v="2025-05-16T00:00:00"/>
    <x v="0"/>
    <m/>
    <m/>
    <m/>
    <m/>
  </r>
  <r>
    <n v="572"/>
    <x v="15"/>
    <d v="2025-02-02T00:00:00"/>
    <x v="3"/>
    <x v="2"/>
    <m/>
    <n v="2500"/>
    <s v="Cash"/>
    <s v="2025-02"/>
    <d v="2025-05-15T00:00:00"/>
    <x v="0"/>
    <m/>
    <m/>
    <m/>
    <m/>
  </r>
  <r>
    <n v="946"/>
    <x v="54"/>
    <d v="2024-05-28T00:00:00"/>
    <x v="1"/>
    <x v="3"/>
    <m/>
    <n v="1738"/>
    <s v="Credit Card"/>
    <s v="2024-05"/>
    <d v="2025-02-10T00:00:00"/>
    <x v="1"/>
    <m/>
    <m/>
    <m/>
    <m/>
  </r>
  <r>
    <n v="61"/>
    <x v="88"/>
    <d v="2025-04-20T00:00:00"/>
    <x v="3"/>
    <x v="2"/>
    <m/>
    <n v="701"/>
    <s v="Cash"/>
    <s v="2025-04"/>
    <d v="2025-06-23T00:00:00"/>
    <x v="0"/>
    <m/>
    <m/>
    <m/>
    <m/>
  </r>
  <r>
    <n v="1122"/>
    <x v="5"/>
    <d v="2024-10-20T00:00:00"/>
    <x v="1"/>
    <x v="4"/>
    <m/>
    <n v="4828"/>
    <s v="Credit Card"/>
    <s v="2024-10"/>
    <d v="2025-05-24T00:00:00"/>
    <x v="0"/>
    <m/>
    <m/>
    <m/>
    <m/>
  </r>
  <r>
    <n v="1331"/>
    <x v="31"/>
    <d v="2024-08-22T00:00:00"/>
    <x v="3"/>
    <x v="0"/>
    <m/>
    <n v="0"/>
    <s v="Credit Card"/>
    <s v="2024-08"/>
    <d v="2025-05-16T00:00:00"/>
    <x v="0"/>
    <m/>
    <m/>
    <m/>
    <m/>
  </r>
  <r>
    <n v="358"/>
    <x v="96"/>
    <d v="2025-03-24T00:00:00"/>
    <x v="3"/>
    <x v="1"/>
    <m/>
    <n v="5223"/>
    <s v="Credit Card"/>
    <s v="2025-03"/>
    <d v="2025-06-07T00:00:00"/>
    <x v="0"/>
    <m/>
    <m/>
    <m/>
    <m/>
  </r>
  <r>
    <n v="1417"/>
    <x v="50"/>
    <d v="2024-06-20T00:00:00"/>
    <x v="0"/>
    <x v="4"/>
    <m/>
    <n v="1345"/>
    <s v="Cheque"/>
    <s v="2024-06"/>
    <d v="2025-06-21T00:00:00"/>
    <x v="0"/>
    <m/>
    <m/>
    <m/>
    <m/>
  </r>
  <r>
    <n v="1661"/>
    <x v="15"/>
    <d v="2024-01-16T00:00:00"/>
    <x v="1"/>
    <x v="4"/>
    <m/>
    <n v="854"/>
    <s v="Credit Card"/>
    <s v="2024-01"/>
    <d v="2025-05-15T00:00:00"/>
    <x v="0"/>
    <m/>
    <m/>
    <m/>
    <m/>
  </r>
  <r>
    <n v="195"/>
    <x v="34"/>
    <d v="2024-11-14T00:00:00"/>
    <x v="2"/>
    <x v="2"/>
    <m/>
    <n v="2368"/>
    <s v="Credit Card"/>
    <s v="2024-11"/>
    <d v="2025-05-16T00:00:00"/>
    <x v="0"/>
    <m/>
    <m/>
    <m/>
    <m/>
  </r>
  <r>
    <n v="839"/>
    <x v="81"/>
    <d v="2025-05-02T00:00:00"/>
    <x v="2"/>
    <x v="2"/>
    <m/>
    <n v="1754"/>
    <s v="Cash"/>
    <s v="2025-05"/>
    <d v="2025-06-20T00:00:00"/>
    <x v="0"/>
    <m/>
    <m/>
    <m/>
    <m/>
  </r>
  <r>
    <n v="207"/>
    <x v="65"/>
    <d v="2024-11-22T00:00:00"/>
    <x v="3"/>
    <x v="2"/>
    <m/>
    <n v="4474"/>
    <s v="Credit Card"/>
    <s v="2024-11"/>
    <d v="2025-06-18T00:00:00"/>
    <x v="0"/>
    <m/>
    <m/>
    <m/>
    <m/>
  </r>
  <r>
    <n v="279"/>
    <x v="75"/>
    <d v="2024-01-31T00:00:00"/>
    <x v="0"/>
    <x v="5"/>
    <m/>
    <n v="8255"/>
    <s v="Cheque"/>
    <s v="2024-01"/>
    <d v="2025-06-13T00:00:00"/>
    <x v="0"/>
    <m/>
    <m/>
    <m/>
    <m/>
  </r>
  <r>
    <n v="1595"/>
    <x v="58"/>
    <d v="2025-05-16T00:00:00"/>
    <x v="1"/>
    <x v="1"/>
    <m/>
    <n v="9298"/>
    <s v="Cheque"/>
    <s v="2025-05"/>
    <d v="2025-06-15T00:00:00"/>
    <x v="0"/>
    <m/>
    <m/>
    <m/>
    <m/>
  </r>
  <r>
    <n v="1275"/>
    <x v="10"/>
    <d v="2025-03-20T00:00:00"/>
    <x v="3"/>
    <x v="0"/>
    <m/>
    <n v="1505"/>
    <s v="UPI"/>
    <s v="2025-03"/>
    <d v="2025-05-17T00:00:00"/>
    <x v="0"/>
    <m/>
    <m/>
    <m/>
    <m/>
  </r>
  <r>
    <n v="238"/>
    <x v="99"/>
    <d v="2024-08-02T00:00:00"/>
    <x v="1"/>
    <x v="2"/>
    <m/>
    <n v="1128"/>
    <s v="Cash"/>
    <s v="2024-08"/>
    <d v="2025-03-30T00:00:00"/>
    <x v="0"/>
    <m/>
    <m/>
    <m/>
    <m/>
  </r>
  <r>
    <n v="636"/>
    <x v="34"/>
    <d v="2025-02-14T00:00:00"/>
    <x v="3"/>
    <x v="3"/>
    <m/>
    <n v="1239"/>
    <s v="Credit Card"/>
    <s v="2025-02"/>
    <d v="2025-05-16T00:00:00"/>
    <x v="0"/>
    <m/>
    <m/>
    <m/>
    <m/>
  </r>
  <r>
    <n v="1121"/>
    <x v="36"/>
    <d v="2025-01-18T00:00:00"/>
    <x v="2"/>
    <x v="2"/>
    <m/>
    <n v="1846"/>
    <s v="Credit Card"/>
    <s v="2025-01"/>
    <d v="2025-06-16T00:00:00"/>
    <x v="0"/>
    <m/>
    <m/>
    <m/>
    <m/>
  </r>
  <r>
    <n v="620"/>
    <x v="85"/>
    <d v="2025-04-17T00:00:00"/>
    <x v="4"/>
    <x v="5"/>
    <m/>
    <n v="1232"/>
    <s v="Bank Transfer"/>
    <s v="2025-04"/>
    <d v="2025-04-17T00:00:00"/>
    <x v="0"/>
    <m/>
    <m/>
    <m/>
    <m/>
  </r>
  <r>
    <n v="1743"/>
    <x v="100"/>
    <d v="2024-02-14T00:00:00"/>
    <x v="1"/>
    <x v="4"/>
    <m/>
    <n v="246"/>
    <s v="Cheque"/>
    <s v="2024-02"/>
    <d v="2025-06-04T00:00:00"/>
    <x v="0"/>
    <m/>
    <m/>
    <m/>
    <m/>
  </r>
  <r>
    <n v="1554"/>
    <x v="27"/>
    <d v="2025-01-05T00:00:00"/>
    <x v="4"/>
    <x v="0"/>
    <m/>
    <n v="1594"/>
    <s v="Cheque"/>
    <s v="2025-01"/>
    <d v="2025-05-13T00:00:00"/>
    <x v="0"/>
    <m/>
    <m/>
    <m/>
    <m/>
  </r>
  <r>
    <n v="789"/>
    <x v="101"/>
    <d v="2024-11-07T00:00:00"/>
    <x v="4"/>
    <x v="3"/>
    <m/>
    <n v="8711"/>
    <s v="Cheque"/>
    <s v="2024-11"/>
    <d v="2025-06-23T00:00:00"/>
    <x v="0"/>
    <m/>
    <m/>
    <m/>
    <m/>
  </r>
  <r>
    <n v="1181"/>
    <x v="43"/>
    <d v="2024-02-22T00:00:00"/>
    <x v="2"/>
    <x v="4"/>
    <m/>
    <n v="254"/>
    <s v="UPI"/>
    <s v="2024-02"/>
    <d v="2025-06-13T00:00:00"/>
    <x v="0"/>
    <m/>
    <m/>
    <m/>
    <m/>
  </r>
  <r>
    <n v="557"/>
    <x v="19"/>
    <d v="2024-08-27T00:00:00"/>
    <x v="0"/>
    <x v="1"/>
    <m/>
    <n v="2145"/>
    <s v="Cash"/>
    <s v="2024-08"/>
    <d v="2025-06-19T00:00:00"/>
    <x v="0"/>
    <m/>
    <m/>
    <m/>
    <m/>
  </r>
  <r>
    <n v="424"/>
    <x v="47"/>
    <d v="2024-12-22T00:00:00"/>
    <x v="1"/>
    <x v="4"/>
    <m/>
    <n v="1964"/>
    <s v="Cash"/>
    <s v="2024-12"/>
    <d v="2025-05-11T00:00:00"/>
    <x v="0"/>
    <m/>
    <m/>
    <m/>
    <m/>
  </r>
  <r>
    <n v="1134"/>
    <x v="47"/>
    <d v="2024-06-12T00:00:00"/>
    <x v="2"/>
    <x v="1"/>
    <m/>
    <n v="10747"/>
    <s v="Credit Card"/>
    <s v="2024-06"/>
    <d v="2025-05-11T00:00:00"/>
    <x v="0"/>
    <m/>
    <m/>
    <m/>
    <m/>
  </r>
  <r>
    <n v="1536"/>
    <x v="63"/>
    <d v="2024-08-06T00:00:00"/>
    <x v="1"/>
    <x v="0"/>
    <m/>
    <n v="4268"/>
    <s v="UPI"/>
    <s v="2024-08"/>
    <d v="2025-06-11T00:00:00"/>
    <x v="0"/>
    <m/>
    <m/>
    <m/>
    <m/>
  </r>
  <r>
    <n v="1019"/>
    <x v="2"/>
    <d v="2024-11-06T00:00:00"/>
    <x v="3"/>
    <x v="1"/>
    <m/>
    <n v="582"/>
    <s v="Bank Transfer"/>
    <s v="2024-11"/>
    <d v="2025-06-10T00:00:00"/>
    <x v="0"/>
    <m/>
    <m/>
    <m/>
    <m/>
  </r>
  <r>
    <n v="1717"/>
    <x v="60"/>
    <d v="2025-05-26T00:00:00"/>
    <x v="0"/>
    <x v="4"/>
    <m/>
    <n v="2387"/>
    <s v="Cheque"/>
    <s v="2025-05"/>
    <d v="2025-05-26T00:00:00"/>
    <x v="0"/>
    <m/>
    <m/>
    <m/>
    <m/>
  </r>
  <r>
    <n v="1073"/>
    <x v="81"/>
    <d v="2024-02-10T00:00:00"/>
    <x v="3"/>
    <x v="0"/>
    <m/>
    <n v="1605"/>
    <s v="UPI"/>
    <s v="2024-02"/>
    <d v="2025-06-20T00:00:00"/>
    <x v="0"/>
    <m/>
    <m/>
    <m/>
    <m/>
  </r>
  <r>
    <n v="790"/>
    <x v="62"/>
    <d v="2024-10-17T00:00:00"/>
    <x v="4"/>
    <x v="5"/>
    <m/>
    <n v="8280"/>
    <s v="UPI"/>
    <s v="2024-10"/>
    <d v="2025-06-06T00:00:00"/>
    <x v="0"/>
    <m/>
    <m/>
    <m/>
    <m/>
  </r>
  <r>
    <n v="664"/>
    <x v="24"/>
    <d v="2025-03-29T00:00:00"/>
    <x v="2"/>
    <x v="1"/>
    <m/>
    <n v="2301"/>
    <s v="Credit Card"/>
    <s v="2025-03"/>
    <d v="2025-06-18T00:00:00"/>
    <x v="0"/>
    <m/>
    <m/>
    <m/>
    <m/>
  </r>
  <r>
    <n v="730"/>
    <x v="57"/>
    <d v="2024-05-05T00:00:00"/>
    <x v="1"/>
    <x v="3"/>
    <m/>
    <n v="484"/>
    <s v="Cheque"/>
    <s v="2024-05"/>
    <d v="2025-06-08T00:00:00"/>
    <x v="0"/>
    <m/>
    <m/>
    <m/>
    <m/>
  </r>
  <r>
    <n v="225"/>
    <x v="5"/>
    <d v="2024-02-03T00:00:00"/>
    <x v="1"/>
    <x v="3"/>
    <m/>
    <n v="2070"/>
    <s v="Cash"/>
    <s v="2024-02"/>
    <d v="2025-05-24T00:00:00"/>
    <x v="0"/>
    <m/>
    <m/>
    <m/>
    <m/>
  </r>
  <r>
    <n v="1160"/>
    <x v="102"/>
    <d v="2025-04-05T00:00:00"/>
    <x v="4"/>
    <x v="1"/>
    <m/>
    <n v="2003"/>
    <s v="Bank Transfer"/>
    <s v="2025-04"/>
    <d v="2025-04-05T00:00:00"/>
    <x v="0"/>
    <m/>
    <m/>
    <m/>
    <m/>
  </r>
  <r>
    <n v="52"/>
    <x v="25"/>
    <d v="2025-02-18T00:00:00"/>
    <x v="4"/>
    <x v="1"/>
    <m/>
    <n v="1788"/>
    <s v="Cheque"/>
    <s v="2025-02"/>
    <d v="2025-03-24T00:00:00"/>
    <x v="1"/>
    <m/>
    <m/>
    <m/>
    <m/>
  </r>
  <r>
    <n v="644"/>
    <x v="54"/>
    <d v="2024-10-18T00:00:00"/>
    <x v="2"/>
    <x v="3"/>
    <m/>
    <n v="426"/>
    <s v="Bank Transfer"/>
    <s v="2024-10"/>
    <d v="2025-02-10T00:00:00"/>
    <x v="1"/>
    <m/>
    <m/>
    <m/>
    <m/>
  </r>
  <r>
    <n v="1620"/>
    <x v="3"/>
    <d v="2024-11-11T00:00:00"/>
    <x v="0"/>
    <x v="3"/>
    <m/>
    <n v="327"/>
    <s v="Cash"/>
    <s v="2024-11"/>
    <d v="2025-06-15T00:00:00"/>
    <x v="0"/>
    <m/>
    <m/>
    <m/>
    <m/>
  </r>
  <r>
    <n v="442"/>
    <x v="52"/>
    <d v="2024-10-04T00:00:00"/>
    <x v="0"/>
    <x v="5"/>
    <m/>
    <n v="11862"/>
    <s v="Cash"/>
    <s v="2024-10"/>
    <d v="2025-04-04T00:00:00"/>
    <x v="0"/>
    <m/>
    <m/>
    <m/>
    <m/>
  </r>
  <r>
    <n v="1713"/>
    <x v="80"/>
    <d v="2025-01-30T00:00:00"/>
    <x v="3"/>
    <x v="0"/>
    <m/>
    <n v="896"/>
    <s v="Cheque"/>
    <s v="2025-01"/>
    <d v="2025-02-25T00:00:00"/>
    <x v="1"/>
    <m/>
    <m/>
    <m/>
    <m/>
  </r>
  <r>
    <n v="490"/>
    <x v="48"/>
    <d v="2025-04-13T00:00:00"/>
    <x v="2"/>
    <x v="3"/>
    <m/>
    <n v="2338"/>
    <s v="Bank Transfer"/>
    <s v="2025-04"/>
    <d v="2025-04-13T00:00:00"/>
    <x v="0"/>
    <m/>
    <m/>
    <m/>
    <m/>
  </r>
  <r>
    <n v="1550"/>
    <x v="12"/>
    <d v="2024-09-11T00:00:00"/>
    <x v="1"/>
    <x v="0"/>
    <m/>
    <n v="918"/>
    <s v="Cheque"/>
    <s v="2024-09"/>
    <d v="2025-05-28T00:00:00"/>
    <x v="0"/>
    <m/>
    <m/>
    <m/>
    <m/>
  </r>
  <r>
    <n v="1006"/>
    <x v="23"/>
    <d v="2024-11-05T00:00:00"/>
    <x v="1"/>
    <x v="4"/>
    <m/>
    <n v="804"/>
    <s v="Bank Transfer"/>
    <s v="2024-11"/>
    <d v="2025-06-21T00:00:00"/>
    <x v="0"/>
    <m/>
    <m/>
    <m/>
    <m/>
  </r>
  <r>
    <n v="639"/>
    <x v="76"/>
    <d v="2024-02-24T00:00:00"/>
    <x v="2"/>
    <x v="1"/>
    <m/>
    <n v="594"/>
    <s v="Cash"/>
    <s v="2024-02"/>
    <d v="2025-03-18T00:00:00"/>
    <x v="1"/>
    <m/>
    <m/>
    <m/>
    <m/>
  </r>
  <r>
    <n v="1765"/>
    <x v="92"/>
    <d v="2025-02-21T00:00:00"/>
    <x v="3"/>
    <x v="0"/>
    <m/>
    <n v="529"/>
    <s v="Cash"/>
    <s v="2025-02"/>
    <d v="2025-04-20T00:00:00"/>
    <x v="0"/>
    <m/>
    <m/>
    <m/>
    <m/>
  </r>
  <r>
    <n v="948"/>
    <x v="23"/>
    <d v="2024-06-19T00:00:00"/>
    <x v="0"/>
    <x v="4"/>
    <m/>
    <n v="0"/>
    <s v="Credit Card"/>
    <s v="2024-06"/>
    <d v="2025-06-21T00:00:00"/>
    <x v="0"/>
    <m/>
    <m/>
    <m/>
    <m/>
  </r>
  <r>
    <n v="309"/>
    <x v="7"/>
    <d v="2024-03-31T00:00:00"/>
    <x v="1"/>
    <x v="1"/>
    <m/>
    <n v="453"/>
    <s v="Credit Card"/>
    <s v="2024-03"/>
    <d v="2025-06-11T00:00:00"/>
    <x v="0"/>
    <m/>
    <m/>
    <m/>
    <m/>
  </r>
  <r>
    <n v="1347"/>
    <x v="103"/>
    <d v="2024-01-08T00:00:00"/>
    <x v="3"/>
    <x v="5"/>
    <m/>
    <n v="2556"/>
    <s v="Cheque"/>
    <s v="2024-01"/>
    <d v="2025-04-19T00:00:00"/>
    <x v="0"/>
    <m/>
    <m/>
    <m/>
    <m/>
  </r>
  <r>
    <n v="612"/>
    <x v="84"/>
    <d v="2025-06-07T00:00:00"/>
    <x v="1"/>
    <x v="1"/>
    <m/>
    <n v="1630"/>
    <s v="Cash"/>
    <s v="2025-06"/>
    <d v="2025-06-07T00:00:00"/>
    <x v="0"/>
    <m/>
    <m/>
    <m/>
    <m/>
  </r>
  <r>
    <n v="702"/>
    <x v="55"/>
    <d v="2025-03-01T00:00:00"/>
    <x v="0"/>
    <x v="2"/>
    <m/>
    <n v="11996"/>
    <s v="UPI"/>
    <s v="2025-03"/>
    <d v="2025-06-22T00:00:00"/>
    <x v="0"/>
    <m/>
    <m/>
    <m/>
    <m/>
  </r>
  <r>
    <n v="376"/>
    <x v="100"/>
    <d v="2024-08-17T00:00:00"/>
    <x v="3"/>
    <x v="1"/>
    <m/>
    <n v="2009"/>
    <s v="Bank Transfer"/>
    <s v="2024-08"/>
    <d v="2025-06-04T00:00:00"/>
    <x v="0"/>
    <m/>
    <m/>
    <m/>
    <m/>
  </r>
  <r>
    <n v="1063"/>
    <x v="45"/>
    <d v="2025-02-22T00:00:00"/>
    <x v="3"/>
    <x v="4"/>
    <m/>
    <n v="0"/>
    <s v="Credit Card"/>
    <s v="2025-02"/>
    <d v="2025-06-18T00:00:00"/>
    <x v="0"/>
    <m/>
    <m/>
    <m/>
    <m/>
  </r>
  <r>
    <n v="455"/>
    <x v="81"/>
    <d v="2024-07-15T00:00:00"/>
    <x v="1"/>
    <x v="1"/>
    <m/>
    <n v="424"/>
    <s v="Credit Card"/>
    <s v="2024-07"/>
    <d v="2025-06-20T00:00:00"/>
    <x v="0"/>
    <m/>
    <m/>
    <m/>
    <m/>
  </r>
  <r>
    <n v="99"/>
    <x v="41"/>
    <d v="2025-04-10T00:00:00"/>
    <x v="1"/>
    <x v="0"/>
    <m/>
    <n v="847"/>
    <s v="Bank Transfer"/>
    <s v="2025-04"/>
    <d v="2025-06-08T00:00:00"/>
    <x v="0"/>
    <m/>
    <m/>
    <m/>
    <m/>
  </r>
  <r>
    <n v="1671"/>
    <x v="22"/>
    <d v="2024-10-17T00:00:00"/>
    <x v="3"/>
    <x v="0"/>
    <m/>
    <n v="1867"/>
    <s v="Cash"/>
    <s v="2024-10"/>
    <d v="2025-06-09T00:00:00"/>
    <x v="0"/>
    <m/>
    <m/>
    <m/>
    <m/>
  </r>
  <r>
    <n v="1616"/>
    <x v="57"/>
    <d v="2024-02-24T00:00:00"/>
    <x v="4"/>
    <x v="2"/>
    <m/>
    <n v="355"/>
    <s v="Cash"/>
    <s v="2024-02"/>
    <d v="2025-06-08T00:00:00"/>
    <x v="0"/>
    <m/>
    <m/>
    <m/>
    <m/>
  </r>
  <r>
    <n v="1392"/>
    <x v="77"/>
    <d v="2024-05-20T00:00:00"/>
    <x v="1"/>
    <x v="3"/>
    <m/>
    <n v="357"/>
    <s v="Cheque"/>
    <s v="2024-05"/>
    <d v="2025-05-21T00:00:00"/>
    <x v="0"/>
    <m/>
    <m/>
    <m/>
    <m/>
  </r>
  <r>
    <n v="508"/>
    <x v="8"/>
    <d v="2024-01-04T00:00:00"/>
    <x v="1"/>
    <x v="3"/>
    <m/>
    <n v="300"/>
    <s v="Cash"/>
    <s v="2024-01"/>
    <d v="2025-05-11T00:00:00"/>
    <x v="0"/>
    <m/>
    <m/>
    <m/>
    <m/>
  </r>
  <r>
    <n v="1655"/>
    <x v="38"/>
    <d v="2025-05-12T00:00:00"/>
    <x v="0"/>
    <x v="3"/>
    <m/>
    <n v="2037"/>
    <s v="Bank Transfer"/>
    <s v="2025-05"/>
    <d v="2025-05-29T00:00:00"/>
    <x v="0"/>
    <m/>
    <m/>
    <m/>
    <m/>
  </r>
  <r>
    <n v="1389"/>
    <x v="73"/>
    <d v="2024-06-10T00:00:00"/>
    <x v="3"/>
    <x v="0"/>
    <m/>
    <n v="2497"/>
    <s v="UPI"/>
    <s v="2024-06"/>
    <d v="2025-05-17T00:00:00"/>
    <x v="0"/>
    <m/>
    <m/>
    <m/>
    <m/>
  </r>
  <r>
    <n v="13"/>
    <x v="4"/>
    <d v="2024-07-01T00:00:00"/>
    <x v="2"/>
    <x v="2"/>
    <m/>
    <n v="2842"/>
    <s v="Cheque"/>
    <s v="2024-07"/>
    <d v="2025-05-02T00:00:00"/>
    <x v="0"/>
    <m/>
    <m/>
    <m/>
    <m/>
  </r>
  <r>
    <n v="799"/>
    <x v="92"/>
    <d v="2025-04-20T00:00:00"/>
    <x v="0"/>
    <x v="3"/>
    <m/>
    <n v="1019"/>
    <s v="Credit Card"/>
    <s v="2025-04"/>
    <d v="2025-04-20T00:00:00"/>
    <x v="0"/>
    <m/>
    <m/>
    <m/>
    <m/>
  </r>
  <r>
    <n v="1267"/>
    <x v="60"/>
    <d v="2025-03-31T00:00:00"/>
    <x v="3"/>
    <x v="3"/>
    <m/>
    <n v="11553"/>
    <s v="UPI"/>
    <s v="2025-03"/>
    <d v="2025-05-26T00:00:00"/>
    <x v="0"/>
    <m/>
    <m/>
    <m/>
    <m/>
  </r>
  <r>
    <n v="168"/>
    <x v="30"/>
    <d v="2024-11-05T00:00:00"/>
    <x v="4"/>
    <x v="2"/>
    <m/>
    <n v="689"/>
    <s v="UPI"/>
    <s v="2024-11"/>
    <d v="2025-05-17T00:00:00"/>
    <x v="0"/>
    <m/>
    <m/>
    <m/>
    <m/>
  </r>
  <r>
    <n v="1593"/>
    <x v="25"/>
    <d v="2024-12-11T00:00:00"/>
    <x v="0"/>
    <x v="4"/>
    <m/>
    <n v="4778"/>
    <s v="Cheque"/>
    <s v="2024-12"/>
    <d v="2025-03-24T00:00:00"/>
    <x v="1"/>
    <m/>
    <m/>
    <m/>
    <m/>
  </r>
  <r>
    <n v="1227"/>
    <x v="104"/>
    <d v="2025-06-07T00:00:00"/>
    <x v="4"/>
    <x v="2"/>
    <m/>
    <n v="2221"/>
    <s v="Credit Card"/>
    <s v="2025-06"/>
    <d v="2025-06-07T00:00:00"/>
    <x v="0"/>
    <m/>
    <m/>
    <m/>
    <m/>
  </r>
  <r>
    <n v="189"/>
    <x v="94"/>
    <d v="2024-02-08T00:00:00"/>
    <x v="4"/>
    <x v="1"/>
    <m/>
    <n v="1760"/>
    <s v="UPI"/>
    <s v="2024-02"/>
    <d v="2025-04-05T00:00:00"/>
    <x v="0"/>
    <m/>
    <m/>
    <m/>
    <m/>
  </r>
  <r>
    <n v="1105"/>
    <x v="48"/>
    <d v="2024-09-17T00:00:00"/>
    <x v="3"/>
    <x v="2"/>
    <m/>
    <n v="1662"/>
    <s v="Credit Card"/>
    <s v="2024-09"/>
    <d v="2025-04-13T00:00:00"/>
    <x v="0"/>
    <m/>
    <m/>
    <m/>
    <m/>
  </r>
  <r>
    <n v="44"/>
    <x v="42"/>
    <d v="2024-08-18T00:00:00"/>
    <x v="4"/>
    <x v="4"/>
    <m/>
    <n v="409"/>
    <s v="Cash"/>
    <s v="2024-08"/>
    <d v="2025-05-08T00:00:00"/>
    <x v="0"/>
    <m/>
    <m/>
    <m/>
    <m/>
  </r>
  <r>
    <n v="1551"/>
    <x v="52"/>
    <d v="2024-06-28T00:00:00"/>
    <x v="4"/>
    <x v="3"/>
    <m/>
    <n v="1704"/>
    <s v="Credit Card"/>
    <s v="2024-06"/>
    <d v="2025-04-04T00:00:00"/>
    <x v="0"/>
    <m/>
    <m/>
    <m/>
    <m/>
  </r>
  <r>
    <n v="10"/>
    <x v="93"/>
    <d v="2024-08-12T00:00:00"/>
    <x v="3"/>
    <x v="1"/>
    <m/>
    <n v="1102"/>
    <s v="UPI"/>
    <s v="2024-08"/>
    <d v="2025-06-16T00:00:00"/>
    <x v="0"/>
    <m/>
    <m/>
    <m/>
    <m/>
  </r>
  <r>
    <n v="1224"/>
    <x v="67"/>
    <d v="2024-07-09T00:00:00"/>
    <x v="1"/>
    <x v="1"/>
    <m/>
    <n v="9825"/>
    <s v="UPI"/>
    <s v="2024-07"/>
    <d v="2025-06-21T00:00:00"/>
    <x v="0"/>
    <m/>
    <m/>
    <m/>
    <m/>
  </r>
  <r>
    <n v="148"/>
    <x v="53"/>
    <d v="2025-04-26T00:00:00"/>
    <x v="0"/>
    <x v="5"/>
    <m/>
    <n v="2747"/>
    <s v="Bank Transfer"/>
    <s v="2025-04"/>
    <d v="2025-06-06T00:00:00"/>
    <x v="0"/>
    <m/>
    <m/>
    <m/>
    <m/>
  </r>
  <r>
    <n v="379"/>
    <x v="59"/>
    <d v="2025-03-14T00:00:00"/>
    <x v="3"/>
    <x v="5"/>
    <m/>
    <n v="1297"/>
    <s v="Bank Transfer"/>
    <s v="2025-03"/>
    <d v="2025-06-07T00:00:00"/>
    <x v="0"/>
    <m/>
    <m/>
    <m/>
    <m/>
  </r>
  <r>
    <n v="14"/>
    <x v="23"/>
    <d v="2024-01-01T00:00:00"/>
    <x v="1"/>
    <x v="1"/>
    <m/>
    <n v="422"/>
    <s v="Bank Transfer"/>
    <s v="2024-01"/>
    <d v="2025-06-21T00:00:00"/>
    <x v="0"/>
    <m/>
    <m/>
    <m/>
    <m/>
  </r>
  <r>
    <n v="472"/>
    <x v="90"/>
    <d v="2025-03-29T00:00:00"/>
    <x v="1"/>
    <x v="5"/>
    <m/>
    <n v="11966"/>
    <s v="Bank Transfer"/>
    <s v="2025-03"/>
    <d v="2025-06-19T00:00:00"/>
    <x v="0"/>
    <m/>
    <m/>
    <m/>
    <m/>
  </r>
  <r>
    <n v="689"/>
    <x v="105"/>
    <d v="2024-06-06T00:00:00"/>
    <x v="1"/>
    <x v="1"/>
    <m/>
    <n v="821"/>
    <s v="Bank Transfer"/>
    <s v="2024-06"/>
    <d v="2025-06-17T00:00:00"/>
    <x v="0"/>
    <m/>
    <m/>
    <m/>
    <m/>
  </r>
  <r>
    <n v="784"/>
    <x v="106"/>
    <d v="2025-06-08T00:00:00"/>
    <x v="4"/>
    <x v="1"/>
    <m/>
    <n v="1782"/>
    <s v="Credit Card"/>
    <s v="2025-06"/>
    <d v="2025-06-20T00:00:00"/>
    <x v="0"/>
    <m/>
    <m/>
    <m/>
    <m/>
  </r>
  <r>
    <n v="1306"/>
    <x v="37"/>
    <d v="2025-03-03T00:00:00"/>
    <x v="1"/>
    <x v="5"/>
    <m/>
    <n v="2011"/>
    <s v="Cheque"/>
    <s v="2025-03"/>
    <d v="2025-06-21T00:00:00"/>
    <x v="0"/>
    <m/>
    <m/>
    <m/>
    <m/>
  </r>
  <r>
    <n v="448"/>
    <x v="107"/>
    <d v="2024-11-06T00:00:00"/>
    <x v="2"/>
    <x v="0"/>
    <m/>
    <n v="1406"/>
    <s v="Cash"/>
    <s v="2024-11"/>
    <d v="2025-04-12T00:00:00"/>
    <x v="0"/>
    <m/>
    <m/>
    <m/>
    <m/>
  </r>
  <r>
    <n v="566"/>
    <x v="94"/>
    <d v="2024-04-18T00:00:00"/>
    <x v="5"/>
    <x v="2"/>
    <m/>
    <n v="2103"/>
    <s v="UPI"/>
    <s v="2024-04"/>
    <d v="2025-04-05T00:00:00"/>
    <x v="0"/>
    <m/>
    <m/>
    <m/>
    <m/>
  </r>
  <r>
    <n v="465"/>
    <x v="71"/>
    <d v="2024-07-13T00:00:00"/>
    <x v="0"/>
    <x v="0"/>
    <m/>
    <n v="1568"/>
    <s v="Bank Transfer"/>
    <s v="2024-07"/>
    <d v="2025-05-16T00:00:00"/>
    <x v="0"/>
    <m/>
    <m/>
    <m/>
    <m/>
  </r>
  <r>
    <n v="1632"/>
    <x v="14"/>
    <d v="2025-04-16T00:00:00"/>
    <x v="0"/>
    <x v="2"/>
    <m/>
    <n v="1232"/>
    <s v="Cheque"/>
    <s v="2025-04"/>
    <d v="2025-04-16T00:00:00"/>
    <x v="0"/>
    <m/>
    <m/>
    <m/>
    <m/>
  </r>
  <r>
    <n v="471"/>
    <x v="68"/>
    <d v="2025-04-14T00:00:00"/>
    <x v="0"/>
    <x v="3"/>
    <m/>
    <n v="1675"/>
    <s v="Cheque"/>
    <s v="2025-04"/>
    <d v="2025-04-25T00:00:00"/>
    <x v="0"/>
    <m/>
    <m/>
    <m/>
    <m/>
  </r>
  <r>
    <n v="342"/>
    <x v="108"/>
    <d v="2024-07-03T00:00:00"/>
    <x v="2"/>
    <x v="1"/>
    <m/>
    <n v="5262"/>
    <s v="Credit Card"/>
    <s v="2024-07"/>
    <d v="2025-06-14T00:00:00"/>
    <x v="0"/>
    <m/>
    <m/>
    <m/>
    <m/>
  </r>
  <r>
    <n v="1727"/>
    <x v="44"/>
    <d v="2024-07-26T00:00:00"/>
    <x v="3"/>
    <x v="4"/>
    <m/>
    <n v="760"/>
    <s v="Cheque"/>
    <s v="2024-07"/>
    <d v="2025-04-26T00:00:00"/>
    <x v="0"/>
    <m/>
    <m/>
    <m/>
    <m/>
  </r>
  <r>
    <n v="717"/>
    <x v="45"/>
    <d v="2024-10-29T00:00:00"/>
    <x v="0"/>
    <x v="2"/>
    <m/>
    <n v="11494"/>
    <s v="Bank Transfer"/>
    <s v="2024-10"/>
    <d v="2025-06-18T00:00:00"/>
    <x v="0"/>
    <m/>
    <m/>
    <m/>
    <m/>
  </r>
  <r>
    <n v="675"/>
    <x v="34"/>
    <d v="2024-11-27T00:00:00"/>
    <x v="0"/>
    <x v="2"/>
    <m/>
    <n v="2171"/>
    <s v="Cash"/>
    <s v="2024-11"/>
    <d v="2025-05-16T00:00:00"/>
    <x v="0"/>
    <m/>
    <m/>
    <m/>
    <m/>
  </r>
  <r>
    <n v="116"/>
    <x v="33"/>
    <d v="2024-01-27T00:00:00"/>
    <x v="1"/>
    <x v="3"/>
    <m/>
    <n v="1364"/>
    <s v="Bank Transfer"/>
    <s v="2024-01"/>
    <d v="2025-03-13T00:00:00"/>
    <x v="1"/>
    <m/>
    <m/>
    <m/>
    <m/>
  </r>
  <r>
    <n v="896"/>
    <x v="72"/>
    <d v="2025-05-21T00:00:00"/>
    <x v="3"/>
    <x v="0"/>
    <m/>
    <n v="866"/>
    <s v="Cheque"/>
    <s v="2025-05"/>
    <d v="2025-05-21T00:00:00"/>
    <x v="0"/>
    <m/>
    <m/>
    <m/>
    <m/>
  </r>
  <r>
    <n v="1282"/>
    <x v="101"/>
    <d v="2024-07-25T00:00:00"/>
    <x v="3"/>
    <x v="1"/>
    <m/>
    <n v="1702"/>
    <s v="UPI"/>
    <s v="2024-07"/>
    <d v="2025-06-23T00:00:00"/>
    <x v="0"/>
    <m/>
    <m/>
    <m/>
    <m/>
  </r>
  <r>
    <n v="97"/>
    <x v="76"/>
    <d v="2024-10-06T00:00:00"/>
    <x v="4"/>
    <x v="5"/>
    <m/>
    <n v="356"/>
    <s v="Bank Transfer"/>
    <s v="2024-10"/>
    <d v="2025-03-18T00:00:00"/>
    <x v="1"/>
    <m/>
    <m/>
    <m/>
    <m/>
  </r>
  <r>
    <n v="1772"/>
    <x v="69"/>
    <d v="2025-02-27T00:00:00"/>
    <x v="1"/>
    <x v="4"/>
    <m/>
    <n v="430"/>
    <s v="UPI"/>
    <s v="2025-02"/>
    <d v="2025-03-22T00:00:00"/>
    <x v="1"/>
    <m/>
    <m/>
    <m/>
    <m/>
  </r>
  <r>
    <n v="1797"/>
    <x v="27"/>
    <d v="2024-12-17T00:00:00"/>
    <x v="3"/>
    <x v="2"/>
    <m/>
    <n v="4533"/>
    <s v="Credit Card"/>
    <s v="2024-12"/>
    <d v="2025-05-13T00:00:00"/>
    <x v="0"/>
    <m/>
    <m/>
    <m/>
    <m/>
  </r>
  <r>
    <n v="459"/>
    <x v="41"/>
    <d v="2024-06-07T00:00:00"/>
    <x v="2"/>
    <x v="4"/>
    <m/>
    <n v="1500"/>
    <s v="Cheque"/>
    <s v="2024-06"/>
    <d v="2025-06-08T00:00:00"/>
    <x v="0"/>
    <m/>
    <m/>
    <m/>
    <m/>
  </r>
  <r>
    <n v="100"/>
    <x v="103"/>
    <d v="2024-12-01T00:00:00"/>
    <x v="3"/>
    <x v="4"/>
    <m/>
    <n v="1054"/>
    <s v="Cash"/>
    <s v="2024-12"/>
    <d v="2025-04-19T00:00:00"/>
    <x v="0"/>
    <m/>
    <m/>
    <m/>
    <m/>
  </r>
  <r>
    <n v="1365"/>
    <x v="86"/>
    <d v="2024-05-22T00:00:00"/>
    <x v="4"/>
    <x v="2"/>
    <m/>
    <n v="625"/>
    <s v="Cash"/>
    <s v="2024-05"/>
    <d v="2025-06-15T00:00:00"/>
    <x v="0"/>
    <m/>
    <m/>
    <m/>
    <m/>
  </r>
  <r>
    <n v="624"/>
    <x v="55"/>
    <d v="2025-06-22T00:00:00"/>
    <x v="3"/>
    <x v="2"/>
    <m/>
    <n v="10809"/>
    <s v="UPI"/>
    <s v="2025-06"/>
    <d v="2025-06-22T00:00:00"/>
    <x v="0"/>
    <m/>
    <m/>
    <m/>
    <m/>
  </r>
  <r>
    <n v="387"/>
    <x v="26"/>
    <d v="2024-03-30T00:00:00"/>
    <x v="2"/>
    <x v="4"/>
    <m/>
    <n v="2558"/>
    <s v="Cheque"/>
    <s v="2024-03"/>
    <d v="2025-06-01T00:00:00"/>
    <x v="0"/>
    <m/>
    <m/>
    <m/>
    <m/>
  </r>
  <r>
    <n v="432"/>
    <x v="63"/>
    <d v="2024-10-13T00:00:00"/>
    <x v="4"/>
    <x v="0"/>
    <m/>
    <n v="1232"/>
    <s v="Cash"/>
    <s v="2024-10"/>
    <d v="2025-06-11T00:00:00"/>
    <x v="0"/>
    <m/>
    <m/>
    <m/>
    <m/>
  </r>
  <r>
    <n v="1468"/>
    <x v="95"/>
    <d v="2024-04-29T00:00:00"/>
    <x v="4"/>
    <x v="1"/>
    <m/>
    <n v="306"/>
    <s v="Cheque"/>
    <s v="2024-04"/>
    <d v="2025-06-08T00:00:00"/>
    <x v="0"/>
    <m/>
    <m/>
    <m/>
    <m/>
  </r>
  <r>
    <n v="1207"/>
    <x v="60"/>
    <d v="2025-01-19T00:00:00"/>
    <x v="0"/>
    <x v="2"/>
    <m/>
    <n v="1904"/>
    <s v="Cash"/>
    <s v="2025-01"/>
    <d v="2025-05-26T00:00:00"/>
    <x v="0"/>
    <m/>
    <m/>
    <m/>
    <m/>
  </r>
  <r>
    <n v="947"/>
    <x v="58"/>
    <d v="2024-09-26T00:00:00"/>
    <x v="2"/>
    <x v="1"/>
    <m/>
    <n v="1581"/>
    <s v="Cheque"/>
    <s v="2024-09"/>
    <d v="2025-06-15T00:00:00"/>
    <x v="0"/>
    <m/>
    <m/>
    <m/>
    <m/>
  </r>
  <r>
    <n v="271"/>
    <x v="55"/>
    <d v="2024-01-28T00:00:00"/>
    <x v="1"/>
    <x v="4"/>
    <m/>
    <n v="10428"/>
    <s v="Credit Card"/>
    <s v="2024-01"/>
    <d v="2025-06-22T00:00:00"/>
    <x v="0"/>
    <m/>
    <m/>
    <m/>
    <m/>
  </r>
  <r>
    <n v="1083"/>
    <x v="84"/>
    <d v="2025-02-22T00:00:00"/>
    <x v="3"/>
    <x v="5"/>
    <m/>
    <n v="2675"/>
    <s v="Cash"/>
    <s v="2025-02"/>
    <d v="2025-06-07T00:00:00"/>
    <x v="0"/>
    <m/>
    <m/>
    <m/>
    <m/>
  </r>
  <r>
    <n v="118"/>
    <x v="108"/>
    <d v="2024-11-28T00:00:00"/>
    <x v="3"/>
    <x v="0"/>
    <m/>
    <n v="1153"/>
    <s v="Credit Card"/>
    <s v="2024-11"/>
    <d v="2025-06-14T00:00:00"/>
    <x v="0"/>
    <m/>
    <m/>
    <m/>
    <m/>
  </r>
  <r>
    <n v="1482"/>
    <x v="27"/>
    <d v="2024-01-03T00:00:00"/>
    <x v="4"/>
    <x v="2"/>
    <m/>
    <n v="1132"/>
    <s v="UPI"/>
    <s v="2024-01"/>
    <d v="2025-05-13T00:00:00"/>
    <x v="0"/>
    <m/>
    <m/>
    <m/>
    <m/>
  </r>
  <r>
    <n v="1621"/>
    <x v="9"/>
    <d v="2024-10-23T00:00:00"/>
    <x v="2"/>
    <x v="0"/>
    <m/>
    <n v="4522"/>
    <s v="Bank Transfer"/>
    <s v="2024-10"/>
    <d v="2025-04-29T00:00:00"/>
    <x v="0"/>
    <m/>
    <m/>
    <m/>
    <m/>
  </r>
  <r>
    <n v="1385"/>
    <x v="29"/>
    <d v="2024-09-06T00:00:00"/>
    <x v="0"/>
    <x v="4"/>
    <m/>
    <n v="2131"/>
    <s v="Cash"/>
    <s v="2024-09"/>
    <d v="2025-04-26T00:00:00"/>
    <x v="0"/>
    <m/>
    <m/>
    <m/>
    <m/>
  </r>
  <r>
    <n v="1115"/>
    <x v="2"/>
    <d v="2024-04-16T00:00:00"/>
    <x v="1"/>
    <x v="3"/>
    <m/>
    <n v="1623"/>
    <s v="Credit Card"/>
    <s v="2024-04"/>
    <d v="2025-06-10T00:00:00"/>
    <x v="0"/>
    <m/>
    <m/>
    <m/>
    <m/>
  </r>
  <r>
    <n v="1348"/>
    <x v="54"/>
    <d v="2024-07-19T00:00:00"/>
    <x v="1"/>
    <x v="1"/>
    <m/>
    <n v="1060"/>
    <s v="Cash"/>
    <s v="2024-07"/>
    <d v="2025-02-10T00:00:00"/>
    <x v="1"/>
    <m/>
    <m/>
    <m/>
    <m/>
  </r>
  <r>
    <n v="596"/>
    <x v="8"/>
    <d v="2024-03-23T00:00:00"/>
    <x v="1"/>
    <x v="2"/>
    <m/>
    <n v="503"/>
    <s v="Bank Transfer"/>
    <s v="2024-03"/>
    <d v="2025-05-11T00:00:00"/>
    <x v="0"/>
    <m/>
    <m/>
    <m/>
    <m/>
  </r>
  <r>
    <n v="829"/>
    <x v="79"/>
    <d v="2024-01-31T00:00:00"/>
    <x v="4"/>
    <x v="1"/>
    <m/>
    <n v="321"/>
    <s v="UPI"/>
    <s v="2024-01"/>
    <d v="2025-04-29T00:00:00"/>
    <x v="0"/>
    <m/>
    <m/>
    <m/>
    <m/>
  </r>
  <r>
    <n v="114"/>
    <x v="18"/>
    <d v="2024-02-22T00:00:00"/>
    <x v="3"/>
    <x v="5"/>
    <m/>
    <n v="4207"/>
    <s v="Cheque"/>
    <s v="2024-02"/>
    <d v="2025-05-23T00:00:00"/>
    <x v="0"/>
    <m/>
    <m/>
    <m/>
    <m/>
  </r>
  <r>
    <n v="64"/>
    <x v="77"/>
    <d v="2025-01-12T00:00:00"/>
    <x v="3"/>
    <x v="0"/>
    <m/>
    <n v="4851"/>
    <s v="Cheque"/>
    <s v="2025-01"/>
    <d v="2025-05-21T00:00:00"/>
    <x v="0"/>
    <m/>
    <m/>
    <m/>
    <m/>
  </r>
  <r>
    <n v="597"/>
    <x v="91"/>
    <d v="2025-01-09T00:00:00"/>
    <x v="4"/>
    <x v="2"/>
    <m/>
    <n v="10819"/>
    <s v="Cheque"/>
    <s v="2025-01"/>
    <d v="2025-05-04T00:00:00"/>
    <x v="0"/>
    <m/>
    <m/>
    <m/>
    <m/>
  </r>
  <r>
    <n v="505"/>
    <x v="54"/>
    <d v="2024-09-13T00:00:00"/>
    <x v="4"/>
    <x v="2"/>
    <m/>
    <n v="836"/>
    <s v="Cash"/>
    <s v="2024-09"/>
    <d v="2025-02-10T00:00:00"/>
    <x v="1"/>
    <m/>
    <m/>
    <m/>
    <m/>
  </r>
  <r>
    <n v="187"/>
    <x v="64"/>
    <d v="2025-04-28T00:00:00"/>
    <x v="4"/>
    <x v="3"/>
    <m/>
    <n v="11912"/>
    <s v="Credit Card"/>
    <s v="2025-04"/>
    <d v="2025-04-28T00:00:00"/>
    <x v="0"/>
    <m/>
    <m/>
    <m/>
    <m/>
  </r>
  <r>
    <n v="547"/>
    <x v="74"/>
    <d v="2024-07-09T00:00:00"/>
    <x v="3"/>
    <x v="3"/>
    <m/>
    <n v="342"/>
    <s v="Credit Card"/>
    <s v="2024-07"/>
    <d v="2025-05-11T00:00:00"/>
    <x v="0"/>
    <m/>
    <m/>
    <m/>
    <m/>
  </r>
  <r>
    <n v="431"/>
    <x v="41"/>
    <d v="2025-05-08T00:00:00"/>
    <x v="3"/>
    <x v="5"/>
    <m/>
    <n v="348"/>
    <s v="Cheque"/>
    <s v="2025-05"/>
    <d v="2025-06-08T00:00:00"/>
    <x v="0"/>
    <m/>
    <m/>
    <m/>
    <m/>
  </r>
  <r>
    <n v="295"/>
    <x v="16"/>
    <d v="2024-03-07T00:00:00"/>
    <x v="0"/>
    <x v="4"/>
    <m/>
    <n v="1162"/>
    <s v="Bank Transfer"/>
    <s v="2024-03"/>
    <d v="2025-05-28T00:00:00"/>
    <x v="0"/>
    <m/>
    <m/>
    <m/>
    <m/>
  </r>
  <r>
    <n v="721"/>
    <x v="73"/>
    <d v="2024-09-21T00:00:00"/>
    <x v="1"/>
    <x v="2"/>
    <m/>
    <n v="896"/>
    <s v="UPI"/>
    <s v="2024-09"/>
    <d v="2025-05-17T00:00:00"/>
    <x v="0"/>
    <m/>
    <m/>
    <m/>
    <m/>
  </r>
  <r>
    <n v="287"/>
    <x v="12"/>
    <d v="2024-03-02T00:00:00"/>
    <x v="1"/>
    <x v="3"/>
    <m/>
    <n v="584"/>
    <s v="Cheque"/>
    <s v="2024-03"/>
    <d v="2025-05-28T00:00:00"/>
    <x v="0"/>
    <m/>
    <m/>
    <m/>
    <m/>
  </r>
  <r>
    <n v="301"/>
    <x v="106"/>
    <d v="2024-02-27T00:00:00"/>
    <x v="4"/>
    <x v="0"/>
    <m/>
    <n v="706"/>
    <s v="Credit Card"/>
    <s v="2024-02"/>
    <d v="2025-06-20T00:00:00"/>
    <x v="0"/>
    <m/>
    <m/>
    <m/>
    <m/>
  </r>
  <r>
    <n v="1689"/>
    <x v="69"/>
    <d v="2024-04-12T00:00:00"/>
    <x v="3"/>
    <x v="5"/>
    <m/>
    <n v="4745"/>
    <s v="UPI"/>
    <s v="2024-04"/>
    <d v="2025-03-22T00:00:00"/>
    <x v="1"/>
    <m/>
    <m/>
    <m/>
    <m/>
  </r>
  <r>
    <n v="316"/>
    <x v="109"/>
    <d v="2024-04-28T00:00:00"/>
    <x v="0"/>
    <x v="1"/>
    <m/>
    <n v="347"/>
    <s v="Bank Transfer"/>
    <s v="2024-04"/>
    <d v="2025-05-15T00:00:00"/>
    <x v="0"/>
    <m/>
    <m/>
    <m/>
    <m/>
  </r>
  <r>
    <n v="716"/>
    <x v="106"/>
    <d v="2025-02-06T00:00:00"/>
    <x v="2"/>
    <x v="2"/>
    <m/>
    <n v="1742"/>
    <s v="UPI"/>
    <s v="2025-02"/>
    <d v="2025-06-20T00:00:00"/>
    <x v="0"/>
    <m/>
    <m/>
    <m/>
    <m/>
  </r>
  <r>
    <n v="545"/>
    <x v="93"/>
    <d v="2024-05-08T00:00:00"/>
    <x v="2"/>
    <x v="3"/>
    <m/>
    <n v="429"/>
    <s v="Cash"/>
    <s v="2024-05"/>
    <d v="2025-06-16T00:00:00"/>
    <x v="0"/>
    <m/>
    <m/>
    <m/>
    <m/>
  </r>
  <r>
    <n v="131"/>
    <x v="51"/>
    <d v="2024-03-04T00:00:00"/>
    <x v="2"/>
    <x v="5"/>
    <m/>
    <n v="1002"/>
    <s v="Credit Card"/>
    <s v="2024-03"/>
    <d v="2025-06-22T00:00:00"/>
    <x v="0"/>
    <m/>
    <m/>
    <m/>
    <m/>
  </r>
  <r>
    <n v="986"/>
    <x v="70"/>
    <d v="2024-11-10T00:00:00"/>
    <x v="3"/>
    <x v="2"/>
    <m/>
    <n v="859"/>
    <s v="UPI"/>
    <s v="2024-11"/>
    <d v="2025-05-26T00:00:00"/>
    <x v="0"/>
    <m/>
    <m/>
    <m/>
    <m/>
  </r>
  <r>
    <n v="190"/>
    <x v="85"/>
    <d v="2024-10-23T00:00:00"/>
    <x v="2"/>
    <x v="3"/>
    <m/>
    <n v="2568"/>
    <s v="UPI"/>
    <s v="2024-10"/>
    <d v="2025-04-17T00:00:00"/>
    <x v="0"/>
    <m/>
    <m/>
    <m/>
    <m/>
  </r>
  <r>
    <n v="28"/>
    <x v="85"/>
    <d v="2024-12-23T00:00:00"/>
    <x v="2"/>
    <x v="4"/>
    <m/>
    <n v="4570"/>
    <s v="Cash"/>
    <s v="2024-12"/>
    <d v="2025-04-17T00:00:00"/>
    <x v="0"/>
    <m/>
    <m/>
    <m/>
    <m/>
  </r>
  <r>
    <n v="1778"/>
    <x v="58"/>
    <d v="2024-05-07T00:00:00"/>
    <x v="3"/>
    <x v="1"/>
    <m/>
    <n v="537"/>
    <s v="Cheque"/>
    <s v="2024-05"/>
    <d v="2025-06-15T00:00:00"/>
    <x v="0"/>
    <m/>
    <m/>
    <m/>
    <m/>
  </r>
  <r>
    <n v="715"/>
    <x v="99"/>
    <d v="2024-01-31T00:00:00"/>
    <x v="4"/>
    <x v="3"/>
    <m/>
    <n v="11775"/>
    <s v="UPI"/>
    <s v="2024-01"/>
    <d v="2025-03-30T00:00:00"/>
    <x v="0"/>
    <m/>
    <m/>
    <m/>
    <m/>
  </r>
  <r>
    <n v="735"/>
    <x v="46"/>
    <d v="2025-03-30T00:00:00"/>
    <x v="3"/>
    <x v="0"/>
    <m/>
    <n v="4804"/>
    <s v="UPI"/>
    <s v="2025-03"/>
    <d v="2025-06-04T00:00:00"/>
    <x v="0"/>
    <m/>
    <m/>
    <m/>
    <m/>
  </r>
  <r>
    <n v="994"/>
    <x v="23"/>
    <d v="2024-01-10T00:00:00"/>
    <x v="1"/>
    <x v="1"/>
    <m/>
    <n v="0"/>
    <s v="Credit Card"/>
    <s v="2024-01"/>
    <d v="2025-06-21T00:00:00"/>
    <x v="0"/>
    <m/>
    <m/>
    <m/>
    <m/>
  </r>
  <r>
    <n v="1114"/>
    <x v="59"/>
    <d v="2024-09-16T00:00:00"/>
    <x v="2"/>
    <x v="0"/>
    <m/>
    <n v="573"/>
    <s v="Cash"/>
    <s v="2024-09"/>
    <d v="2025-06-07T00:00:00"/>
    <x v="0"/>
    <m/>
    <m/>
    <m/>
    <m/>
  </r>
  <r>
    <n v="1576"/>
    <x v="110"/>
    <d v="2024-01-24T00:00:00"/>
    <x v="3"/>
    <x v="0"/>
    <m/>
    <n v="721"/>
    <s v="UPI"/>
    <s v="2024-01"/>
    <d v="2025-06-20T00:00:00"/>
    <x v="0"/>
    <m/>
    <m/>
    <m/>
    <m/>
  </r>
  <r>
    <n v="1683"/>
    <x v="29"/>
    <d v="2024-01-03T00:00:00"/>
    <x v="0"/>
    <x v="1"/>
    <m/>
    <n v="8582"/>
    <s v="Bank Transfer"/>
    <s v="2024-01"/>
    <d v="2025-04-26T00:00:00"/>
    <x v="0"/>
    <m/>
    <m/>
    <m/>
    <m/>
  </r>
  <r>
    <n v="1168"/>
    <x v="111"/>
    <d v="2025-06-07T00:00:00"/>
    <x v="0"/>
    <x v="1"/>
    <m/>
    <n v="841"/>
    <s v="Bank Transfer"/>
    <s v="2025-06"/>
    <d v="2025-06-07T00:00:00"/>
    <x v="0"/>
    <m/>
    <m/>
    <m/>
    <m/>
  </r>
  <r>
    <n v="1607"/>
    <x v="83"/>
    <d v="2024-08-30T00:00:00"/>
    <x v="2"/>
    <x v="5"/>
    <m/>
    <n v="4138"/>
    <s v="UPI"/>
    <s v="2024-08"/>
    <d v="2025-02-02T00:00:00"/>
    <x v="1"/>
    <m/>
    <m/>
    <m/>
    <m/>
  </r>
  <r>
    <n v="1383"/>
    <x v="79"/>
    <d v="2024-07-08T00:00:00"/>
    <x v="5"/>
    <x v="3"/>
    <m/>
    <n v="8159"/>
    <s v="Credit Card"/>
    <s v="2024-07"/>
    <d v="2025-04-29T00:00:00"/>
    <x v="0"/>
    <m/>
    <m/>
    <m/>
    <m/>
  </r>
  <r>
    <n v="1446"/>
    <x v="12"/>
    <d v="2024-04-30T00:00:00"/>
    <x v="2"/>
    <x v="1"/>
    <m/>
    <n v="1290"/>
    <s v="UPI"/>
    <s v="2024-04"/>
    <d v="2025-05-28T00:00:00"/>
    <x v="0"/>
    <m/>
    <m/>
    <m/>
    <m/>
  </r>
  <r>
    <n v="1449"/>
    <x v="51"/>
    <d v="2024-11-27T00:00:00"/>
    <x v="4"/>
    <x v="5"/>
    <m/>
    <n v="798"/>
    <s v="Cheque"/>
    <s v="2024-11"/>
    <d v="2025-06-22T00:00:00"/>
    <x v="0"/>
    <m/>
    <m/>
    <m/>
    <m/>
  </r>
  <r>
    <n v="1630"/>
    <x v="84"/>
    <d v="2024-07-16T00:00:00"/>
    <x v="3"/>
    <x v="4"/>
    <m/>
    <n v="515"/>
    <s v="Cash"/>
    <s v="2024-07"/>
    <d v="2025-06-07T00:00:00"/>
    <x v="0"/>
    <m/>
    <m/>
    <m/>
    <m/>
  </r>
  <r>
    <n v="836"/>
    <x v="33"/>
    <d v="2024-10-27T00:00:00"/>
    <x v="4"/>
    <x v="2"/>
    <m/>
    <n v="1722"/>
    <s v="Cheque"/>
    <s v="2024-10"/>
    <d v="2025-03-13T00:00:00"/>
    <x v="1"/>
    <m/>
    <m/>
    <m/>
    <m/>
  </r>
  <r>
    <n v="954"/>
    <x v="109"/>
    <d v="2024-09-27T00:00:00"/>
    <x v="0"/>
    <x v="2"/>
    <m/>
    <n v="1603"/>
    <s v="Cash"/>
    <s v="2024-09"/>
    <d v="2025-05-15T00:00:00"/>
    <x v="0"/>
    <m/>
    <m/>
    <m/>
    <m/>
  </r>
  <r>
    <n v="741"/>
    <x v="51"/>
    <d v="2025-02-20T00:00:00"/>
    <x v="2"/>
    <x v="2"/>
    <m/>
    <n v="8814"/>
    <s v="Credit Card"/>
    <s v="2025-02"/>
    <d v="2025-06-22T00:00:00"/>
    <x v="0"/>
    <m/>
    <m/>
    <m/>
    <m/>
  </r>
  <r>
    <n v="378"/>
    <x v="108"/>
    <d v="2024-07-20T00:00:00"/>
    <x v="4"/>
    <x v="5"/>
    <m/>
    <n v="261"/>
    <s v="UPI"/>
    <s v="2024-07"/>
    <d v="2025-06-14T00:00:00"/>
    <x v="0"/>
    <m/>
    <m/>
    <m/>
    <m/>
  </r>
  <r>
    <n v="326"/>
    <x v="93"/>
    <d v="2024-08-21T00:00:00"/>
    <x v="1"/>
    <x v="2"/>
    <m/>
    <n v="333"/>
    <s v="Bank Transfer"/>
    <s v="2024-08"/>
    <d v="2025-06-16T00:00:00"/>
    <x v="0"/>
    <m/>
    <m/>
    <m/>
    <m/>
  </r>
  <r>
    <n v="1026"/>
    <x v="16"/>
    <d v="2024-07-23T00:00:00"/>
    <x v="1"/>
    <x v="1"/>
    <m/>
    <n v="321"/>
    <s v="Credit Card"/>
    <s v="2024-07"/>
    <d v="2025-05-28T00:00:00"/>
    <x v="0"/>
    <m/>
    <m/>
    <m/>
    <m/>
  </r>
  <r>
    <n v="373"/>
    <x v="4"/>
    <d v="2024-07-01T00:00:00"/>
    <x v="3"/>
    <x v="2"/>
    <m/>
    <n v="5421"/>
    <s v="Bank Transfer"/>
    <s v="2024-07"/>
    <d v="2025-05-02T00:00:00"/>
    <x v="0"/>
    <m/>
    <m/>
    <m/>
    <m/>
  </r>
  <r>
    <n v="1646"/>
    <x v="49"/>
    <d v="2025-03-20T00:00:00"/>
    <x v="2"/>
    <x v="3"/>
    <m/>
    <n v="8238"/>
    <s v="UPI"/>
    <s v="2025-03"/>
    <d v="2025-05-18T00:00:00"/>
    <x v="0"/>
    <m/>
    <m/>
    <m/>
    <m/>
  </r>
  <r>
    <n v="1358"/>
    <x v="76"/>
    <d v="2025-03-18T00:00:00"/>
    <x v="0"/>
    <x v="1"/>
    <m/>
    <n v="1784"/>
    <s v="Cheque"/>
    <s v="2025-03"/>
    <d v="2025-03-18T00:00:00"/>
    <x v="1"/>
    <m/>
    <m/>
    <m/>
    <m/>
  </r>
  <r>
    <n v="863"/>
    <x v="32"/>
    <d v="2024-07-16T00:00:00"/>
    <x v="1"/>
    <x v="0"/>
    <m/>
    <n v="10420"/>
    <s v="Cash"/>
    <s v="2024-07"/>
    <d v="2025-05-07T00:00:00"/>
    <x v="0"/>
    <m/>
    <m/>
    <m/>
    <m/>
  </r>
  <r>
    <n v="18"/>
    <x v="15"/>
    <d v="2024-08-22T00:00:00"/>
    <x v="2"/>
    <x v="5"/>
    <m/>
    <n v="1006"/>
    <s v="Bank Transfer"/>
    <s v="2024-08"/>
    <d v="2025-05-15T00:00:00"/>
    <x v="0"/>
    <m/>
    <m/>
    <m/>
    <m/>
  </r>
  <r>
    <n v="1284"/>
    <x v="40"/>
    <d v="2025-05-30T00:00:00"/>
    <x v="4"/>
    <x v="4"/>
    <m/>
    <n v="4088"/>
    <s v="UPI"/>
    <s v="2025-05"/>
    <d v="2025-05-30T00:00:00"/>
    <x v="0"/>
    <m/>
    <m/>
    <m/>
    <m/>
  </r>
  <r>
    <n v="371"/>
    <x v="59"/>
    <d v="2024-09-11T00:00:00"/>
    <x v="0"/>
    <x v="5"/>
    <m/>
    <n v="2453"/>
    <s v="Credit Card"/>
    <s v="2024-09"/>
    <d v="2025-06-07T00:00:00"/>
    <x v="0"/>
    <m/>
    <m/>
    <m/>
    <m/>
  </r>
  <r>
    <n v="1139"/>
    <x v="102"/>
    <d v="2024-07-02T00:00:00"/>
    <x v="0"/>
    <x v="2"/>
    <m/>
    <n v="11337"/>
    <s v="Cash"/>
    <s v="2024-07"/>
    <d v="2025-04-05T00:00:00"/>
    <x v="0"/>
    <m/>
    <m/>
    <m/>
    <m/>
  </r>
  <r>
    <n v="413"/>
    <x v="58"/>
    <d v="2025-03-17T00:00:00"/>
    <x v="0"/>
    <x v="5"/>
    <m/>
    <n v="540"/>
    <s v="Cash"/>
    <s v="2025-03"/>
    <d v="2025-06-15T00:00:00"/>
    <x v="0"/>
    <m/>
    <m/>
    <m/>
    <m/>
  </r>
  <r>
    <n v="1476"/>
    <x v="46"/>
    <d v="2024-09-10T00:00:00"/>
    <x v="1"/>
    <x v="4"/>
    <m/>
    <n v="1589"/>
    <s v="Cheque"/>
    <s v="2024-09"/>
    <d v="2025-06-04T00:00:00"/>
    <x v="0"/>
    <m/>
    <m/>
    <m/>
    <m/>
  </r>
  <r>
    <n v="1587"/>
    <x v="43"/>
    <d v="2024-05-12T00:00:00"/>
    <x v="5"/>
    <x v="0"/>
    <m/>
    <n v="1995"/>
    <s v="UPI"/>
    <s v="2024-05"/>
    <d v="2025-06-13T00:00:00"/>
    <x v="0"/>
    <m/>
    <m/>
    <m/>
    <m/>
  </r>
  <r>
    <n v="119"/>
    <x v="92"/>
    <d v="2025-03-10T00:00:00"/>
    <x v="3"/>
    <x v="1"/>
    <m/>
    <n v="682"/>
    <s v="Cheque"/>
    <s v="2025-03"/>
    <d v="2025-04-20T00:00:00"/>
    <x v="0"/>
    <m/>
    <m/>
    <m/>
    <m/>
  </r>
  <r>
    <n v="1167"/>
    <x v="99"/>
    <d v="2024-01-25T00:00:00"/>
    <x v="0"/>
    <x v="2"/>
    <m/>
    <n v="459"/>
    <s v="Cash"/>
    <s v="2024-01"/>
    <d v="2025-03-30T00:00:00"/>
    <x v="0"/>
    <m/>
    <m/>
    <m/>
    <m/>
  </r>
  <r>
    <n v="55"/>
    <x v="112"/>
    <d v="2024-02-11T00:00:00"/>
    <x v="2"/>
    <x v="4"/>
    <m/>
    <n v="2271"/>
    <s v="Cheque"/>
    <s v="2024-02"/>
    <d v="2025-06-04T00:00:00"/>
    <x v="0"/>
    <m/>
    <m/>
    <m/>
    <m/>
  </r>
  <r>
    <n v="1099"/>
    <x v="2"/>
    <d v="2024-04-26T00:00:00"/>
    <x v="0"/>
    <x v="1"/>
    <m/>
    <n v="1576"/>
    <s v="Cheque"/>
    <s v="2024-04"/>
    <d v="2025-06-10T00:00:00"/>
    <x v="0"/>
    <m/>
    <m/>
    <m/>
    <m/>
  </r>
  <r>
    <n v="678"/>
    <x v="85"/>
    <d v="2024-12-13T00:00:00"/>
    <x v="0"/>
    <x v="4"/>
    <m/>
    <n v="927"/>
    <s v="Cheque"/>
    <s v="2024-12"/>
    <d v="2025-04-17T00:00:00"/>
    <x v="0"/>
    <m/>
    <m/>
    <m/>
    <m/>
  </r>
  <r>
    <n v="361"/>
    <x v="107"/>
    <d v="2024-02-25T00:00:00"/>
    <x v="4"/>
    <x v="0"/>
    <m/>
    <n v="342"/>
    <s v="Credit Card"/>
    <s v="2024-02"/>
    <d v="2025-04-12T00:00:00"/>
    <x v="0"/>
    <m/>
    <m/>
    <m/>
    <m/>
  </r>
  <r>
    <n v="181"/>
    <x v="70"/>
    <d v="2025-04-27T00:00:00"/>
    <x v="2"/>
    <x v="2"/>
    <m/>
    <n v="1511"/>
    <s v="Cheque"/>
    <s v="2025-04"/>
    <d v="2025-05-26T00:00:00"/>
    <x v="0"/>
    <m/>
    <m/>
    <m/>
    <m/>
  </r>
  <r>
    <n v="260"/>
    <x v="26"/>
    <d v="2025-04-07T00:00:00"/>
    <x v="2"/>
    <x v="1"/>
    <m/>
    <n v="10999"/>
    <s v="Bank Transfer"/>
    <s v="2025-04"/>
    <d v="2025-06-01T00:00:00"/>
    <x v="0"/>
    <m/>
    <m/>
    <m/>
    <m/>
  </r>
  <r>
    <n v="977"/>
    <x v="20"/>
    <d v="2025-05-20T00:00:00"/>
    <x v="2"/>
    <x v="1"/>
    <m/>
    <n v="2696"/>
    <s v="Cash"/>
    <s v="2025-05"/>
    <d v="2025-06-07T00:00:00"/>
    <x v="0"/>
    <m/>
    <m/>
    <m/>
    <m/>
  </r>
  <r>
    <n v="443"/>
    <x v="100"/>
    <d v="2024-09-14T00:00:00"/>
    <x v="2"/>
    <x v="4"/>
    <m/>
    <n v="1438"/>
    <s v="UPI"/>
    <s v="2024-09"/>
    <d v="2025-06-04T00:00:00"/>
    <x v="0"/>
    <m/>
    <m/>
    <m/>
    <m/>
  </r>
  <r>
    <n v="211"/>
    <x v="61"/>
    <d v="2024-03-21T00:00:00"/>
    <x v="0"/>
    <x v="5"/>
    <m/>
    <n v="1014"/>
    <s v="Credit Card"/>
    <s v="2024-03"/>
    <d v="2025-05-18T00:00:00"/>
    <x v="0"/>
    <m/>
    <m/>
    <m/>
    <m/>
  </r>
  <r>
    <n v="926"/>
    <x v="3"/>
    <d v="2024-07-18T00:00:00"/>
    <x v="2"/>
    <x v="3"/>
    <m/>
    <n v="945"/>
    <s v="Bank Transfer"/>
    <s v="2024-07"/>
    <d v="2025-06-15T00:00:00"/>
    <x v="0"/>
    <m/>
    <m/>
    <m/>
    <m/>
  </r>
  <r>
    <n v="1354"/>
    <x v="19"/>
    <d v="2025-03-31T00:00:00"/>
    <x v="3"/>
    <x v="4"/>
    <m/>
    <n v="821"/>
    <s v="Credit Card"/>
    <s v="2025-03"/>
    <d v="2025-06-19T00:00:00"/>
    <x v="0"/>
    <m/>
    <m/>
    <m/>
    <m/>
  </r>
  <r>
    <n v="1021"/>
    <x v="36"/>
    <d v="2024-12-13T00:00:00"/>
    <x v="4"/>
    <x v="5"/>
    <m/>
    <n v="2923"/>
    <s v="UPI"/>
    <s v="2024-12"/>
    <d v="2025-06-16T00:00:00"/>
    <x v="0"/>
    <m/>
    <m/>
    <m/>
    <m/>
  </r>
  <r>
    <n v="1575"/>
    <x v="55"/>
    <d v="2024-04-27T00:00:00"/>
    <x v="3"/>
    <x v="4"/>
    <m/>
    <n v="10726"/>
    <s v="Bank Transfer"/>
    <s v="2024-04"/>
    <d v="2025-06-22T00:00:00"/>
    <x v="0"/>
    <m/>
    <m/>
    <m/>
    <m/>
  </r>
  <r>
    <n v="667"/>
    <x v="106"/>
    <d v="2024-01-29T00:00:00"/>
    <x v="2"/>
    <x v="2"/>
    <m/>
    <n v="1578"/>
    <s v="Credit Card"/>
    <s v="2024-01"/>
    <d v="2025-06-20T00:00:00"/>
    <x v="0"/>
    <m/>
    <m/>
    <m/>
    <m/>
  </r>
  <r>
    <n v="24"/>
    <x v="79"/>
    <d v="2024-02-29T00:00:00"/>
    <x v="3"/>
    <x v="3"/>
    <m/>
    <n v="4114"/>
    <s v="Cheque"/>
    <s v="2024-02"/>
    <d v="2025-04-29T00:00:00"/>
    <x v="0"/>
    <m/>
    <m/>
    <m/>
    <m/>
  </r>
  <r>
    <n v="705"/>
    <x v="4"/>
    <d v="2024-08-25T00:00:00"/>
    <x v="4"/>
    <x v="0"/>
    <m/>
    <n v="5843"/>
    <s v="Cash"/>
    <s v="2024-08"/>
    <d v="2025-05-02T00:00:00"/>
    <x v="0"/>
    <m/>
    <m/>
    <m/>
    <m/>
  </r>
  <r>
    <n v="796"/>
    <x v="38"/>
    <d v="2024-10-25T00:00:00"/>
    <x v="2"/>
    <x v="2"/>
    <m/>
    <n v="2327"/>
    <s v="Cash"/>
    <s v="2024-10"/>
    <d v="2025-05-29T00:00:00"/>
    <x v="0"/>
    <m/>
    <m/>
    <m/>
    <m/>
  </r>
  <r>
    <n v="1592"/>
    <x v="113"/>
    <d v="2024-07-18T00:00:00"/>
    <x v="3"/>
    <x v="3"/>
    <m/>
    <n v="4810"/>
    <s v="Bank Transfer"/>
    <s v="2024-07"/>
    <d v="2025-03-27T00:00:00"/>
    <x v="0"/>
    <m/>
    <m/>
    <m/>
    <m/>
  </r>
  <r>
    <n v="1590"/>
    <x v="3"/>
    <d v="2025-01-18T00:00:00"/>
    <x v="1"/>
    <x v="4"/>
    <m/>
    <n v="9573"/>
    <s v="Cheque"/>
    <s v="2025-01"/>
    <d v="2025-06-15T00:00:00"/>
    <x v="0"/>
    <m/>
    <m/>
    <m/>
    <m/>
  </r>
  <r>
    <n v="347"/>
    <x v="0"/>
    <d v="2025-02-17T00:00:00"/>
    <x v="4"/>
    <x v="4"/>
    <m/>
    <n v="1327"/>
    <s v="UPI"/>
    <s v="2025-02"/>
    <d v="2025-05-08T00:00:00"/>
    <x v="0"/>
    <m/>
    <m/>
    <m/>
    <m/>
  </r>
  <r>
    <n v="1573"/>
    <x v="78"/>
    <d v="2024-06-14T00:00:00"/>
    <x v="2"/>
    <x v="1"/>
    <m/>
    <n v="11309"/>
    <s v="UPI"/>
    <s v="2024-06"/>
    <d v="2025-06-02T00:00:00"/>
    <x v="0"/>
    <m/>
    <m/>
    <m/>
    <m/>
  </r>
  <r>
    <n v="1209"/>
    <x v="45"/>
    <d v="2024-11-20T00:00:00"/>
    <x v="5"/>
    <x v="4"/>
    <m/>
    <n v="1120"/>
    <s v="Bank Transfer"/>
    <s v="2024-11"/>
    <d v="2025-06-18T00:00:00"/>
    <x v="0"/>
    <m/>
    <m/>
    <m/>
    <m/>
  </r>
  <r>
    <n v="873"/>
    <x v="20"/>
    <d v="2024-01-15T00:00:00"/>
    <x v="4"/>
    <x v="2"/>
    <m/>
    <n v="543"/>
    <s v="Cheque"/>
    <s v="2024-01"/>
    <d v="2025-06-07T00:00:00"/>
    <x v="0"/>
    <m/>
    <m/>
    <m/>
    <m/>
  </r>
  <r>
    <n v="1556"/>
    <x v="114"/>
    <d v="2024-05-30T00:00:00"/>
    <x v="1"/>
    <x v="3"/>
    <m/>
    <n v="9530"/>
    <s v="Cash"/>
    <s v="2024-05"/>
    <d v="2025-05-08T00:00:00"/>
    <x v="0"/>
    <m/>
    <m/>
    <m/>
    <m/>
  </r>
  <r>
    <n v="1325"/>
    <x v="6"/>
    <d v="2025-04-28T00:00:00"/>
    <x v="1"/>
    <x v="5"/>
    <m/>
    <n v="1617"/>
    <s v="Cash"/>
    <s v="2025-04"/>
    <d v="2025-05-31T00:00:00"/>
    <x v="0"/>
    <m/>
    <m/>
    <m/>
    <m/>
  </r>
  <r>
    <n v="143"/>
    <x v="43"/>
    <d v="2024-01-29T00:00:00"/>
    <x v="2"/>
    <x v="2"/>
    <m/>
    <n v="5583"/>
    <s v="Credit Card"/>
    <s v="2024-01"/>
    <d v="2025-06-13T00:00:00"/>
    <x v="0"/>
    <m/>
    <m/>
    <m/>
    <m/>
  </r>
  <r>
    <n v="229"/>
    <x v="40"/>
    <d v="2024-03-28T00:00:00"/>
    <x v="3"/>
    <x v="5"/>
    <m/>
    <n v="2170"/>
    <s v="UPI"/>
    <s v="2024-03"/>
    <d v="2025-05-30T00:00:00"/>
    <x v="0"/>
    <m/>
    <m/>
    <m/>
    <m/>
  </r>
  <r>
    <n v="1557"/>
    <x v="42"/>
    <d v="2025-05-08T00:00:00"/>
    <x v="0"/>
    <x v="3"/>
    <m/>
    <n v="1660"/>
    <s v="Cheque"/>
    <s v="2025-05"/>
    <d v="2025-05-08T00:00:00"/>
    <x v="0"/>
    <m/>
    <m/>
    <m/>
    <m/>
  </r>
  <r>
    <n v="1436"/>
    <x v="45"/>
    <d v="2025-02-13T00:00:00"/>
    <x v="3"/>
    <x v="5"/>
    <m/>
    <n v="2081"/>
    <s v="Credit Card"/>
    <s v="2025-02"/>
    <d v="2025-06-18T00:00:00"/>
    <x v="0"/>
    <m/>
    <m/>
    <m/>
    <m/>
  </r>
  <r>
    <n v="1530"/>
    <x v="42"/>
    <d v="2024-08-15T00:00:00"/>
    <x v="4"/>
    <x v="3"/>
    <m/>
    <n v="838"/>
    <s v="Cheque"/>
    <s v="2024-08"/>
    <d v="2025-05-08T00:00:00"/>
    <x v="0"/>
    <m/>
    <m/>
    <m/>
    <m/>
  </r>
  <r>
    <n v="638"/>
    <x v="59"/>
    <d v="2025-06-07T00:00:00"/>
    <x v="4"/>
    <x v="1"/>
    <m/>
    <n v="849"/>
    <s v="Cash"/>
    <s v="2025-06"/>
    <d v="2025-06-07T00:00:00"/>
    <x v="0"/>
    <m/>
    <m/>
    <m/>
    <m/>
  </r>
  <r>
    <n v="1043"/>
    <x v="41"/>
    <d v="2024-05-05T00:00:00"/>
    <x v="4"/>
    <x v="3"/>
    <m/>
    <n v="2159"/>
    <s v="Cash"/>
    <s v="2024-05"/>
    <d v="2025-06-08T00:00:00"/>
    <x v="0"/>
    <m/>
    <m/>
    <m/>
    <m/>
  </r>
  <r>
    <n v="587"/>
    <x v="5"/>
    <d v="2025-04-10T00:00:00"/>
    <x v="0"/>
    <x v="5"/>
    <m/>
    <n v="1475"/>
    <s v="Credit Card"/>
    <s v="2025-04"/>
    <d v="2025-05-24T00:00:00"/>
    <x v="0"/>
    <m/>
    <m/>
    <m/>
    <m/>
  </r>
  <r>
    <n v="16"/>
    <x v="115"/>
    <d v="2025-03-09T00:00:00"/>
    <x v="3"/>
    <x v="2"/>
    <m/>
    <n v="2170"/>
    <s v="Cash"/>
    <s v="2025-03"/>
    <d v="2025-03-09T00:00:00"/>
    <x v="1"/>
    <m/>
    <m/>
    <m/>
    <m/>
  </r>
  <r>
    <n v="1628"/>
    <x v="36"/>
    <d v="2024-04-22T00:00:00"/>
    <x v="2"/>
    <x v="5"/>
    <m/>
    <n v="1772"/>
    <s v="Cheque"/>
    <s v="2024-04"/>
    <d v="2025-06-16T00:00:00"/>
    <x v="0"/>
    <m/>
    <m/>
    <m/>
    <m/>
  </r>
  <r>
    <n v="1634"/>
    <x v="90"/>
    <d v="2025-03-24T00:00:00"/>
    <x v="5"/>
    <x v="4"/>
    <m/>
    <n v="1630"/>
    <s v="Cheque"/>
    <s v="2025-03"/>
    <d v="2025-06-19T00:00:00"/>
    <x v="0"/>
    <m/>
    <m/>
    <m/>
    <m/>
  </r>
  <r>
    <n v="1610"/>
    <x v="91"/>
    <d v="2024-05-12T00:00:00"/>
    <x v="3"/>
    <x v="2"/>
    <m/>
    <n v="1752"/>
    <s v="Bank Transfer"/>
    <s v="2024-05"/>
    <d v="2025-05-04T00:00:00"/>
    <x v="0"/>
    <m/>
    <m/>
    <m/>
    <m/>
  </r>
  <r>
    <n v="929"/>
    <x v="112"/>
    <d v="2024-11-18T00:00:00"/>
    <x v="0"/>
    <x v="2"/>
    <m/>
    <n v="5948"/>
    <s v="UPI"/>
    <s v="2024-11"/>
    <d v="2025-06-04T00:00:00"/>
    <x v="0"/>
    <m/>
    <m/>
    <m/>
    <m/>
  </r>
  <r>
    <n v="1189"/>
    <x v="90"/>
    <d v="2025-04-28T00:00:00"/>
    <x v="1"/>
    <x v="5"/>
    <m/>
    <n v="1384"/>
    <s v="Bank Transfer"/>
    <s v="2025-04"/>
    <d v="2025-06-19T00:00:00"/>
    <x v="0"/>
    <m/>
    <m/>
    <m/>
    <m/>
  </r>
  <r>
    <n v="594"/>
    <x v="116"/>
    <d v="2025-04-10T00:00:00"/>
    <x v="4"/>
    <x v="2"/>
    <m/>
    <n v="0"/>
    <s v="Bank Transfer"/>
    <s v="2025-04"/>
    <d v="2025-05-20T00:00:00"/>
    <x v="0"/>
    <m/>
    <m/>
    <m/>
    <m/>
  </r>
  <r>
    <n v="312"/>
    <x v="26"/>
    <d v="2024-04-17T00:00:00"/>
    <x v="1"/>
    <x v="4"/>
    <m/>
    <n v="648"/>
    <s v="UPI"/>
    <s v="2024-04"/>
    <d v="2025-06-01T00:00:00"/>
    <x v="0"/>
    <m/>
    <m/>
    <m/>
    <m/>
  </r>
  <r>
    <n v="692"/>
    <x v="90"/>
    <d v="2024-06-07T00:00:00"/>
    <x v="0"/>
    <x v="0"/>
    <m/>
    <n v="8336"/>
    <s v="Cash"/>
    <s v="2024-06"/>
    <d v="2025-06-19T00:00:00"/>
    <x v="0"/>
    <m/>
    <m/>
    <m/>
    <m/>
  </r>
  <r>
    <n v="35"/>
    <x v="80"/>
    <d v="2025-02-25T00:00:00"/>
    <x v="4"/>
    <x v="5"/>
    <m/>
    <n v="1672"/>
    <s v="UPI"/>
    <s v="2025-02"/>
    <d v="2025-02-25T00:00:00"/>
    <x v="1"/>
    <m/>
    <m/>
    <m/>
    <m/>
  </r>
  <r>
    <n v="216"/>
    <x v="44"/>
    <d v="2025-03-03T00:00:00"/>
    <x v="4"/>
    <x v="4"/>
    <m/>
    <n v="4460"/>
    <s v="Cheque"/>
    <s v="2025-03"/>
    <d v="2025-04-26T00:00:00"/>
    <x v="0"/>
    <m/>
    <m/>
    <m/>
    <m/>
  </r>
  <r>
    <n v="1052"/>
    <x v="66"/>
    <d v="2024-07-03T00:00:00"/>
    <x v="1"/>
    <x v="5"/>
    <m/>
    <n v="255"/>
    <s v="Credit Card"/>
    <s v="2024-07"/>
    <d v="2025-06-21T00:00:00"/>
    <x v="0"/>
    <m/>
    <m/>
    <m/>
    <m/>
  </r>
  <r>
    <n v="1050"/>
    <x v="105"/>
    <d v="2024-01-13T00:00:00"/>
    <x v="1"/>
    <x v="0"/>
    <m/>
    <n v="0"/>
    <s v="Credit Card"/>
    <s v="2024-01"/>
    <d v="2025-06-17T00:00:00"/>
    <x v="0"/>
    <m/>
    <m/>
    <m/>
    <m/>
  </r>
  <r>
    <n v="355"/>
    <x v="117"/>
    <d v="2024-01-10T00:00:00"/>
    <x v="4"/>
    <x v="2"/>
    <m/>
    <n v="1397"/>
    <s v="Cash"/>
    <s v="2024-01"/>
    <d v="2025-06-04T00:00:00"/>
    <x v="0"/>
    <m/>
    <m/>
    <m/>
    <m/>
  </r>
  <r>
    <n v="1145"/>
    <x v="113"/>
    <d v="2024-01-25T00:00:00"/>
    <x v="1"/>
    <x v="4"/>
    <m/>
    <n v="2357"/>
    <s v="UPI"/>
    <s v="2024-01"/>
    <d v="2025-03-27T00:00:00"/>
    <x v="0"/>
    <m/>
    <m/>
    <m/>
    <m/>
  </r>
  <r>
    <n v="1119"/>
    <x v="109"/>
    <d v="2024-01-04T00:00:00"/>
    <x v="1"/>
    <x v="0"/>
    <m/>
    <n v="4235"/>
    <s v="Cash"/>
    <s v="2024-01"/>
    <d v="2025-05-15T00:00:00"/>
    <x v="0"/>
    <m/>
    <m/>
    <m/>
    <m/>
  </r>
  <r>
    <n v="1159"/>
    <x v="111"/>
    <d v="2025-01-06T00:00:00"/>
    <x v="2"/>
    <x v="2"/>
    <m/>
    <n v="5005"/>
    <s v="Cheque"/>
    <s v="2025-01"/>
    <d v="2025-06-07T00:00:00"/>
    <x v="0"/>
    <m/>
    <m/>
    <m/>
    <m/>
  </r>
  <r>
    <n v="1370"/>
    <x v="51"/>
    <d v="2024-09-16T00:00:00"/>
    <x v="2"/>
    <x v="1"/>
    <m/>
    <n v="5323"/>
    <s v="UPI"/>
    <s v="2024-09"/>
    <d v="2025-06-22T00:00:00"/>
    <x v="0"/>
    <m/>
    <m/>
    <m/>
    <m/>
  </r>
  <r>
    <n v="700"/>
    <x v="12"/>
    <d v="2025-04-19T00:00:00"/>
    <x v="5"/>
    <x v="1"/>
    <m/>
    <n v="423"/>
    <s v="Credit Card"/>
    <s v="2025-04"/>
    <d v="2025-05-28T00:00:00"/>
    <x v="0"/>
    <m/>
    <m/>
    <m/>
    <m/>
  </r>
  <r>
    <n v="1638"/>
    <x v="42"/>
    <d v="2024-01-02T00:00:00"/>
    <x v="4"/>
    <x v="2"/>
    <m/>
    <n v="4256"/>
    <s v="Cheque"/>
    <s v="2024-01"/>
    <d v="2025-05-08T00:00:00"/>
    <x v="0"/>
    <m/>
    <m/>
    <m/>
    <m/>
  </r>
  <r>
    <n v="1298"/>
    <x v="65"/>
    <d v="2025-02-15T00:00:00"/>
    <x v="4"/>
    <x v="4"/>
    <m/>
    <n v="695"/>
    <s v="Credit Card"/>
    <s v="2025-02"/>
    <d v="2025-06-18T00:00:00"/>
    <x v="0"/>
    <m/>
    <m/>
    <m/>
    <m/>
  </r>
  <r>
    <n v="1065"/>
    <x v="83"/>
    <d v="2024-03-15T00:00:00"/>
    <x v="3"/>
    <x v="0"/>
    <m/>
    <n v="871"/>
    <s v="Bank Transfer"/>
    <s v="2024-03"/>
    <d v="2025-02-02T00:00:00"/>
    <x v="1"/>
    <m/>
    <m/>
    <m/>
    <m/>
  </r>
  <r>
    <n v="1741"/>
    <x v="49"/>
    <d v="2025-01-17T00:00:00"/>
    <x v="0"/>
    <x v="3"/>
    <m/>
    <n v="557"/>
    <s v="Cheque"/>
    <s v="2025-01"/>
    <d v="2025-05-18T00:00:00"/>
    <x v="0"/>
    <m/>
    <m/>
    <m/>
    <m/>
  </r>
  <r>
    <n v="362"/>
    <x v="4"/>
    <d v="2024-02-21T00:00:00"/>
    <x v="4"/>
    <x v="0"/>
    <m/>
    <n v="721"/>
    <s v="Credit Card"/>
    <s v="2024-02"/>
    <d v="2025-05-02T00:00:00"/>
    <x v="0"/>
    <m/>
    <m/>
    <m/>
    <m/>
  </r>
  <r>
    <n v="979"/>
    <x v="86"/>
    <d v="2025-01-12T00:00:00"/>
    <x v="3"/>
    <x v="3"/>
    <m/>
    <n v="452"/>
    <s v="UPI"/>
    <s v="2025-01"/>
    <d v="2025-06-15T00:00:00"/>
    <x v="0"/>
    <m/>
    <m/>
    <m/>
    <m/>
  </r>
  <r>
    <n v="1163"/>
    <x v="57"/>
    <d v="2025-02-02T00:00:00"/>
    <x v="3"/>
    <x v="4"/>
    <m/>
    <n v="1475"/>
    <s v="Credit Card"/>
    <s v="2025-02"/>
    <d v="2025-06-08T00:00:00"/>
    <x v="0"/>
    <m/>
    <m/>
    <m/>
    <m/>
  </r>
  <r>
    <n v="250"/>
    <x v="24"/>
    <d v="2025-06-07T00:00:00"/>
    <x v="0"/>
    <x v="0"/>
    <m/>
    <n v="1545"/>
    <s v="Cash"/>
    <s v="2025-06"/>
    <d v="2025-06-18T00:00:00"/>
    <x v="0"/>
    <m/>
    <m/>
    <m/>
    <m/>
  </r>
  <r>
    <n v="1535"/>
    <x v="77"/>
    <d v="2024-12-07T00:00:00"/>
    <x v="5"/>
    <x v="5"/>
    <m/>
    <n v="2823"/>
    <s v="Cheque"/>
    <s v="2024-12"/>
    <d v="2025-05-21T00:00:00"/>
    <x v="0"/>
    <m/>
    <m/>
    <m/>
    <m/>
  </r>
  <r>
    <n v="25"/>
    <x v="46"/>
    <d v="2025-06-04T00:00:00"/>
    <x v="4"/>
    <x v="3"/>
    <m/>
    <n v="1070"/>
    <s v="Credit Card"/>
    <s v="2025-06"/>
    <d v="2025-06-04T00:00:00"/>
    <x v="0"/>
    <m/>
    <m/>
    <m/>
    <m/>
  </r>
  <r>
    <n v="111"/>
    <x v="114"/>
    <d v="2024-08-08T00:00:00"/>
    <x v="0"/>
    <x v="4"/>
    <m/>
    <n v="702"/>
    <s v="Cash"/>
    <s v="2024-08"/>
    <d v="2025-05-08T00:00:00"/>
    <x v="0"/>
    <m/>
    <m/>
    <m/>
    <m/>
  </r>
  <r>
    <n v="1228"/>
    <x v="50"/>
    <d v="2025-06-21T00:00:00"/>
    <x v="3"/>
    <x v="5"/>
    <m/>
    <n v="8922"/>
    <s v="Cheque"/>
    <s v="2025-06"/>
    <d v="2025-06-21T00:00:00"/>
    <x v="0"/>
    <m/>
    <m/>
    <m/>
    <m/>
  </r>
  <r>
    <n v="1038"/>
    <x v="100"/>
    <d v="2025-02-26T00:00:00"/>
    <x v="3"/>
    <x v="0"/>
    <m/>
    <n v="598"/>
    <s v="UPI"/>
    <s v="2025-02"/>
    <d v="2025-06-04T00:00:00"/>
    <x v="0"/>
    <m/>
    <m/>
    <m/>
    <m/>
  </r>
  <r>
    <n v="349"/>
    <x v="99"/>
    <d v="2025-03-02T00:00:00"/>
    <x v="0"/>
    <x v="3"/>
    <m/>
    <n v="0"/>
    <s v="Credit Card"/>
    <s v="2025-03"/>
    <d v="2025-03-30T00:00:00"/>
    <x v="0"/>
    <m/>
    <m/>
    <m/>
    <m/>
  </r>
  <r>
    <n v="952"/>
    <x v="78"/>
    <d v="2024-04-12T00:00:00"/>
    <x v="0"/>
    <x v="0"/>
    <m/>
    <n v="534"/>
    <s v="Cash"/>
    <s v="2024-04"/>
    <d v="2025-06-02T00:00:00"/>
    <x v="0"/>
    <m/>
    <m/>
    <m/>
    <m/>
  </r>
  <r>
    <n v="404"/>
    <x v="94"/>
    <d v="2025-01-20T00:00:00"/>
    <x v="4"/>
    <x v="0"/>
    <m/>
    <n v="706"/>
    <s v="Bank Transfer"/>
    <s v="2025-01"/>
    <d v="2025-04-05T00:00:00"/>
    <x v="0"/>
    <m/>
    <m/>
    <m/>
    <m/>
  </r>
  <r>
    <n v="363"/>
    <x v="51"/>
    <d v="2025-05-25T00:00:00"/>
    <x v="5"/>
    <x v="3"/>
    <m/>
    <n v="329"/>
    <s v="UPI"/>
    <s v="2025-05"/>
    <d v="2025-06-22T00:00:00"/>
    <x v="0"/>
    <m/>
    <m/>
    <m/>
    <m/>
  </r>
  <r>
    <n v="464"/>
    <x v="52"/>
    <d v="2024-07-08T00:00:00"/>
    <x v="2"/>
    <x v="0"/>
    <m/>
    <n v="5552"/>
    <s v="Credit Card"/>
    <s v="2024-07"/>
    <d v="2025-04-04T00:00:00"/>
    <x v="0"/>
    <m/>
    <m/>
    <m/>
    <m/>
  </r>
  <r>
    <n v="466"/>
    <x v="76"/>
    <d v="2024-02-14T00:00:00"/>
    <x v="4"/>
    <x v="4"/>
    <m/>
    <n v="440"/>
    <s v="Cash"/>
    <s v="2024-02"/>
    <d v="2025-03-18T00:00:00"/>
    <x v="1"/>
    <m/>
    <m/>
    <m/>
    <m/>
  </r>
  <r>
    <n v="450"/>
    <x v="32"/>
    <d v="2024-06-16T00:00:00"/>
    <x v="0"/>
    <x v="1"/>
    <m/>
    <n v="1810"/>
    <s v="Cash"/>
    <s v="2024-06"/>
    <d v="2025-05-07T00:00:00"/>
    <x v="0"/>
    <m/>
    <m/>
    <m/>
    <m/>
  </r>
  <r>
    <n v="1764"/>
    <x v="113"/>
    <d v="2024-06-27T00:00:00"/>
    <x v="1"/>
    <x v="5"/>
    <m/>
    <n v="2327"/>
    <s v="Cheque"/>
    <s v="2024-06"/>
    <d v="2025-03-27T00:00:00"/>
    <x v="0"/>
    <m/>
    <m/>
    <m/>
    <m/>
  </r>
  <r>
    <n v="1012"/>
    <x v="88"/>
    <d v="2024-10-24T00:00:00"/>
    <x v="0"/>
    <x v="2"/>
    <m/>
    <n v="5729"/>
    <s v="UPI"/>
    <s v="2024-10"/>
    <d v="2025-06-23T00:00:00"/>
    <x v="0"/>
    <m/>
    <m/>
    <m/>
    <m/>
  </r>
  <r>
    <n v="178"/>
    <x v="31"/>
    <d v="2025-05-16T00:00:00"/>
    <x v="3"/>
    <x v="5"/>
    <m/>
    <n v="338"/>
    <s v="Bank Transfer"/>
    <s v="2025-05"/>
    <d v="2025-05-16T00:00:00"/>
    <x v="0"/>
    <m/>
    <m/>
    <m/>
    <m/>
  </r>
  <r>
    <n v="1744"/>
    <x v="72"/>
    <d v="2024-11-17T00:00:00"/>
    <x v="2"/>
    <x v="3"/>
    <m/>
    <n v="271"/>
    <s v="UPI"/>
    <s v="2024-11"/>
    <d v="2025-05-21T00:00:00"/>
    <x v="0"/>
    <m/>
    <m/>
    <m/>
    <m/>
  </r>
  <r>
    <n v="703"/>
    <x v="118"/>
    <d v="2025-05-14T00:00:00"/>
    <x v="2"/>
    <x v="0"/>
    <m/>
    <n v="484"/>
    <s v="Bank Transfer"/>
    <s v="2025-05"/>
    <d v="2025-05-25T00:00:00"/>
    <x v="0"/>
    <m/>
    <m/>
    <m/>
    <m/>
  </r>
  <r>
    <n v="831"/>
    <x v="33"/>
    <d v="2024-12-11T00:00:00"/>
    <x v="0"/>
    <x v="5"/>
    <m/>
    <n v="5364"/>
    <s v="Bank Transfer"/>
    <s v="2024-12"/>
    <d v="2025-03-13T00:00:00"/>
    <x v="1"/>
    <m/>
    <m/>
    <m/>
    <m/>
  </r>
  <r>
    <n v="1082"/>
    <x v="31"/>
    <d v="2025-02-11T00:00:00"/>
    <x v="4"/>
    <x v="1"/>
    <m/>
    <n v="312"/>
    <s v="Credit Card"/>
    <s v="2025-02"/>
    <d v="2025-05-16T00:00:00"/>
    <x v="0"/>
    <m/>
    <m/>
    <m/>
    <m/>
  </r>
  <r>
    <n v="1187"/>
    <x v="72"/>
    <d v="2024-04-15T00:00:00"/>
    <x v="1"/>
    <x v="0"/>
    <m/>
    <n v="2057"/>
    <s v="Credit Card"/>
    <s v="2024-04"/>
    <d v="2025-05-21T00:00:00"/>
    <x v="0"/>
    <m/>
    <m/>
    <m/>
    <m/>
  </r>
  <r>
    <n v="475"/>
    <x v="103"/>
    <d v="2024-10-09T00:00:00"/>
    <x v="3"/>
    <x v="0"/>
    <m/>
    <n v="10283"/>
    <s v="Cheque"/>
    <s v="2024-10"/>
    <d v="2025-04-19T00:00:00"/>
    <x v="0"/>
    <m/>
    <m/>
    <m/>
    <m/>
  </r>
  <r>
    <n v="665"/>
    <x v="85"/>
    <d v="2024-11-20T00:00:00"/>
    <x v="0"/>
    <x v="3"/>
    <m/>
    <n v="2866"/>
    <s v="Cash"/>
    <s v="2024-11"/>
    <d v="2025-04-17T00:00:00"/>
    <x v="0"/>
    <m/>
    <m/>
    <m/>
    <m/>
  </r>
  <r>
    <n v="415"/>
    <x v="65"/>
    <d v="2024-01-08T00:00:00"/>
    <x v="3"/>
    <x v="3"/>
    <m/>
    <n v="8029"/>
    <s v="Credit Card"/>
    <s v="2024-01"/>
    <d v="2025-06-18T00:00:00"/>
    <x v="0"/>
    <m/>
    <m/>
    <m/>
    <m/>
  </r>
  <r>
    <n v="47"/>
    <x v="112"/>
    <d v="2024-11-20T00:00:00"/>
    <x v="0"/>
    <x v="0"/>
    <m/>
    <n v="9707"/>
    <s v="Cheque"/>
    <s v="2024-11"/>
    <d v="2025-06-04T00:00:00"/>
    <x v="0"/>
    <m/>
    <m/>
    <m/>
    <m/>
  </r>
  <r>
    <n v="833"/>
    <x v="60"/>
    <d v="2024-05-22T00:00:00"/>
    <x v="3"/>
    <x v="3"/>
    <m/>
    <n v="9118"/>
    <s v="Credit Card"/>
    <s v="2024-05"/>
    <d v="2025-05-26T00:00:00"/>
    <x v="0"/>
    <m/>
    <m/>
    <m/>
    <m/>
  </r>
  <r>
    <n v="672"/>
    <x v="7"/>
    <d v="2025-04-09T00:00:00"/>
    <x v="0"/>
    <x v="3"/>
    <m/>
    <n v="2171"/>
    <s v="Credit Card"/>
    <s v="2025-04"/>
    <d v="2025-06-11T00:00:00"/>
    <x v="0"/>
    <m/>
    <m/>
    <m/>
    <m/>
  </r>
  <r>
    <n v="194"/>
    <x v="66"/>
    <d v="2024-01-12T00:00:00"/>
    <x v="1"/>
    <x v="2"/>
    <m/>
    <n v="1650"/>
    <s v="UPI"/>
    <s v="2024-01"/>
    <d v="2025-06-21T00:00:00"/>
    <x v="0"/>
    <m/>
    <m/>
    <m/>
    <m/>
  </r>
  <r>
    <n v="393"/>
    <x v="96"/>
    <d v="2024-04-27T00:00:00"/>
    <x v="3"/>
    <x v="3"/>
    <m/>
    <n v="9845"/>
    <s v="Cheque"/>
    <s v="2024-04"/>
    <d v="2025-06-07T00:00:00"/>
    <x v="0"/>
    <m/>
    <m/>
    <m/>
    <m/>
  </r>
  <r>
    <n v="1784"/>
    <x v="92"/>
    <d v="2024-10-12T00:00:00"/>
    <x v="1"/>
    <x v="2"/>
    <m/>
    <n v="2185"/>
    <s v="Cheque"/>
    <s v="2024-10"/>
    <d v="2025-04-20T00:00:00"/>
    <x v="0"/>
    <m/>
    <m/>
    <m/>
    <m/>
  </r>
  <r>
    <n v="1171"/>
    <x v="106"/>
    <d v="2024-02-06T00:00:00"/>
    <x v="4"/>
    <x v="4"/>
    <m/>
    <n v="9154"/>
    <s v="Credit Card"/>
    <s v="2024-02"/>
    <d v="2025-06-20T00:00:00"/>
    <x v="0"/>
    <m/>
    <m/>
    <m/>
    <m/>
  </r>
  <r>
    <n v="1257"/>
    <x v="15"/>
    <d v="2024-05-31T00:00:00"/>
    <x v="1"/>
    <x v="3"/>
    <m/>
    <n v="2570"/>
    <s v="UPI"/>
    <s v="2024-05"/>
    <d v="2025-05-15T00:00:00"/>
    <x v="0"/>
    <m/>
    <m/>
    <m/>
    <m/>
  </r>
  <r>
    <n v="446"/>
    <x v="70"/>
    <d v="2025-04-23T00:00:00"/>
    <x v="3"/>
    <x v="5"/>
    <m/>
    <n v="9779"/>
    <s v="Cheque"/>
    <s v="2025-04"/>
    <d v="2025-05-26T00:00:00"/>
    <x v="0"/>
    <m/>
    <m/>
    <m/>
    <m/>
  </r>
  <r>
    <n v="27"/>
    <x v="36"/>
    <d v="2024-11-03T00:00:00"/>
    <x v="1"/>
    <x v="3"/>
    <m/>
    <n v="492"/>
    <s v="Cheque"/>
    <s v="2024-11"/>
    <d v="2025-06-16T00:00:00"/>
    <x v="0"/>
    <m/>
    <m/>
    <m/>
    <m/>
  </r>
  <r>
    <n v="1226"/>
    <x v="109"/>
    <d v="2024-12-21T00:00:00"/>
    <x v="0"/>
    <x v="1"/>
    <m/>
    <n v="11937"/>
    <s v="UPI"/>
    <s v="2024-12"/>
    <d v="2025-05-15T00:00:00"/>
    <x v="0"/>
    <m/>
    <m/>
    <m/>
    <m/>
  </r>
  <r>
    <n v="1635"/>
    <x v="36"/>
    <d v="2024-07-02T00:00:00"/>
    <x v="1"/>
    <x v="0"/>
    <m/>
    <n v="860"/>
    <s v="Bank Transfer"/>
    <s v="2024-07"/>
    <d v="2025-06-16T00:00:00"/>
    <x v="0"/>
    <m/>
    <m/>
    <m/>
    <m/>
  </r>
  <r>
    <n v="452"/>
    <x v="68"/>
    <d v="2024-10-05T00:00:00"/>
    <x v="3"/>
    <x v="1"/>
    <m/>
    <n v="1857"/>
    <s v="Credit Card"/>
    <s v="2024-10"/>
    <d v="2025-04-25T00:00:00"/>
    <x v="0"/>
    <m/>
    <m/>
    <m/>
    <m/>
  </r>
  <r>
    <n v="1201"/>
    <x v="112"/>
    <d v="2024-07-14T00:00:00"/>
    <x v="2"/>
    <x v="2"/>
    <m/>
    <n v="845"/>
    <s v="Cash"/>
    <s v="2024-07"/>
    <d v="2025-06-04T00:00:00"/>
    <x v="0"/>
    <m/>
    <m/>
    <m/>
    <m/>
  </r>
  <r>
    <n v="1490"/>
    <x v="111"/>
    <d v="2024-07-06T00:00:00"/>
    <x v="0"/>
    <x v="0"/>
    <m/>
    <n v="430"/>
    <s v="UPI"/>
    <s v="2024-07"/>
    <d v="2025-06-07T00:00:00"/>
    <x v="0"/>
    <m/>
    <m/>
    <m/>
    <m/>
  </r>
  <r>
    <n v="1491"/>
    <x v="30"/>
    <d v="2024-01-02T00:00:00"/>
    <x v="4"/>
    <x v="4"/>
    <m/>
    <n v="1093"/>
    <s v="Cash"/>
    <s v="2024-01"/>
    <d v="2025-05-17T00:00:00"/>
    <x v="0"/>
    <m/>
    <m/>
    <m/>
    <m/>
  </r>
  <r>
    <n v="1787"/>
    <x v="4"/>
    <d v="2024-05-13T00:00:00"/>
    <x v="2"/>
    <x v="1"/>
    <m/>
    <n v="5773"/>
    <s v="Cash"/>
    <s v="2024-05"/>
    <d v="2025-05-02T00:00:00"/>
    <x v="0"/>
    <m/>
    <m/>
    <m/>
    <m/>
  </r>
  <r>
    <n v="1248"/>
    <x v="8"/>
    <d v="2025-02-11T00:00:00"/>
    <x v="2"/>
    <x v="4"/>
    <m/>
    <n v="836"/>
    <s v="Cheque"/>
    <s v="2025-02"/>
    <d v="2025-05-11T00:00:00"/>
    <x v="0"/>
    <m/>
    <m/>
    <m/>
    <m/>
  </r>
  <r>
    <n v="1314"/>
    <x v="32"/>
    <d v="2024-04-03T00:00:00"/>
    <x v="2"/>
    <x v="3"/>
    <m/>
    <n v="837"/>
    <s v="Credit Card"/>
    <s v="2024-04"/>
    <d v="2025-05-07T00:00:00"/>
    <x v="0"/>
    <m/>
    <m/>
    <m/>
    <m/>
  </r>
  <r>
    <n v="652"/>
    <x v="85"/>
    <d v="2024-07-03T00:00:00"/>
    <x v="2"/>
    <x v="2"/>
    <m/>
    <n v="11451"/>
    <s v="Cheque"/>
    <s v="2024-07"/>
    <d v="2025-04-17T00:00:00"/>
    <x v="0"/>
    <m/>
    <m/>
    <m/>
    <m/>
  </r>
  <r>
    <n v="1445"/>
    <x v="42"/>
    <d v="2025-03-04T00:00:00"/>
    <x v="4"/>
    <x v="5"/>
    <m/>
    <n v="4421"/>
    <s v="Cash"/>
    <s v="2025-03"/>
    <d v="2025-05-08T00:00:00"/>
    <x v="0"/>
    <m/>
    <m/>
    <m/>
    <m/>
  </r>
  <r>
    <n v="370"/>
    <x v="34"/>
    <d v="2024-06-30T00:00:00"/>
    <x v="3"/>
    <x v="4"/>
    <m/>
    <n v="1262"/>
    <s v="Cheque"/>
    <s v="2024-06"/>
    <d v="2025-05-16T00:00:00"/>
    <x v="0"/>
    <m/>
    <m/>
    <m/>
    <m/>
  </r>
  <r>
    <n v="159"/>
    <x v="31"/>
    <d v="2024-09-23T00:00:00"/>
    <x v="0"/>
    <x v="4"/>
    <m/>
    <n v="2694"/>
    <s v="Cash"/>
    <s v="2024-09"/>
    <d v="2025-05-16T00:00:00"/>
    <x v="0"/>
    <m/>
    <m/>
    <m/>
    <m/>
  </r>
  <r>
    <n v="1679"/>
    <x v="53"/>
    <d v="2024-09-11T00:00:00"/>
    <x v="1"/>
    <x v="5"/>
    <m/>
    <n v="10044"/>
    <s v="Cash"/>
    <s v="2024-09"/>
    <d v="2025-06-06T00:00:00"/>
    <x v="0"/>
    <m/>
    <m/>
    <m/>
    <m/>
  </r>
  <r>
    <n v="308"/>
    <x v="103"/>
    <d v="2024-11-21T00:00:00"/>
    <x v="3"/>
    <x v="4"/>
    <m/>
    <n v="1175"/>
    <s v="Credit Card"/>
    <s v="2024-11"/>
    <d v="2025-04-19T00:00:00"/>
    <x v="0"/>
    <m/>
    <m/>
    <m/>
    <m/>
  </r>
  <r>
    <n v="286"/>
    <x v="75"/>
    <d v="2024-01-10T00:00:00"/>
    <x v="2"/>
    <x v="2"/>
    <m/>
    <n v="855"/>
    <s v="Bank Transfer"/>
    <s v="2024-01"/>
    <d v="2025-06-13T00:00:00"/>
    <x v="0"/>
    <m/>
    <m/>
    <m/>
    <m/>
  </r>
  <r>
    <n v="1261"/>
    <x v="60"/>
    <d v="2024-07-04T00:00:00"/>
    <x v="0"/>
    <x v="2"/>
    <m/>
    <n v="933"/>
    <s v="UPI"/>
    <s v="2024-07"/>
    <d v="2025-05-26T00:00:00"/>
    <x v="0"/>
    <m/>
    <m/>
    <m/>
    <m/>
  </r>
  <r>
    <n v="331"/>
    <x v="117"/>
    <d v="2024-06-15T00:00:00"/>
    <x v="3"/>
    <x v="4"/>
    <m/>
    <n v="2118"/>
    <s v="Credit Card"/>
    <s v="2024-06"/>
    <d v="2025-06-04T00:00:00"/>
    <x v="0"/>
    <m/>
    <m/>
    <m/>
    <m/>
  </r>
  <r>
    <n v="1307"/>
    <x v="68"/>
    <d v="2024-09-01T00:00:00"/>
    <x v="1"/>
    <x v="5"/>
    <m/>
    <n v="360"/>
    <s v="Bank Transfer"/>
    <s v="2024-09"/>
    <d v="2025-04-25T00:00:00"/>
    <x v="0"/>
    <m/>
    <m/>
    <m/>
    <m/>
  </r>
  <r>
    <n v="1579"/>
    <x v="113"/>
    <d v="2024-12-09T00:00:00"/>
    <x v="0"/>
    <x v="3"/>
    <m/>
    <n v="2405"/>
    <s v="Credit Card"/>
    <s v="2024-12"/>
    <d v="2025-03-27T00:00:00"/>
    <x v="0"/>
    <m/>
    <m/>
    <m/>
    <m/>
  </r>
  <r>
    <n v="1127"/>
    <x v="54"/>
    <d v="2024-02-04T00:00:00"/>
    <x v="2"/>
    <x v="2"/>
    <m/>
    <n v="5739"/>
    <s v="UPI"/>
    <s v="2024-02"/>
    <d v="2025-02-10T00:00:00"/>
    <x v="1"/>
    <m/>
    <m/>
    <m/>
    <m/>
  </r>
  <r>
    <n v="1466"/>
    <x v="24"/>
    <d v="2025-04-13T00:00:00"/>
    <x v="5"/>
    <x v="2"/>
    <m/>
    <n v="4398"/>
    <s v="UPI"/>
    <s v="2025-04"/>
    <d v="2025-06-18T00:00:00"/>
    <x v="0"/>
    <m/>
    <m/>
    <m/>
    <m/>
  </r>
  <r>
    <n v="554"/>
    <x v="39"/>
    <d v="2024-06-03T00:00:00"/>
    <x v="0"/>
    <x v="5"/>
    <m/>
    <n v="1357"/>
    <s v="Credit Card"/>
    <s v="2024-06"/>
    <d v="2025-06-22T00:00:00"/>
    <x v="0"/>
    <m/>
    <m/>
    <m/>
    <m/>
  </r>
  <r>
    <n v="729"/>
    <x v="28"/>
    <d v="2024-01-29T00:00:00"/>
    <x v="4"/>
    <x v="4"/>
    <m/>
    <n v="615"/>
    <s v="Bank Transfer"/>
    <s v="2024-01"/>
    <d v="2025-04-29T00:00:00"/>
    <x v="0"/>
    <m/>
    <m/>
    <m/>
    <m/>
  </r>
  <r>
    <n v="253"/>
    <x v="46"/>
    <d v="2024-06-20T00:00:00"/>
    <x v="3"/>
    <x v="3"/>
    <m/>
    <n v="1834"/>
    <s v="Bank Transfer"/>
    <s v="2024-06"/>
    <d v="2025-06-04T00:00:00"/>
    <x v="0"/>
    <m/>
    <m/>
    <m/>
    <m/>
  </r>
  <r>
    <n v="622"/>
    <x v="3"/>
    <d v="2024-11-04T00:00:00"/>
    <x v="1"/>
    <x v="3"/>
    <m/>
    <n v="10320"/>
    <s v="Credit Card"/>
    <s v="2024-11"/>
    <d v="2025-06-15T00:00:00"/>
    <x v="0"/>
    <m/>
    <m/>
    <m/>
    <m/>
  </r>
  <r>
    <n v="110"/>
    <x v="19"/>
    <d v="2024-11-28T00:00:00"/>
    <x v="3"/>
    <x v="0"/>
    <m/>
    <n v="2454"/>
    <s v="Cheque"/>
    <s v="2024-11"/>
    <d v="2025-06-19T00:00:00"/>
    <x v="0"/>
    <m/>
    <m/>
    <m/>
    <m/>
  </r>
  <r>
    <n v="778"/>
    <x v="63"/>
    <d v="2024-08-28T00:00:00"/>
    <x v="4"/>
    <x v="5"/>
    <m/>
    <n v="867"/>
    <s v="Cheque"/>
    <s v="2024-08"/>
    <d v="2025-06-11T00:00:00"/>
    <x v="0"/>
    <m/>
    <m/>
    <m/>
    <m/>
  </r>
  <r>
    <n v="1578"/>
    <x v="96"/>
    <d v="2024-06-24T00:00:00"/>
    <x v="4"/>
    <x v="2"/>
    <m/>
    <n v="4656"/>
    <s v="Credit Card"/>
    <s v="2024-06"/>
    <d v="2025-06-07T00:00:00"/>
    <x v="0"/>
    <m/>
    <m/>
    <m/>
    <m/>
  </r>
  <r>
    <n v="165"/>
    <x v="47"/>
    <d v="2024-08-18T00:00:00"/>
    <x v="3"/>
    <x v="5"/>
    <m/>
    <n v="900"/>
    <s v="Cheque"/>
    <s v="2024-08"/>
    <d v="2025-05-11T00:00:00"/>
    <x v="0"/>
    <m/>
    <m/>
    <m/>
    <m/>
  </r>
  <r>
    <n v="1740"/>
    <x v="32"/>
    <d v="2024-09-25T00:00:00"/>
    <x v="0"/>
    <x v="4"/>
    <m/>
    <n v="854"/>
    <s v="Cash"/>
    <s v="2024-09"/>
    <d v="2025-05-07T00:00:00"/>
    <x v="0"/>
    <m/>
    <m/>
    <m/>
    <m/>
  </r>
  <r>
    <n v="761"/>
    <x v="36"/>
    <d v="2024-01-11T00:00:00"/>
    <x v="0"/>
    <x v="1"/>
    <m/>
    <n v="864"/>
    <s v="Cheque"/>
    <s v="2024-01"/>
    <d v="2025-06-16T00:00:00"/>
    <x v="0"/>
    <m/>
    <m/>
    <m/>
    <m/>
  </r>
  <r>
    <n v="208"/>
    <x v="111"/>
    <d v="2024-06-28T00:00:00"/>
    <x v="0"/>
    <x v="0"/>
    <m/>
    <n v="246"/>
    <s v="Bank Transfer"/>
    <s v="2024-06"/>
    <d v="2025-06-07T00:00:00"/>
    <x v="0"/>
    <m/>
    <m/>
    <m/>
    <m/>
  </r>
  <r>
    <n v="152"/>
    <x v="105"/>
    <d v="2024-10-06T00:00:00"/>
    <x v="1"/>
    <x v="1"/>
    <m/>
    <n v="823"/>
    <s v="Cash"/>
    <s v="2024-10"/>
    <d v="2025-06-17T00:00:00"/>
    <x v="0"/>
    <m/>
    <m/>
    <m/>
    <m/>
  </r>
  <r>
    <n v="263"/>
    <x v="64"/>
    <d v="2024-02-17T00:00:00"/>
    <x v="0"/>
    <x v="3"/>
    <m/>
    <n v="1172"/>
    <s v="Credit Card"/>
    <s v="2024-02"/>
    <d v="2025-04-28T00:00:00"/>
    <x v="0"/>
    <m/>
    <m/>
    <m/>
    <m/>
  </r>
  <r>
    <n v="1512"/>
    <x v="46"/>
    <d v="2024-03-24T00:00:00"/>
    <x v="4"/>
    <x v="1"/>
    <m/>
    <n v="976"/>
    <s v="Cheque"/>
    <s v="2024-03"/>
    <d v="2025-06-04T00:00:00"/>
    <x v="0"/>
    <m/>
    <m/>
    <m/>
    <m/>
  </r>
  <r>
    <n v="699"/>
    <x v="62"/>
    <d v="2024-01-28T00:00:00"/>
    <x v="0"/>
    <x v="2"/>
    <m/>
    <n v="1590"/>
    <s v="Cash"/>
    <s v="2024-01"/>
    <d v="2025-06-06T00:00:00"/>
    <x v="0"/>
    <m/>
    <m/>
    <m/>
    <m/>
  </r>
  <r>
    <n v="1034"/>
    <x v="47"/>
    <d v="2024-02-06T00:00:00"/>
    <x v="2"/>
    <x v="1"/>
    <m/>
    <n v="1155"/>
    <s v="Cash"/>
    <s v="2024-02"/>
    <d v="2025-05-11T00:00:00"/>
    <x v="0"/>
    <m/>
    <m/>
    <m/>
    <m/>
  </r>
  <r>
    <n v="515"/>
    <x v="33"/>
    <d v="2025-03-13T00:00:00"/>
    <x v="1"/>
    <x v="5"/>
    <m/>
    <n v="10301"/>
    <s v="Cheque"/>
    <s v="2025-03"/>
    <d v="2025-03-13T00:00:00"/>
    <x v="1"/>
    <m/>
    <m/>
    <m/>
    <m/>
  </r>
  <r>
    <n v="21"/>
    <x v="116"/>
    <d v="2024-10-12T00:00:00"/>
    <x v="5"/>
    <x v="3"/>
    <m/>
    <n v="337"/>
    <s v="Cheque"/>
    <s v="2024-10"/>
    <d v="2025-05-20T00:00:00"/>
    <x v="0"/>
    <m/>
    <m/>
    <m/>
    <m/>
  </r>
  <r>
    <n v="1625"/>
    <x v="2"/>
    <d v="2024-06-26T00:00:00"/>
    <x v="2"/>
    <x v="5"/>
    <m/>
    <n v="9956"/>
    <s v="Cash"/>
    <s v="2024-06"/>
    <d v="2025-06-10T00:00:00"/>
    <x v="0"/>
    <m/>
    <m/>
    <m/>
    <m/>
  </r>
  <r>
    <n v="98"/>
    <x v="112"/>
    <d v="2024-05-24T00:00:00"/>
    <x v="4"/>
    <x v="2"/>
    <m/>
    <n v="0"/>
    <s v="Cheque"/>
    <s v="2024-05"/>
    <d v="2025-06-04T00:00:00"/>
    <x v="0"/>
    <m/>
    <m/>
    <m/>
    <m/>
  </r>
  <r>
    <n v="1165"/>
    <x v="80"/>
    <d v="2024-04-23T00:00:00"/>
    <x v="3"/>
    <x v="5"/>
    <m/>
    <n v="1347"/>
    <s v="UPI"/>
    <s v="2024-04"/>
    <d v="2025-02-25T00:00:00"/>
    <x v="1"/>
    <m/>
    <m/>
    <m/>
    <m/>
  </r>
  <r>
    <n v="973"/>
    <x v="65"/>
    <d v="2024-03-17T00:00:00"/>
    <x v="0"/>
    <x v="2"/>
    <m/>
    <n v="695"/>
    <s v="Bank Transfer"/>
    <s v="2024-03"/>
    <d v="2025-06-18T00:00:00"/>
    <x v="0"/>
    <m/>
    <m/>
    <m/>
    <m/>
  </r>
  <r>
    <n v="1488"/>
    <x v="82"/>
    <d v="2025-06-05T00:00:00"/>
    <x v="4"/>
    <x v="3"/>
    <m/>
    <n v="2721"/>
    <s v="Cheque"/>
    <s v="2025-06"/>
    <d v="2025-06-21T00:00:00"/>
    <x v="0"/>
    <m/>
    <m/>
    <m/>
    <m/>
  </r>
  <r>
    <n v="140"/>
    <x v="102"/>
    <d v="2025-03-04T00:00:00"/>
    <x v="4"/>
    <x v="0"/>
    <m/>
    <n v="1724"/>
    <s v="UPI"/>
    <s v="2025-03"/>
    <d v="2025-04-05T00:00:00"/>
    <x v="0"/>
    <m/>
    <m/>
    <m/>
    <m/>
  </r>
  <r>
    <n v="439"/>
    <x v="47"/>
    <d v="2024-05-04T00:00:00"/>
    <x v="3"/>
    <x v="4"/>
    <m/>
    <n v="8698"/>
    <s v="Bank Transfer"/>
    <s v="2024-05"/>
    <d v="2025-05-11T00:00:00"/>
    <x v="0"/>
    <m/>
    <m/>
    <m/>
    <m/>
  </r>
  <r>
    <n v="649"/>
    <x v="16"/>
    <d v="2025-03-22T00:00:00"/>
    <x v="0"/>
    <x v="2"/>
    <m/>
    <n v="1136"/>
    <s v="Cheque"/>
    <s v="2025-03"/>
    <d v="2025-05-28T00:00:00"/>
    <x v="0"/>
    <m/>
    <m/>
    <m/>
    <m/>
  </r>
  <r>
    <n v="747"/>
    <x v="33"/>
    <d v="2024-01-03T00:00:00"/>
    <x v="0"/>
    <x v="3"/>
    <m/>
    <n v="535"/>
    <s v="Cash"/>
    <s v="2024-01"/>
    <d v="2025-03-13T00:00:00"/>
    <x v="1"/>
    <m/>
    <m/>
    <m/>
    <m/>
  </r>
  <r>
    <n v="1688"/>
    <x v="118"/>
    <d v="2024-03-04T00:00:00"/>
    <x v="3"/>
    <x v="0"/>
    <m/>
    <n v="11230"/>
    <s v="Credit Card"/>
    <s v="2024-03"/>
    <d v="2025-05-25T00:00:00"/>
    <x v="0"/>
    <m/>
    <m/>
    <m/>
    <m/>
  </r>
  <r>
    <n v="1489"/>
    <x v="100"/>
    <d v="2024-11-13T00:00:00"/>
    <x v="0"/>
    <x v="3"/>
    <m/>
    <n v="1027"/>
    <s v="UPI"/>
    <s v="2024-11"/>
    <d v="2025-06-04T00:00:00"/>
    <x v="0"/>
    <m/>
    <m/>
    <m/>
    <m/>
  </r>
  <r>
    <n v="276"/>
    <x v="63"/>
    <d v="2024-11-30T00:00:00"/>
    <x v="3"/>
    <x v="2"/>
    <m/>
    <n v="924"/>
    <s v="Cash"/>
    <s v="2024-11"/>
    <d v="2025-06-11T00:00:00"/>
    <x v="0"/>
    <m/>
    <m/>
    <m/>
    <m/>
  </r>
  <r>
    <n v="957"/>
    <x v="118"/>
    <d v="2025-03-23T00:00:00"/>
    <x v="2"/>
    <x v="2"/>
    <m/>
    <n v="1503"/>
    <s v="Cheque"/>
    <s v="2025-03"/>
    <d v="2025-05-25T00:00:00"/>
    <x v="0"/>
    <m/>
    <m/>
    <m/>
    <m/>
  </r>
  <r>
    <n v="1009"/>
    <x v="14"/>
    <d v="2025-03-06T00:00:00"/>
    <x v="0"/>
    <x v="3"/>
    <m/>
    <n v="8106"/>
    <s v="Cash"/>
    <s v="2025-03"/>
    <d v="2025-04-16T00:00:00"/>
    <x v="0"/>
    <m/>
    <m/>
    <m/>
    <m/>
  </r>
  <r>
    <n v="758"/>
    <x v="58"/>
    <d v="2024-12-07T00:00:00"/>
    <x v="4"/>
    <x v="3"/>
    <m/>
    <n v="332"/>
    <s v="Cash"/>
    <s v="2024-12"/>
    <d v="2025-06-15T00:00:00"/>
    <x v="0"/>
    <m/>
    <m/>
    <m/>
    <m/>
  </r>
  <r>
    <n v="214"/>
    <x v="19"/>
    <d v="2024-10-16T00:00:00"/>
    <x v="0"/>
    <x v="0"/>
    <m/>
    <n v="4617"/>
    <s v="Bank Transfer"/>
    <s v="2024-10"/>
    <d v="2025-06-19T00:00:00"/>
    <x v="0"/>
    <m/>
    <m/>
    <m/>
    <m/>
  </r>
  <r>
    <n v="1258"/>
    <x v="115"/>
    <d v="2025-02-09T00:00:00"/>
    <x v="0"/>
    <x v="5"/>
    <m/>
    <n v="10789"/>
    <s v="Bank Transfer"/>
    <s v="2025-02"/>
    <d v="2025-03-09T00:00:00"/>
    <x v="1"/>
    <m/>
    <m/>
    <m/>
    <m/>
  </r>
  <r>
    <n v="359"/>
    <x v="66"/>
    <d v="2024-03-05T00:00:00"/>
    <x v="1"/>
    <x v="3"/>
    <m/>
    <n v="11070"/>
    <s v="Cheque"/>
    <s v="2024-03"/>
    <d v="2025-06-21T00:00:00"/>
    <x v="0"/>
    <m/>
    <m/>
    <m/>
    <m/>
  </r>
  <r>
    <n v="1309"/>
    <x v="19"/>
    <d v="2025-04-26T00:00:00"/>
    <x v="0"/>
    <x v="3"/>
    <m/>
    <n v="2697"/>
    <s v="Bank Transfer"/>
    <s v="2025-04"/>
    <d v="2025-06-19T00:00:00"/>
    <x v="0"/>
    <m/>
    <m/>
    <m/>
    <m/>
  </r>
  <r>
    <n v="611"/>
    <x v="16"/>
    <d v="2024-10-11T00:00:00"/>
    <x v="2"/>
    <x v="3"/>
    <m/>
    <n v="11398"/>
    <s v="UPI"/>
    <s v="2024-10"/>
    <d v="2025-05-28T00:00:00"/>
    <x v="0"/>
    <m/>
    <m/>
    <m/>
    <m/>
  </r>
  <r>
    <n v="129"/>
    <x v="51"/>
    <d v="2025-04-17T00:00:00"/>
    <x v="2"/>
    <x v="3"/>
    <m/>
    <n v="5663"/>
    <s v="UPI"/>
    <s v="2025-04"/>
    <d v="2025-06-22T00:00:00"/>
    <x v="0"/>
    <m/>
    <m/>
    <m/>
    <m/>
  </r>
  <r>
    <n v="1229"/>
    <x v="17"/>
    <d v="2024-08-19T00:00:00"/>
    <x v="4"/>
    <x v="0"/>
    <m/>
    <n v="857"/>
    <s v="Bank Transfer"/>
    <s v="2024-08"/>
    <d v="2025-05-21T00:00:00"/>
    <x v="0"/>
    <m/>
    <m/>
    <m/>
    <m/>
  </r>
  <r>
    <n v="1432"/>
    <x v="38"/>
    <d v="2024-03-22T00:00:00"/>
    <x v="0"/>
    <x v="5"/>
    <m/>
    <n v="5701"/>
    <s v="Bank Transfer"/>
    <s v="2024-03"/>
    <d v="2025-05-29T00:00:00"/>
    <x v="0"/>
    <m/>
    <m/>
    <m/>
    <m/>
  </r>
  <r>
    <n v="1481"/>
    <x v="32"/>
    <d v="2024-05-15T00:00:00"/>
    <x v="2"/>
    <x v="4"/>
    <m/>
    <n v="2196"/>
    <s v="UPI"/>
    <s v="2024-05"/>
    <d v="2025-05-07T00:00:00"/>
    <x v="0"/>
    <m/>
    <m/>
    <m/>
    <m/>
  </r>
  <r>
    <n v="1702"/>
    <x v="41"/>
    <d v="2024-06-21T00:00:00"/>
    <x v="1"/>
    <x v="0"/>
    <m/>
    <n v="1386"/>
    <s v="UPI"/>
    <s v="2024-06"/>
    <d v="2025-06-08T00:00:00"/>
    <x v="0"/>
    <m/>
    <m/>
    <m/>
    <m/>
  </r>
  <r>
    <n v="265"/>
    <x v="111"/>
    <d v="2025-02-09T00:00:00"/>
    <x v="1"/>
    <x v="2"/>
    <m/>
    <n v="1943"/>
    <s v="UPI"/>
    <s v="2025-02"/>
    <d v="2025-06-07T00:00:00"/>
    <x v="0"/>
    <m/>
    <m/>
    <m/>
    <m/>
  </r>
  <r>
    <n v="803"/>
    <x v="94"/>
    <d v="2025-01-18T00:00:00"/>
    <x v="4"/>
    <x v="4"/>
    <m/>
    <n v="806"/>
    <s v="UPI"/>
    <s v="2025-01"/>
    <d v="2025-04-05T00:00:00"/>
    <x v="0"/>
    <m/>
    <m/>
    <m/>
    <m/>
  </r>
  <r>
    <n v="763"/>
    <x v="78"/>
    <d v="2024-05-09T00:00:00"/>
    <x v="3"/>
    <x v="5"/>
    <m/>
    <n v="4842"/>
    <s v="Cheque"/>
    <s v="2024-05"/>
    <d v="2025-06-02T00:00:00"/>
    <x v="0"/>
    <m/>
    <m/>
    <m/>
    <m/>
  </r>
  <r>
    <n v="1437"/>
    <x v="114"/>
    <d v="2024-02-28T00:00:00"/>
    <x v="0"/>
    <x v="1"/>
    <m/>
    <n v="1449"/>
    <s v="UPI"/>
    <s v="2024-02"/>
    <d v="2025-05-08T00:00:00"/>
    <x v="0"/>
    <m/>
    <m/>
    <m/>
    <m/>
  </r>
  <r>
    <n v="499"/>
    <x v="61"/>
    <d v="2024-01-16T00:00:00"/>
    <x v="1"/>
    <x v="1"/>
    <m/>
    <n v="2194"/>
    <s v="Credit Card"/>
    <s v="2024-01"/>
    <d v="2025-05-18T00:00:00"/>
    <x v="0"/>
    <m/>
    <m/>
    <m/>
    <m/>
  </r>
  <r>
    <n v="1206"/>
    <x v="74"/>
    <d v="2024-06-16T00:00:00"/>
    <x v="1"/>
    <x v="4"/>
    <m/>
    <n v="2218"/>
    <s v="UPI"/>
    <s v="2024-06"/>
    <d v="2025-05-11T00:00:00"/>
    <x v="0"/>
    <m/>
    <m/>
    <m/>
    <m/>
  </r>
  <r>
    <n v="1502"/>
    <x v="97"/>
    <d v="2024-02-05T00:00:00"/>
    <x v="4"/>
    <x v="2"/>
    <m/>
    <n v="633"/>
    <s v="Credit Card"/>
    <s v="2024-02"/>
    <d v="2025-06-13T00:00:00"/>
    <x v="0"/>
    <m/>
    <m/>
    <m/>
    <m/>
  </r>
  <r>
    <n v="732"/>
    <x v="24"/>
    <d v="2025-02-23T00:00:00"/>
    <x v="4"/>
    <x v="1"/>
    <m/>
    <n v="5082"/>
    <s v="Cash"/>
    <s v="2025-02"/>
    <d v="2025-06-18T00:00:00"/>
    <x v="0"/>
    <m/>
    <m/>
    <m/>
    <m/>
  </r>
  <r>
    <n v="433"/>
    <x v="36"/>
    <d v="2024-06-27T00:00:00"/>
    <x v="2"/>
    <x v="2"/>
    <m/>
    <n v="9840"/>
    <s v="UPI"/>
    <s v="2024-06"/>
    <d v="2025-06-16T00:00:00"/>
    <x v="0"/>
    <m/>
    <m/>
    <m/>
    <m/>
  </r>
  <r>
    <n v="1048"/>
    <x v="66"/>
    <d v="2025-06-15T00:00:00"/>
    <x v="4"/>
    <x v="1"/>
    <m/>
    <n v="329"/>
    <s v="Credit Card"/>
    <s v="2025-06"/>
    <d v="2025-06-21T00:00:00"/>
    <x v="0"/>
    <m/>
    <m/>
    <m/>
    <m/>
  </r>
  <r>
    <n v="982"/>
    <x v="1"/>
    <d v="2025-05-09T00:00:00"/>
    <x v="2"/>
    <x v="5"/>
    <m/>
    <n v="2711"/>
    <s v="Bank Transfer"/>
    <s v="2025-05"/>
    <d v="2025-06-05T00:00:00"/>
    <x v="0"/>
    <m/>
    <m/>
    <m/>
    <m/>
  </r>
  <r>
    <n v="69"/>
    <x v="42"/>
    <d v="2024-06-01T00:00:00"/>
    <x v="3"/>
    <x v="5"/>
    <m/>
    <n v="1198"/>
    <s v="UPI"/>
    <s v="2024-06"/>
    <d v="2025-05-08T00:00:00"/>
    <x v="0"/>
    <m/>
    <m/>
    <m/>
    <m/>
  </r>
  <r>
    <n v="659"/>
    <x v="67"/>
    <d v="2025-06-21T00:00:00"/>
    <x v="0"/>
    <x v="3"/>
    <m/>
    <n v="2080"/>
    <s v="Bank Transfer"/>
    <s v="2025-06"/>
    <d v="2025-06-21T00:00:00"/>
    <x v="0"/>
    <m/>
    <m/>
    <m/>
    <m/>
  </r>
  <r>
    <n v="949"/>
    <x v="56"/>
    <d v="2024-01-17T00:00:00"/>
    <x v="1"/>
    <x v="0"/>
    <m/>
    <n v="1080"/>
    <s v="Cash"/>
    <s v="2024-01"/>
    <d v="2025-04-25T00:00:00"/>
    <x v="0"/>
    <m/>
    <m/>
    <m/>
    <m/>
  </r>
  <r>
    <n v="1011"/>
    <x v="42"/>
    <d v="2025-04-18T00:00:00"/>
    <x v="3"/>
    <x v="1"/>
    <m/>
    <n v="417"/>
    <s v="Bank Transfer"/>
    <s v="2025-04"/>
    <d v="2025-05-08T00:00:00"/>
    <x v="0"/>
    <m/>
    <m/>
    <m/>
    <m/>
  </r>
  <r>
    <n v="718"/>
    <x v="68"/>
    <d v="2024-05-30T00:00:00"/>
    <x v="0"/>
    <x v="1"/>
    <m/>
    <n v="2310"/>
    <s v="Cheque"/>
    <s v="2024-05"/>
    <d v="2025-04-25T00:00:00"/>
    <x v="0"/>
    <m/>
    <m/>
    <m/>
    <m/>
  </r>
  <r>
    <n v="384"/>
    <x v="60"/>
    <d v="2024-10-16T00:00:00"/>
    <x v="3"/>
    <x v="5"/>
    <m/>
    <n v="11211"/>
    <s v="Cash"/>
    <s v="2024-10"/>
    <d v="2025-05-26T00:00:00"/>
    <x v="0"/>
    <m/>
    <m/>
    <m/>
    <m/>
  </r>
  <r>
    <n v="1699"/>
    <x v="65"/>
    <d v="2024-06-26T00:00:00"/>
    <x v="3"/>
    <x v="5"/>
    <m/>
    <n v="352"/>
    <s v="UPI"/>
    <s v="2024-06"/>
    <d v="2025-06-18T00:00:00"/>
    <x v="0"/>
    <m/>
    <m/>
    <m/>
    <m/>
  </r>
  <r>
    <n v="56"/>
    <x v="116"/>
    <d v="2024-08-11T00:00:00"/>
    <x v="1"/>
    <x v="5"/>
    <m/>
    <n v="1564"/>
    <s v="UPI"/>
    <s v="2024-08"/>
    <d v="2025-05-20T00:00:00"/>
    <x v="0"/>
    <m/>
    <m/>
    <m/>
    <m/>
  </r>
  <r>
    <n v="1479"/>
    <x v="94"/>
    <d v="2025-02-25T00:00:00"/>
    <x v="5"/>
    <x v="5"/>
    <m/>
    <n v="2249"/>
    <s v="UPI"/>
    <s v="2025-02"/>
    <d v="2025-04-05T00:00:00"/>
    <x v="0"/>
    <m/>
    <m/>
    <m/>
    <m/>
  </r>
  <r>
    <n v="613"/>
    <x v="70"/>
    <d v="2025-04-01T00:00:00"/>
    <x v="3"/>
    <x v="3"/>
    <m/>
    <n v="2182"/>
    <s v="Cash"/>
    <s v="2025-04"/>
    <d v="2025-05-26T00:00:00"/>
    <x v="0"/>
    <m/>
    <m/>
    <m/>
    <m/>
  </r>
  <r>
    <n v="1524"/>
    <x v="70"/>
    <d v="2025-04-18T00:00:00"/>
    <x v="2"/>
    <x v="1"/>
    <m/>
    <n v="2945"/>
    <s v="Cash"/>
    <s v="2025-04"/>
    <d v="2025-05-26T00:00:00"/>
    <x v="0"/>
    <m/>
    <m/>
    <m/>
    <m/>
  </r>
  <r>
    <n v="171"/>
    <x v="29"/>
    <d v="2024-09-11T00:00:00"/>
    <x v="4"/>
    <x v="5"/>
    <m/>
    <n v="4380"/>
    <s v="Credit Card"/>
    <s v="2024-09"/>
    <d v="2025-04-26T00:00:00"/>
    <x v="0"/>
    <m/>
    <m/>
    <m/>
    <m/>
  </r>
  <r>
    <n v="821"/>
    <x v="69"/>
    <d v="2024-12-22T00:00:00"/>
    <x v="0"/>
    <x v="2"/>
    <m/>
    <n v="5393"/>
    <s v="Cash"/>
    <s v="2024-12"/>
    <d v="2025-03-22T00:00:00"/>
    <x v="1"/>
    <m/>
    <m/>
    <m/>
    <m/>
  </r>
  <r>
    <n v="1538"/>
    <x v="104"/>
    <d v="2025-02-21T00:00:00"/>
    <x v="4"/>
    <x v="2"/>
    <m/>
    <n v="1765"/>
    <s v="Cheque"/>
    <s v="2025-02"/>
    <d v="2025-06-07T00:00:00"/>
    <x v="0"/>
    <m/>
    <m/>
    <m/>
    <m/>
  </r>
  <r>
    <n v="327"/>
    <x v="94"/>
    <d v="2024-08-04T00:00:00"/>
    <x v="0"/>
    <x v="2"/>
    <m/>
    <n v="331"/>
    <s v="Bank Transfer"/>
    <s v="2024-08"/>
    <d v="2025-04-05T00:00:00"/>
    <x v="0"/>
    <m/>
    <m/>
    <m/>
    <m/>
  </r>
  <r>
    <n v="504"/>
    <x v="63"/>
    <d v="2024-05-18T00:00:00"/>
    <x v="0"/>
    <x v="5"/>
    <m/>
    <n v="243"/>
    <s v="Cash"/>
    <s v="2024-05"/>
    <d v="2025-06-11T00:00:00"/>
    <x v="0"/>
    <m/>
    <m/>
    <m/>
    <m/>
  </r>
  <r>
    <n v="1753"/>
    <x v="119"/>
    <d v="2024-07-06T00:00:00"/>
    <x v="2"/>
    <x v="0"/>
    <m/>
    <n v="508"/>
    <s v="Bank Transfer"/>
    <s v="2024-07"/>
    <d v="2025-06-19T00:00:00"/>
    <x v="0"/>
    <m/>
    <m/>
    <m/>
    <m/>
  </r>
  <r>
    <n v="410"/>
    <x v="8"/>
    <d v="2024-07-05T00:00:00"/>
    <x v="3"/>
    <x v="5"/>
    <m/>
    <n v="1635"/>
    <s v="Bank Transfer"/>
    <s v="2024-07"/>
    <d v="2025-05-11T00:00:00"/>
    <x v="0"/>
    <m/>
    <m/>
    <m/>
    <m/>
  </r>
  <r>
    <n v="298"/>
    <x v="45"/>
    <d v="2024-05-20T00:00:00"/>
    <x v="4"/>
    <x v="2"/>
    <m/>
    <n v="8997"/>
    <s v="Cheque"/>
    <s v="2024-05"/>
    <d v="2025-06-18T00:00:00"/>
    <x v="0"/>
    <m/>
    <m/>
    <m/>
    <m/>
  </r>
  <r>
    <n v="1158"/>
    <x v="29"/>
    <d v="2024-07-01T00:00:00"/>
    <x v="4"/>
    <x v="2"/>
    <m/>
    <n v="765"/>
    <s v="Bank Transfer"/>
    <s v="2024-07"/>
    <d v="2025-04-26T00:00:00"/>
    <x v="0"/>
    <m/>
    <m/>
    <m/>
    <m/>
  </r>
  <r>
    <n v="958"/>
    <x v="54"/>
    <d v="2024-06-11T00:00:00"/>
    <x v="4"/>
    <x v="3"/>
    <m/>
    <n v="810"/>
    <s v="UPI"/>
    <s v="2024-06"/>
    <d v="2025-02-10T00:00:00"/>
    <x v="1"/>
    <m/>
    <m/>
    <m/>
    <m/>
  </r>
  <r>
    <n v="563"/>
    <x v="116"/>
    <d v="2024-10-28T00:00:00"/>
    <x v="2"/>
    <x v="2"/>
    <m/>
    <n v="351"/>
    <s v="Bank Transfer"/>
    <s v="2024-10"/>
    <d v="2025-05-20T00:00:00"/>
    <x v="0"/>
    <m/>
    <m/>
    <m/>
    <m/>
  </r>
  <r>
    <n v="1308"/>
    <x v="75"/>
    <d v="2024-03-23T00:00:00"/>
    <x v="3"/>
    <x v="3"/>
    <m/>
    <n v="1723"/>
    <s v="Cheque"/>
    <s v="2024-03"/>
    <d v="2025-06-13T00:00:00"/>
    <x v="0"/>
    <m/>
    <m/>
    <m/>
    <m/>
  </r>
  <r>
    <n v="680"/>
    <x v="43"/>
    <d v="2025-06-13T00:00:00"/>
    <x v="0"/>
    <x v="4"/>
    <m/>
    <n v="5474"/>
    <s v="Cash"/>
    <s v="2025-06"/>
    <d v="2025-06-13T00:00:00"/>
    <x v="0"/>
    <m/>
    <m/>
    <m/>
    <m/>
  </r>
  <r>
    <n v="1525"/>
    <x v="96"/>
    <d v="2024-02-13T00:00:00"/>
    <x v="0"/>
    <x v="4"/>
    <m/>
    <n v="4680"/>
    <s v="Credit Card"/>
    <s v="2024-02"/>
    <d v="2025-06-07T00:00:00"/>
    <x v="0"/>
    <m/>
    <m/>
    <m/>
    <m/>
  </r>
  <r>
    <n v="1390"/>
    <x v="40"/>
    <d v="2024-05-29T00:00:00"/>
    <x v="2"/>
    <x v="5"/>
    <m/>
    <n v="2393"/>
    <s v="Cash"/>
    <s v="2024-05"/>
    <d v="2025-05-30T00:00:00"/>
    <x v="0"/>
    <m/>
    <m/>
    <m/>
    <m/>
  </r>
  <r>
    <n v="1775"/>
    <x v="80"/>
    <d v="2024-07-02T00:00:00"/>
    <x v="2"/>
    <x v="2"/>
    <m/>
    <n v="1475"/>
    <s v="Bank Transfer"/>
    <s v="2024-07"/>
    <d v="2025-02-25T00:00:00"/>
    <x v="1"/>
    <m/>
    <m/>
    <m/>
    <m/>
  </r>
  <r>
    <n v="726"/>
    <x v="119"/>
    <d v="2025-05-16T00:00:00"/>
    <x v="0"/>
    <x v="4"/>
    <m/>
    <n v="1503"/>
    <s v="Cash"/>
    <s v="2025-05"/>
    <d v="2025-06-19T00:00:00"/>
    <x v="0"/>
    <m/>
    <m/>
    <m/>
    <m/>
  </r>
  <r>
    <n v="532"/>
    <x v="20"/>
    <d v="2025-04-01T00:00:00"/>
    <x v="1"/>
    <x v="5"/>
    <m/>
    <n v="5635"/>
    <s v="Cheque"/>
    <s v="2025-04"/>
    <d v="2025-06-07T00:00:00"/>
    <x v="0"/>
    <m/>
    <m/>
    <m/>
    <m/>
  </r>
  <r>
    <n v="408"/>
    <x v="66"/>
    <d v="2024-06-19T00:00:00"/>
    <x v="4"/>
    <x v="0"/>
    <m/>
    <n v="780"/>
    <s v="Cheque"/>
    <s v="2024-06"/>
    <d v="2025-06-21T00:00:00"/>
    <x v="0"/>
    <m/>
    <m/>
    <m/>
    <m/>
  </r>
  <r>
    <n v="200"/>
    <x v="86"/>
    <d v="2024-09-17T00:00:00"/>
    <x v="2"/>
    <x v="2"/>
    <m/>
    <n v="2063"/>
    <s v="UPI"/>
    <s v="2024-09"/>
    <d v="2025-06-15T00:00:00"/>
    <x v="0"/>
    <m/>
    <m/>
    <m/>
    <m/>
  </r>
  <r>
    <n v="474"/>
    <x v="49"/>
    <d v="2025-02-10T00:00:00"/>
    <x v="2"/>
    <x v="5"/>
    <m/>
    <n v="504"/>
    <s v="Bank Transfer"/>
    <s v="2025-02"/>
    <d v="2025-05-18T00:00:00"/>
    <x v="0"/>
    <m/>
    <m/>
    <m/>
    <m/>
  </r>
  <r>
    <n v="1269"/>
    <x v="13"/>
    <d v="2025-02-02T00:00:00"/>
    <x v="0"/>
    <x v="3"/>
    <m/>
    <n v="8262"/>
    <s v="Credit Card"/>
    <s v="2025-02"/>
    <d v="2025-05-11T00:00:00"/>
    <x v="0"/>
    <m/>
    <m/>
    <m/>
    <m/>
  </r>
  <r>
    <n v="217"/>
    <x v="106"/>
    <d v="2024-09-20T00:00:00"/>
    <x v="0"/>
    <x v="2"/>
    <m/>
    <n v="295"/>
    <s v="Bank Transfer"/>
    <s v="2024-09"/>
    <d v="2025-06-20T00:00:00"/>
    <x v="0"/>
    <m/>
    <m/>
    <m/>
    <m/>
  </r>
  <r>
    <n v="254"/>
    <x v="57"/>
    <d v="2025-05-22T00:00:00"/>
    <x v="3"/>
    <x v="3"/>
    <m/>
    <n v="907"/>
    <s v="Cheque"/>
    <s v="2025-05"/>
    <d v="2025-06-08T00:00:00"/>
    <x v="0"/>
    <m/>
    <m/>
    <m/>
    <m/>
  </r>
  <r>
    <n v="153"/>
    <x v="3"/>
    <d v="2025-06-15T00:00:00"/>
    <x v="2"/>
    <x v="2"/>
    <m/>
    <n v="624"/>
    <s v="Cheque"/>
    <s v="2025-06"/>
    <d v="2025-06-15T00:00:00"/>
    <x v="0"/>
    <m/>
    <m/>
    <m/>
    <m/>
  </r>
  <r>
    <n v="740"/>
    <x v="94"/>
    <d v="2024-08-27T00:00:00"/>
    <x v="2"/>
    <x v="5"/>
    <m/>
    <n v="11854"/>
    <s v="UPI"/>
    <s v="2024-08"/>
    <d v="2025-04-05T00:00:00"/>
    <x v="0"/>
    <m/>
    <m/>
    <m/>
    <m/>
  </r>
  <r>
    <n v="743"/>
    <x v="90"/>
    <d v="2024-03-02T00:00:00"/>
    <x v="0"/>
    <x v="5"/>
    <m/>
    <n v="2839"/>
    <s v="Cash"/>
    <s v="2024-03"/>
    <d v="2025-06-19T00:00:00"/>
    <x v="0"/>
    <m/>
    <m/>
    <m/>
    <m/>
  </r>
  <r>
    <n v="1140"/>
    <x v="80"/>
    <d v="2025-02-18T00:00:00"/>
    <x v="2"/>
    <x v="4"/>
    <m/>
    <n v="4257"/>
    <s v="Cheque"/>
    <s v="2025-02"/>
    <d v="2025-02-25T00:00:00"/>
    <x v="1"/>
    <m/>
    <m/>
    <m/>
    <m/>
  </r>
  <r>
    <n v="1233"/>
    <x v="25"/>
    <d v="2024-05-06T00:00:00"/>
    <x v="3"/>
    <x v="2"/>
    <m/>
    <n v="0"/>
    <s v="Credit Card"/>
    <s v="2024-05"/>
    <d v="2025-03-24T00:00:00"/>
    <x v="1"/>
    <m/>
    <m/>
    <m/>
    <m/>
  </r>
  <r>
    <n v="1459"/>
    <x v="0"/>
    <d v="2025-05-06T00:00:00"/>
    <x v="2"/>
    <x v="4"/>
    <m/>
    <n v="2169"/>
    <s v="Bank Transfer"/>
    <s v="2025-05"/>
    <d v="2025-05-08T00:00:00"/>
    <x v="0"/>
    <m/>
    <m/>
    <m/>
    <m/>
  </r>
  <r>
    <n v="1124"/>
    <x v="2"/>
    <d v="2024-06-23T00:00:00"/>
    <x v="3"/>
    <x v="1"/>
    <m/>
    <n v="1523"/>
    <s v="Credit Card"/>
    <s v="2024-06"/>
    <d v="2025-06-10T00:00:00"/>
    <x v="0"/>
    <m/>
    <m/>
    <m/>
    <m/>
  </r>
  <r>
    <n v="531"/>
    <x v="21"/>
    <d v="2024-02-21T00:00:00"/>
    <x v="0"/>
    <x v="3"/>
    <m/>
    <n v="971"/>
    <s v="Credit Card"/>
    <s v="2024-02"/>
    <d v="2025-06-03T00:00:00"/>
    <x v="0"/>
    <m/>
    <m/>
    <m/>
    <m/>
  </r>
  <r>
    <n v="1788"/>
    <x v="32"/>
    <d v="2024-12-18T00:00:00"/>
    <x v="3"/>
    <x v="4"/>
    <m/>
    <n v="295"/>
    <s v="Bank Transfer"/>
    <s v="2024-12"/>
    <d v="2025-05-07T00:00:00"/>
    <x v="0"/>
    <m/>
    <m/>
    <m/>
    <m/>
  </r>
  <r>
    <n v="1780"/>
    <x v="19"/>
    <d v="2024-04-06T00:00:00"/>
    <x v="3"/>
    <x v="0"/>
    <m/>
    <n v="542"/>
    <s v="Bank Transfer"/>
    <s v="2024-04"/>
    <d v="2025-06-19T00:00:00"/>
    <x v="0"/>
    <m/>
    <m/>
    <m/>
    <m/>
  </r>
  <r>
    <n v="241"/>
    <x v="88"/>
    <d v="2024-02-15T00:00:00"/>
    <x v="0"/>
    <x v="5"/>
    <m/>
    <n v="632"/>
    <s v="UPI"/>
    <s v="2024-02"/>
    <d v="2025-06-23T00:00:00"/>
    <x v="0"/>
    <m/>
    <m/>
    <m/>
    <m/>
  </r>
  <r>
    <n v="1294"/>
    <x v="25"/>
    <d v="2024-05-16T00:00:00"/>
    <x v="3"/>
    <x v="4"/>
    <m/>
    <n v="1774"/>
    <s v="Credit Card"/>
    <s v="2024-05"/>
    <d v="2025-03-24T00:00:00"/>
    <x v="1"/>
    <m/>
    <m/>
    <m/>
    <m/>
  </r>
  <r>
    <n v="798"/>
    <x v="19"/>
    <d v="2025-04-17T00:00:00"/>
    <x v="1"/>
    <x v="2"/>
    <m/>
    <n v="857"/>
    <s v="Cash"/>
    <s v="2025-04"/>
    <d v="2025-06-19T00:00:00"/>
    <x v="0"/>
    <m/>
    <m/>
    <m/>
    <m/>
  </r>
  <r>
    <n v="188"/>
    <x v="112"/>
    <d v="2024-07-23T00:00:00"/>
    <x v="1"/>
    <x v="5"/>
    <m/>
    <n v="2646"/>
    <s v="UPI"/>
    <s v="2024-07"/>
    <d v="2025-06-04T00:00:00"/>
    <x v="0"/>
    <m/>
    <m/>
    <m/>
    <m/>
  </r>
  <r>
    <n v="1495"/>
    <x v="2"/>
    <d v="2024-04-09T00:00:00"/>
    <x v="1"/>
    <x v="3"/>
    <m/>
    <n v="636"/>
    <s v="Bank Transfer"/>
    <s v="2024-04"/>
    <d v="2025-06-10T00:00:00"/>
    <x v="0"/>
    <m/>
    <m/>
    <m/>
    <m/>
  </r>
  <r>
    <n v="1264"/>
    <x v="48"/>
    <d v="2024-03-03T00:00:00"/>
    <x v="2"/>
    <x v="2"/>
    <m/>
    <n v="0"/>
    <s v="UPI"/>
    <s v="2024-03"/>
    <d v="2025-04-13T00:00:00"/>
    <x v="0"/>
    <m/>
    <m/>
    <m/>
    <m/>
  </r>
  <r>
    <n v="1297"/>
    <x v="99"/>
    <d v="2024-07-03T00:00:00"/>
    <x v="2"/>
    <x v="2"/>
    <m/>
    <n v="1909"/>
    <s v="Credit Card"/>
    <s v="2024-07"/>
    <d v="2025-03-30T00:00:00"/>
    <x v="0"/>
    <m/>
    <m/>
    <m/>
    <m/>
  </r>
  <r>
    <n v="722"/>
    <x v="50"/>
    <d v="2024-05-06T00:00:00"/>
    <x v="2"/>
    <x v="1"/>
    <m/>
    <n v="2572"/>
    <s v="UPI"/>
    <s v="2024-05"/>
    <d v="2025-06-21T00:00:00"/>
    <x v="0"/>
    <m/>
    <m/>
    <m/>
    <m/>
  </r>
  <r>
    <n v="303"/>
    <x v="92"/>
    <d v="2024-06-28T00:00:00"/>
    <x v="2"/>
    <x v="3"/>
    <m/>
    <n v="447"/>
    <s v="Credit Card"/>
    <s v="2024-06"/>
    <d v="2025-04-20T00:00:00"/>
    <x v="0"/>
    <m/>
    <m/>
    <m/>
    <m/>
  </r>
  <r>
    <n v="284"/>
    <x v="57"/>
    <d v="2024-03-29T00:00:00"/>
    <x v="0"/>
    <x v="3"/>
    <m/>
    <n v="4401"/>
    <s v="Cheque"/>
    <s v="2024-03"/>
    <d v="2025-06-08T00:00:00"/>
    <x v="0"/>
    <m/>
    <m/>
    <m/>
    <m/>
  </r>
  <r>
    <n v="719"/>
    <x v="108"/>
    <d v="2025-02-18T00:00:00"/>
    <x v="4"/>
    <x v="5"/>
    <m/>
    <n v="815"/>
    <s v="Bank Transfer"/>
    <s v="2025-02"/>
    <d v="2025-06-14T00:00:00"/>
    <x v="0"/>
    <m/>
    <m/>
    <m/>
    <m/>
  </r>
  <r>
    <n v="506"/>
    <x v="20"/>
    <d v="2025-06-07T00:00:00"/>
    <x v="4"/>
    <x v="1"/>
    <m/>
    <n v="9522"/>
    <s v="Credit Card"/>
    <s v="2025-06"/>
    <d v="2025-06-07T00:00:00"/>
    <x v="0"/>
    <m/>
    <m/>
    <m/>
    <m/>
  </r>
  <r>
    <n v="1739"/>
    <x v="52"/>
    <d v="2024-12-01T00:00:00"/>
    <x v="1"/>
    <x v="3"/>
    <m/>
    <n v="418"/>
    <s v="Cheque"/>
    <s v="2024-12"/>
    <d v="2025-04-04T00:00:00"/>
    <x v="0"/>
    <m/>
    <m/>
    <m/>
    <m/>
  </r>
  <r>
    <n v="871"/>
    <x v="101"/>
    <d v="2024-09-02T00:00:00"/>
    <x v="4"/>
    <x v="0"/>
    <m/>
    <n v="417"/>
    <s v="Bank Transfer"/>
    <s v="2024-09"/>
    <d v="2025-06-23T00:00:00"/>
    <x v="0"/>
    <m/>
    <m/>
    <m/>
    <m/>
  </r>
  <r>
    <n v="1603"/>
    <x v="45"/>
    <d v="2025-03-14T00:00:00"/>
    <x v="2"/>
    <x v="5"/>
    <m/>
    <n v="9662"/>
    <s v="Cash"/>
    <s v="2025-03"/>
    <d v="2025-06-18T00:00:00"/>
    <x v="0"/>
    <m/>
    <m/>
    <m/>
    <m/>
  </r>
  <r>
    <n v="1403"/>
    <x v="62"/>
    <d v="2025-01-27T00:00:00"/>
    <x v="3"/>
    <x v="0"/>
    <m/>
    <n v="591"/>
    <s v="UPI"/>
    <s v="2025-01"/>
    <d v="2025-06-06T00:00:00"/>
    <x v="0"/>
    <m/>
    <m/>
    <m/>
    <m/>
  </r>
  <r>
    <n v="1353"/>
    <x v="26"/>
    <d v="2024-09-11T00:00:00"/>
    <x v="5"/>
    <x v="3"/>
    <m/>
    <n v="571"/>
    <s v="Cheque"/>
    <s v="2024-09"/>
    <d v="2025-06-01T00:00:00"/>
    <x v="0"/>
    <m/>
    <m/>
    <m/>
    <m/>
  </r>
  <r>
    <n v="123"/>
    <x v="44"/>
    <d v="2025-03-03T00:00:00"/>
    <x v="2"/>
    <x v="1"/>
    <m/>
    <n v="593"/>
    <s v="Credit Card"/>
    <s v="2025-03"/>
    <d v="2025-04-26T00:00:00"/>
    <x v="0"/>
    <m/>
    <m/>
    <m/>
    <m/>
  </r>
  <r>
    <n v="883"/>
    <x v="83"/>
    <d v="2025-02-02T00:00:00"/>
    <x v="2"/>
    <x v="3"/>
    <m/>
    <n v="425"/>
    <s v="Bank Transfer"/>
    <s v="2025-02"/>
    <d v="2025-02-02T00:00:00"/>
    <x v="1"/>
    <m/>
    <m/>
    <m/>
    <m/>
  </r>
  <r>
    <n v="511"/>
    <x v="103"/>
    <d v="2024-12-05T00:00:00"/>
    <x v="2"/>
    <x v="3"/>
    <m/>
    <n v="967"/>
    <s v="Credit Card"/>
    <s v="2024-12"/>
    <d v="2025-04-19T00:00:00"/>
    <x v="0"/>
    <m/>
    <m/>
    <m/>
    <m/>
  </r>
  <r>
    <n v="281"/>
    <x v="53"/>
    <d v="2024-09-07T00:00:00"/>
    <x v="0"/>
    <x v="5"/>
    <m/>
    <n v="876"/>
    <s v="Credit Card"/>
    <s v="2024-09"/>
    <d v="2025-06-06T00:00:00"/>
    <x v="0"/>
    <m/>
    <m/>
    <m/>
    <m/>
  </r>
  <r>
    <n v="928"/>
    <x v="53"/>
    <d v="2025-05-10T00:00:00"/>
    <x v="2"/>
    <x v="5"/>
    <m/>
    <n v="1177"/>
    <s v="UPI"/>
    <s v="2025-05"/>
    <d v="2025-06-06T00:00:00"/>
    <x v="0"/>
    <m/>
    <m/>
    <m/>
    <m/>
  </r>
  <r>
    <n v="1664"/>
    <x v="119"/>
    <d v="2024-01-23T00:00:00"/>
    <x v="3"/>
    <x v="0"/>
    <m/>
    <n v="2928"/>
    <s v="Cheque"/>
    <s v="2024-01"/>
    <d v="2025-06-19T00:00:00"/>
    <x v="0"/>
    <m/>
    <m/>
    <m/>
    <m/>
  </r>
  <r>
    <n v="1330"/>
    <x v="78"/>
    <d v="2024-11-16T00:00:00"/>
    <x v="0"/>
    <x v="5"/>
    <m/>
    <n v="9363"/>
    <s v="Bank Transfer"/>
    <s v="2024-11"/>
    <d v="2025-06-02T00:00:00"/>
    <x v="0"/>
    <m/>
    <m/>
    <m/>
    <m/>
  </r>
  <r>
    <n v="841"/>
    <x v="101"/>
    <d v="2024-10-24T00:00:00"/>
    <x v="2"/>
    <x v="3"/>
    <m/>
    <n v="5481"/>
    <s v="Credit Card"/>
    <s v="2024-10"/>
    <d v="2025-06-23T00:00:00"/>
    <x v="0"/>
    <m/>
    <m/>
    <m/>
    <m/>
  </r>
  <r>
    <n v="519"/>
    <x v="76"/>
    <d v="2024-01-30T00:00:00"/>
    <x v="4"/>
    <x v="4"/>
    <m/>
    <n v="5668"/>
    <s v="Cash"/>
    <s v="2024-01"/>
    <d v="2025-03-18T00:00:00"/>
    <x v="1"/>
    <m/>
    <m/>
    <m/>
    <m/>
  </r>
  <r>
    <n v="856"/>
    <x v="15"/>
    <d v="2025-05-15T00:00:00"/>
    <x v="3"/>
    <x v="0"/>
    <m/>
    <n v="10855"/>
    <s v="UPI"/>
    <s v="2025-05"/>
    <d v="2025-05-15T00:00:00"/>
    <x v="0"/>
    <m/>
    <m/>
    <m/>
    <m/>
  </r>
  <r>
    <n v="1598"/>
    <x v="63"/>
    <d v="2024-08-03T00:00:00"/>
    <x v="1"/>
    <x v="3"/>
    <m/>
    <n v="4587"/>
    <s v="UPI"/>
    <s v="2024-08"/>
    <d v="2025-06-11T00:00:00"/>
    <x v="0"/>
    <m/>
    <m/>
    <m/>
    <m/>
  </r>
  <r>
    <n v="68"/>
    <x v="96"/>
    <d v="2024-12-14T00:00:00"/>
    <x v="2"/>
    <x v="5"/>
    <m/>
    <n v="254"/>
    <s v="UPI"/>
    <s v="2024-12"/>
    <d v="2025-06-07T00:00:00"/>
    <x v="0"/>
    <m/>
    <m/>
    <m/>
    <m/>
  </r>
  <r>
    <n v="1738"/>
    <x v="14"/>
    <d v="2024-12-16T00:00:00"/>
    <x v="1"/>
    <x v="3"/>
    <m/>
    <n v="261"/>
    <s v="Credit Card"/>
    <s v="2024-12"/>
    <d v="2025-04-16T00:00:00"/>
    <x v="0"/>
    <m/>
    <m/>
    <m/>
    <m/>
  </r>
  <r>
    <n v="569"/>
    <x v="75"/>
    <d v="2025-01-02T00:00:00"/>
    <x v="1"/>
    <x v="1"/>
    <m/>
    <n v="526"/>
    <s v="UPI"/>
    <s v="2025-01"/>
    <d v="2025-06-13T00:00:00"/>
    <x v="0"/>
    <m/>
    <m/>
    <m/>
    <m/>
  </r>
  <r>
    <n v="956"/>
    <x v="76"/>
    <d v="2025-02-06T00:00:00"/>
    <x v="2"/>
    <x v="0"/>
    <m/>
    <n v="639"/>
    <s v="Cash"/>
    <s v="2025-02"/>
    <d v="2025-03-18T00:00:00"/>
    <x v="1"/>
    <m/>
    <m/>
    <m/>
    <m/>
  </r>
  <r>
    <n v="1086"/>
    <x v="94"/>
    <d v="2024-12-07T00:00:00"/>
    <x v="1"/>
    <x v="0"/>
    <m/>
    <n v="1062"/>
    <s v="Cheque"/>
    <s v="2024-12"/>
    <d v="2025-04-05T00:00:00"/>
    <x v="0"/>
    <m/>
    <m/>
    <m/>
    <m/>
  </r>
  <r>
    <n v="1299"/>
    <x v="22"/>
    <d v="2024-02-06T00:00:00"/>
    <x v="2"/>
    <x v="3"/>
    <m/>
    <n v="809"/>
    <s v="UPI"/>
    <s v="2024-02"/>
    <d v="2025-06-09T00:00:00"/>
    <x v="0"/>
    <m/>
    <m/>
    <m/>
    <m/>
  </r>
  <r>
    <n v="838"/>
    <x v="21"/>
    <d v="2024-04-01T00:00:00"/>
    <x v="0"/>
    <x v="2"/>
    <m/>
    <n v="432"/>
    <s v="Bank Transfer"/>
    <s v="2024-04"/>
    <d v="2025-06-03T00:00:00"/>
    <x v="0"/>
    <m/>
    <m/>
    <m/>
    <m/>
  </r>
  <r>
    <n v="473"/>
    <x v="33"/>
    <d v="2024-11-27T00:00:00"/>
    <x v="4"/>
    <x v="0"/>
    <m/>
    <n v="8856"/>
    <s v="Cheque"/>
    <s v="2024-11"/>
    <d v="2025-03-13T00:00:00"/>
    <x v="1"/>
    <m/>
    <m/>
    <m/>
    <m/>
  </r>
  <r>
    <n v="1636"/>
    <x v="111"/>
    <d v="2025-02-08T00:00:00"/>
    <x v="3"/>
    <x v="4"/>
    <m/>
    <n v="5720"/>
    <s v="Cheque"/>
    <s v="2025-02"/>
    <d v="2025-06-07T00:00:00"/>
    <x v="0"/>
    <m/>
    <m/>
    <m/>
    <m/>
  </r>
  <r>
    <n v="512"/>
    <x v="36"/>
    <d v="2024-06-30T00:00:00"/>
    <x v="3"/>
    <x v="5"/>
    <m/>
    <n v="419"/>
    <s v="Bank Transfer"/>
    <s v="2024-06"/>
    <d v="2025-06-16T00:00:00"/>
    <x v="0"/>
    <m/>
    <m/>
    <m/>
    <m/>
  </r>
  <r>
    <n v="1133"/>
    <x v="96"/>
    <d v="2024-03-23T00:00:00"/>
    <x v="5"/>
    <x v="4"/>
    <m/>
    <n v="627"/>
    <s v="Credit Card"/>
    <s v="2024-03"/>
    <d v="2025-06-07T00:00:00"/>
    <x v="0"/>
    <m/>
    <m/>
    <m/>
    <m/>
  </r>
  <r>
    <n v="1564"/>
    <x v="52"/>
    <d v="2025-04-04T00:00:00"/>
    <x v="4"/>
    <x v="2"/>
    <m/>
    <n v="829"/>
    <s v="Cash"/>
    <s v="2025-04"/>
    <d v="2025-04-04T00:00:00"/>
    <x v="0"/>
    <m/>
    <m/>
    <m/>
    <m/>
  </r>
  <r>
    <n v="1505"/>
    <x v="43"/>
    <d v="2024-10-12T00:00:00"/>
    <x v="1"/>
    <x v="0"/>
    <m/>
    <n v="2341"/>
    <s v="UPI"/>
    <s v="2024-10"/>
    <d v="2025-06-13T00:00:00"/>
    <x v="0"/>
    <m/>
    <m/>
    <m/>
    <m/>
  </r>
  <r>
    <n v="319"/>
    <x v="65"/>
    <d v="2025-05-01T00:00:00"/>
    <x v="4"/>
    <x v="1"/>
    <m/>
    <n v="2079"/>
    <s v="UPI"/>
    <s v="2025-05"/>
    <d v="2025-06-18T00:00:00"/>
    <x v="0"/>
    <m/>
    <m/>
    <m/>
    <m/>
  </r>
  <r>
    <n v="1552"/>
    <x v="14"/>
    <d v="2024-02-26T00:00:00"/>
    <x v="3"/>
    <x v="2"/>
    <m/>
    <n v="598"/>
    <s v="Cash"/>
    <s v="2024-02"/>
    <d v="2025-04-16T00:00:00"/>
    <x v="0"/>
    <m/>
    <m/>
    <m/>
    <m/>
  </r>
  <r>
    <n v="922"/>
    <x v="77"/>
    <d v="2024-11-02T00:00:00"/>
    <x v="0"/>
    <x v="2"/>
    <m/>
    <n v="4888"/>
    <s v="UPI"/>
    <s v="2024-11"/>
    <d v="2025-05-21T00:00:00"/>
    <x v="0"/>
    <m/>
    <m/>
    <m/>
    <m/>
  </r>
  <r>
    <n v="582"/>
    <x v="1"/>
    <d v="2025-06-03T00:00:00"/>
    <x v="0"/>
    <x v="2"/>
    <m/>
    <n v="1821"/>
    <s v="Credit Card"/>
    <s v="2025-06"/>
    <d v="2025-06-05T00:00:00"/>
    <x v="0"/>
    <m/>
    <m/>
    <m/>
    <m/>
  </r>
  <r>
    <n v="133"/>
    <x v="64"/>
    <d v="2024-12-03T00:00:00"/>
    <x v="3"/>
    <x v="2"/>
    <m/>
    <n v="685"/>
    <s v="Cheque"/>
    <s v="2024-12"/>
    <d v="2025-04-28T00:00:00"/>
    <x v="0"/>
    <m/>
    <m/>
    <m/>
    <m/>
  </r>
  <r>
    <n v="673"/>
    <x v="83"/>
    <d v="2025-01-26T00:00:00"/>
    <x v="0"/>
    <x v="4"/>
    <m/>
    <n v="2396"/>
    <s v="Bank Transfer"/>
    <s v="2025-01"/>
    <d v="2025-02-02T00:00:00"/>
    <x v="1"/>
    <m/>
    <m/>
    <m/>
    <m/>
  </r>
  <r>
    <n v="641"/>
    <x v="106"/>
    <d v="2024-01-19T00:00:00"/>
    <x v="2"/>
    <x v="1"/>
    <m/>
    <n v="953"/>
    <s v="Bank Transfer"/>
    <s v="2024-01"/>
    <d v="2025-06-20T00:00:00"/>
    <x v="0"/>
    <m/>
    <m/>
    <m/>
    <m/>
  </r>
  <r>
    <n v="1759"/>
    <x v="80"/>
    <d v="2024-12-21T00:00:00"/>
    <x v="3"/>
    <x v="5"/>
    <m/>
    <n v="316"/>
    <s v="Cheque"/>
    <s v="2024-12"/>
    <d v="2025-02-25T00:00:00"/>
    <x v="1"/>
    <m/>
    <m/>
    <m/>
    <m/>
  </r>
  <r>
    <n v="1049"/>
    <x v="9"/>
    <d v="2024-03-28T00:00:00"/>
    <x v="3"/>
    <x v="5"/>
    <m/>
    <n v="5142"/>
    <s v="UPI"/>
    <s v="2024-03"/>
    <d v="2025-04-29T00:00:00"/>
    <x v="0"/>
    <m/>
    <m/>
    <m/>
    <m/>
  </r>
  <r>
    <n v="1549"/>
    <x v="70"/>
    <d v="2025-01-19T00:00:00"/>
    <x v="1"/>
    <x v="0"/>
    <m/>
    <n v="251"/>
    <s v="Cheque"/>
    <s v="2025-01"/>
    <d v="2025-05-26T00:00:00"/>
    <x v="0"/>
    <m/>
    <m/>
    <m/>
    <m/>
  </r>
  <r>
    <n v="126"/>
    <x v="73"/>
    <d v="2024-05-31T00:00:00"/>
    <x v="2"/>
    <x v="4"/>
    <m/>
    <n v="2197"/>
    <s v="Cheque"/>
    <s v="2024-05"/>
    <d v="2025-05-17T00:00:00"/>
    <x v="0"/>
    <m/>
    <m/>
    <m/>
    <m/>
  </r>
  <r>
    <n v="1341"/>
    <x v="6"/>
    <d v="2024-05-23T00:00:00"/>
    <x v="2"/>
    <x v="0"/>
    <m/>
    <n v="1764"/>
    <s v="Credit Card"/>
    <s v="2024-05"/>
    <d v="2025-05-31T00:00:00"/>
    <x v="0"/>
    <m/>
    <m/>
    <m/>
    <m/>
  </r>
  <r>
    <n v="869"/>
    <x v="31"/>
    <d v="2025-01-14T00:00:00"/>
    <x v="4"/>
    <x v="2"/>
    <m/>
    <n v="812"/>
    <s v="Credit Card"/>
    <s v="2025-01"/>
    <d v="2025-05-16T00:00:00"/>
    <x v="0"/>
    <m/>
    <m/>
    <m/>
    <m/>
  </r>
  <r>
    <n v="257"/>
    <x v="13"/>
    <d v="2024-05-22T00:00:00"/>
    <x v="4"/>
    <x v="4"/>
    <m/>
    <n v="514"/>
    <s v="Cheque"/>
    <s v="2024-05"/>
    <d v="2025-05-11T00:00:00"/>
    <x v="0"/>
    <m/>
    <m/>
    <m/>
    <m/>
  </r>
  <r>
    <n v="1773"/>
    <x v="18"/>
    <d v="2024-01-07T00:00:00"/>
    <x v="1"/>
    <x v="1"/>
    <m/>
    <n v="5508"/>
    <s v="Cheque"/>
    <s v="2024-01"/>
    <d v="2025-05-23T00:00:00"/>
    <x v="0"/>
    <m/>
    <m/>
    <m/>
    <m/>
  </r>
  <r>
    <n v="290"/>
    <x v="6"/>
    <d v="2024-04-21T00:00:00"/>
    <x v="2"/>
    <x v="4"/>
    <m/>
    <n v="296"/>
    <s v="Cash"/>
    <s v="2024-04"/>
    <d v="2025-05-31T00:00:00"/>
    <x v="0"/>
    <m/>
    <m/>
    <m/>
    <m/>
  </r>
  <r>
    <n v="82"/>
    <x v="110"/>
    <d v="2024-06-06T00:00:00"/>
    <x v="1"/>
    <x v="0"/>
    <m/>
    <n v="2415"/>
    <s v="Cash"/>
    <s v="2024-06"/>
    <d v="2025-06-20T00:00:00"/>
    <x v="0"/>
    <m/>
    <m/>
    <m/>
    <m/>
  </r>
  <r>
    <n v="54"/>
    <x v="67"/>
    <d v="2025-03-07T00:00:00"/>
    <x v="2"/>
    <x v="1"/>
    <m/>
    <n v="550"/>
    <s v="UPI"/>
    <s v="2025-03"/>
    <d v="2025-06-21T00:00:00"/>
    <x v="0"/>
    <m/>
    <m/>
    <m/>
    <m/>
  </r>
  <r>
    <n v="858"/>
    <x v="46"/>
    <d v="2024-02-05T00:00:00"/>
    <x v="2"/>
    <x v="0"/>
    <m/>
    <n v="2364"/>
    <s v="Cheque"/>
    <s v="2024-02"/>
    <d v="2025-06-04T00:00:00"/>
    <x v="0"/>
    <m/>
    <m/>
    <m/>
    <m/>
  </r>
  <r>
    <n v="993"/>
    <x v="12"/>
    <d v="2025-04-11T00:00:00"/>
    <x v="2"/>
    <x v="2"/>
    <m/>
    <n v="291"/>
    <s v="UPI"/>
    <s v="2025-04"/>
    <d v="2025-05-28T00:00:00"/>
    <x v="0"/>
    <m/>
    <m/>
    <m/>
    <m/>
  </r>
  <r>
    <n v="41"/>
    <x v="68"/>
    <d v="2025-02-16T00:00:00"/>
    <x v="1"/>
    <x v="0"/>
    <m/>
    <n v="1315"/>
    <s v="Cash"/>
    <s v="2025-02"/>
    <d v="2025-04-25T00:00:00"/>
    <x v="0"/>
    <m/>
    <m/>
    <m/>
    <m/>
  </r>
  <r>
    <n v="1313"/>
    <x v="111"/>
    <d v="2025-04-16T00:00:00"/>
    <x v="1"/>
    <x v="2"/>
    <m/>
    <n v="1045"/>
    <s v="UPI"/>
    <s v="2025-04"/>
    <d v="2025-06-07T00:00:00"/>
    <x v="0"/>
    <m/>
    <m/>
    <m/>
    <m/>
  </r>
  <r>
    <n v="262"/>
    <x v="76"/>
    <d v="2024-11-26T00:00:00"/>
    <x v="1"/>
    <x v="5"/>
    <m/>
    <n v="10312"/>
    <s v="Cheque"/>
    <s v="2024-11"/>
    <d v="2025-03-18T00:00:00"/>
    <x v="1"/>
    <m/>
    <m/>
    <m/>
    <m/>
  </r>
  <r>
    <n v="1695"/>
    <x v="107"/>
    <d v="2024-02-24T00:00:00"/>
    <x v="0"/>
    <x v="4"/>
    <m/>
    <n v="1271"/>
    <s v="Credit Card"/>
    <s v="2024-02"/>
    <d v="2025-04-12T00:00:00"/>
    <x v="0"/>
    <m/>
    <m/>
    <m/>
    <m/>
  </r>
  <r>
    <n v="84"/>
    <x v="17"/>
    <d v="2024-11-01T00:00:00"/>
    <x v="3"/>
    <x v="0"/>
    <m/>
    <n v="344"/>
    <s v="Cash"/>
    <s v="2024-11"/>
    <d v="2025-05-21T00:00:00"/>
    <x v="0"/>
    <m/>
    <m/>
    <m/>
    <m/>
  </r>
  <r>
    <n v="1352"/>
    <x v="36"/>
    <d v="2024-12-01T00:00:00"/>
    <x v="0"/>
    <x v="0"/>
    <m/>
    <n v="1752"/>
    <s v="Cash"/>
    <s v="2024-12"/>
    <d v="2025-06-16T00:00:00"/>
    <x v="0"/>
    <m/>
    <m/>
    <m/>
    <m/>
  </r>
  <r>
    <n v="1443"/>
    <x v="93"/>
    <d v="2024-10-18T00:00:00"/>
    <x v="2"/>
    <x v="1"/>
    <m/>
    <n v="2157"/>
    <s v="Cheque"/>
    <s v="2024-10"/>
    <d v="2025-06-16T00:00:00"/>
    <x v="0"/>
    <m/>
    <m/>
    <m/>
    <m/>
  </r>
  <r>
    <n v="1401"/>
    <x v="81"/>
    <d v="2024-02-10T00:00:00"/>
    <x v="3"/>
    <x v="3"/>
    <m/>
    <n v="422"/>
    <s v="Cheque"/>
    <s v="2024-02"/>
    <d v="2025-06-20T00:00:00"/>
    <x v="0"/>
    <m/>
    <m/>
    <m/>
    <m/>
  </r>
  <r>
    <n v="654"/>
    <x v="55"/>
    <d v="2024-11-03T00:00:00"/>
    <x v="0"/>
    <x v="1"/>
    <m/>
    <n v="5720"/>
    <s v="UPI"/>
    <s v="2024-11"/>
    <d v="2025-06-22T00:00:00"/>
    <x v="0"/>
    <m/>
    <m/>
    <m/>
    <m/>
  </r>
  <r>
    <n v="31"/>
    <x v="76"/>
    <d v="2025-03-09T00:00:00"/>
    <x v="1"/>
    <x v="3"/>
    <m/>
    <n v="467"/>
    <s v="Credit Card"/>
    <s v="2025-03"/>
    <d v="2025-03-18T00:00:00"/>
    <x v="1"/>
    <m/>
    <m/>
    <m/>
    <m/>
  </r>
  <r>
    <n v="514"/>
    <x v="21"/>
    <d v="2024-02-29T00:00:00"/>
    <x v="3"/>
    <x v="2"/>
    <m/>
    <n v="11949"/>
    <s v="Cash"/>
    <s v="2024-02"/>
    <d v="2025-06-03T00:00:00"/>
    <x v="0"/>
    <m/>
    <m/>
    <m/>
    <m/>
  </r>
  <r>
    <n v="1444"/>
    <x v="38"/>
    <d v="2024-12-12T00:00:00"/>
    <x v="4"/>
    <x v="2"/>
    <m/>
    <n v="337"/>
    <s v="Bank Transfer"/>
    <s v="2024-12"/>
    <d v="2025-05-29T00:00:00"/>
    <x v="0"/>
    <m/>
    <m/>
    <m/>
    <m/>
  </r>
  <r>
    <n v="1517"/>
    <x v="73"/>
    <d v="2024-05-05T00:00:00"/>
    <x v="0"/>
    <x v="4"/>
    <m/>
    <n v="2512"/>
    <s v="Bank Transfer"/>
    <s v="2024-05"/>
    <d v="2025-05-17T00:00:00"/>
    <x v="0"/>
    <m/>
    <m/>
    <m/>
    <m/>
  </r>
  <r>
    <n v="1462"/>
    <x v="105"/>
    <d v="2025-06-07T00:00:00"/>
    <x v="0"/>
    <x v="2"/>
    <m/>
    <n v="2785"/>
    <s v="Bank Transfer"/>
    <s v="2025-06"/>
    <d v="2025-06-17T00:00:00"/>
    <x v="0"/>
    <m/>
    <m/>
    <m/>
    <m/>
  </r>
  <r>
    <n v="1424"/>
    <x v="44"/>
    <d v="2024-04-13T00:00:00"/>
    <x v="1"/>
    <x v="3"/>
    <m/>
    <n v="4930"/>
    <s v="Cash"/>
    <s v="2024-04"/>
    <d v="2025-04-26T00:00:00"/>
    <x v="0"/>
    <m/>
    <m/>
    <m/>
    <m/>
  </r>
  <r>
    <n v="1184"/>
    <x v="70"/>
    <d v="2024-09-27T00:00:00"/>
    <x v="3"/>
    <x v="4"/>
    <m/>
    <n v="4551"/>
    <s v="Cheque"/>
    <s v="2024-09"/>
    <d v="2025-05-26T00:00:00"/>
    <x v="0"/>
    <m/>
    <m/>
    <m/>
    <m/>
  </r>
  <r>
    <n v="1439"/>
    <x v="95"/>
    <d v="2024-11-30T00:00:00"/>
    <x v="0"/>
    <x v="3"/>
    <m/>
    <n v="833"/>
    <s v="UPI"/>
    <s v="2024-11"/>
    <d v="2025-06-08T00:00:00"/>
    <x v="0"/>
    <m/>
    <m/>
    <m/>
    <m/>
  </r>
  <r>
    <n v="759"/>
    <x v="52"/>
    <d v="2024-11-16T00:00:00"/>
    <x v="2"/>
    <x v="4"/>
    <m/>
    <n v="584"/>
    <s v="Cash"/>
    <s v="2024-11"/>
    <d v="2025-04-04T00:00:00"/>
    <x v="0"/>
    <m/>
    <m/>
    <m/>
    <m/>
  </r>
  <r>
    <n v="682"/>
    <x v="53"/>
    <d v="2025-05-21T00:00:00"/>
    <x v="0"/>
    <x v="5"/>
    <m/>
    <n v="9941"/>
    <s v="Cash"/>
    <s v="2025-05"/>
    <d v="2025-06-06T00:00:00"/>
    <x v="0"/>
    <m/>
    <m/>
    <m/>
    <m/>
  </r>
  <r>
    <n v="1654"/>
    <x v="45"/>
    <d v="2025-02-16T00:00:00"/>
    <x v="0"/>
    <x v="3"/>
    <m/>
    <n v="2965"/>
    <s v="Cheque"/>
    <s v="2025-02"/>
    <d v="2025-06-18T00:00:00"/>
    <x v="0"/>
    <m/>
    <m/>
    <m/>
    <m/>
  </r>
  <r>
    <n v="49"/>
    <x v="93"/>
    <d v="2024-03-23T00:00:00"/>
    <x v="4"/>
    <x v="4"/>
    <m/>
    <n v="808"/>
    <s v="Credit Card"/>
    <s v="2024-03"/>
    <d v="2025-06-16T00:00:00"/>
    <x v="0"/>
    <m/>
    <m/>
    <m/>
    <m/>
  </r>
  <r>
    <n v="1079"/>
    <x v="2"/>
    <d v="2024-07-01T00:00:00"/>
    <x v="0"/>
    <x v="2"/>
    <m/>
    <n v="2613"/>
    <s v="Cheque"/>
    <s v="2024-07"/>
    <d v="2025-06-10T00:00:00"/>
    <x v="0"/>
    <m/>
    <m/>
    <m/>
    <m/>
  </r>
  <r>
    <n v="468"/>
    <x v="61"/>
    <d v="2025-05-18T00:00:00"/>
    <x v="2"/>
    <x v="1"/>
    <m/>
    <n v="472"/>
    <s v="Cash"/>
    <s v="2025-05"/>
    <d v="2025-05-18T00:00:00"/>
    <x v="0"/>
    <m/>
    <m/>
    <m/>
    <m/>
  </r>
  <r>
    <n v="154"/>
    <x v="39"/>
    <d v="2024-12-01T00:00:00"/>
    <x v="1"/>
    <x v="5"/>
    <m/>
    <n v="312"/>
    <s v="Cash"/>
    <s v="2024-12"/>
    <d v="2025-06-22T00:00:00"/>
    <x v="0"/>
    <m/>
    <m/>
    <m/>
    <m/>
  </r>
  <r>
    <n v="1691"/>
    <x v="13"/>
    <d v="2024-10-07T00:00:00"/>
    <x v="5"/>
    <x v="0"/>
    <m/>
    <n v="729"/>
    <s v="Cash"/>
    <s v="2024-10"/>
    <d v="2025-05-11T00:00:00"/>
    <x v="0"/>
    <m/>
    <m/>
    <m/>
    <m/>
  </r>
  <r>
    <n v="395"/>
    <x v="34"/>
    <d v="2024-11-09T00:00:00"/>
    <x v="3"/>
    <x v="4"/>
    <m/>
    <n v="5615"/>
    <s v="Cash"/>
    <s v="2024-11"/>
    <d v="2025-05-16T00:00:00"/>
    <x v="0"/>
    <m/>
    <m/>
    <m/>
    <m/>
  </r>
  <r>
    <n v="124"/>
    <x v="114"/>
    <d v="2024-03-31T00:00:00"/>
    <x v="2"/>
    <x v="4"/>
    <m/>
    <n v="777"/>
    <s v="Cheque"/>
    <s v="2024-03"/>
    <d v="2025-05-08T00:00:00"/>
    <x v="0"/>
    <m/>
    <m/>
    <m/>
    <m/>
  </r>
  <r>
    <n v="356"/>
    <x v="96"/>
    <d v="2024-12-16T00:00:00"/>
    <x v="2"/>
    <x v="1"/>
    <m/>
    <n v="889"/>
    <s v="Bank Transfer"/>
    <s v="2024-12"/>
    <d v="2025-06-07T00:00:00"/>
    <x v="0"/>
    <m/>
    <m/>
    <m/>
    <m/>
  </r>
  <r>
    <n v="135"/>
    <x v="101"/>
    <d v="2025-06-23T00:00:00"/>
    <x v="0"/>
    <x v="0"/>
    <m/>
    <n v="4036"/>
    <s v="Bank Transfer"/>
    <s v="2025-06"/>
    <d v="2025-06-23T00:00:00"/>
    <x v="0"/>
    <m/>
    <m/>
    <m/>
    <m/>
  </r>
  <r>
    <n v="269"/>
    <x v="20"/>
    <d v="2025-02-25T00:00:00"/>
    <x v="0"/>
    <x v="4"/>
    <m/>
    <n v="1159"/>
    <s v="Credit Card"/>
    <s v="2025-02"/>
    <d v="2025-06-07T00:00:00"/>
    <x v="0"/>
    <m/>
    <m/>
    <m/>
    <m/>
  </r>
  <r>
    <n v="386"/>
    <x v="62"/>
    <d v="2024-04-16T00:00:00"/>
    <x v="3"/>
    <x v="2"/>
    <m/>
    <n v="794"/>
    <s v="UPI"/>
    <s v="2024-04"/>
    <d v="2025-06-06T00:00:00"/>
    <x v="0"/>
    <m/>
    <m/>
    <m/>
    <m/>
  </r>
  <r>
    <n v="610"/>
    <x v="109"/>
    <d v="2024-04-29T00:00:00"/>
    <x v="2"/>
    <x v="1"/>
    <m/>
    <n v="1957"/>
    <s v="UPI"/>
    <s v="2024-04"/>
    <d v="2025-05-15T00:00:00"/>
    <x v="0"/>
    <m/>
    <m/>
    <m/>
    <m/>
  </r>
  <r>
    <n v="221"/>
    <x v="21"/>
    <d v="2024-07-02T00:00:00"/>
    <x v="2"/>
    <x v="0"/>
    <m/>
    <n v="1345"/>
    <s v="Cheque"/>
    <s v="2024-07"/>
    <d v="2025-06-03T00:00:00"/>
    <x v="0"/>
    <m/>
    <m/>
    <m/>
    <m/>
  </r>
  <r>
    <n v="42"/>
    <x v="56"/>
    <d v="2024-01-01T00:00:00"/>
    <x v="1"/>
    <x v="4"/>
    <m/>
    <n v="836"/>
    <s v="Cheque"/>
    <s v="2024-01"/>
    <d v="2025-04-25T00:00:00"/>
    <x v="0"/>
    <m/>
    <m/>
    <m/>
    <m/>
  </r>
  <r>
    <n v="220"/>
    <x v="107"/>
    <d v="2025-02-25T00:00:00"/>
    <x v="2"/>
    <x v="0"/>
    <m/>
    <n v="2536"/>
    <s v="Bank Transfer"/>
    <s v="2025-02"/>
    <d v="2025-04-12T00:00:00"/>
    <x v="0"/>
    <m/>
    <m/>
    <m/>
    <m/>
  </r>
  <r>
    <n v="598"/>
    <x v="27"/>
    <d v="2024-04-26T00:00:00"/>
    <x v="0"/>
    <x v="2"/>
    <m/>
    <n v="2203"/>
    <s v="Credit Card"/>
    <s v="2024-04"/>
    <d v="2025-05-13T00:00:00"/>
    <x v="0"/>
    <m/>
    <m/>
    <m/>
    <m/>
  </r>
  <r>
    <n v="1273"/>
    <x v="110"/>
    <d v="2024-11-09T00:00:00"/>
    <x v="1"/>
    <x v="2"/>
    <m/>
    <n v="506"/>
    <s v="UPI"/>
    <s v="2024-11"/>
    <d v="2025-06-20T00:00:00"/>
    <x v="0"/>
    <m/>
    <m/>
    <m/>
    <m/>
  </r>
  <r>
    <n v="1174"/>
    <x v="35"/>
    <d v="2025-06-13T00:00:00"/>
    <x v="0"/>
    <x v="0"/>
    <m/>
    <n v="1783"/>
    <s v="Credit Card"/>
    <s v="2025-06"/>
    <d v="2025-06-13T00:00:00"/>
    <x v="0"/>
    <m/>
    <m/>
    <m/>
    <m/>
  </r>
  <r>
    <n v="931"/>
    <x v="32"/>
    <d v="2024-04-05T00:00:00"/>
    <x v="4"/>
    <x v="4"/>
    <m/>
    <n v="1661"/>
    <s v="Credit Card"/>
    <s v="2024-04"/>
    <d v="2025-05-07T00:00:00"/>
    <x v="0"/>
    <m/>
    <m/>
    <m/>
    <m/>
  </r>
  <r>
    <n v="1718"/>
    <x v="37"/>
    <d v="2024-08-05T00:00:00"/>
    <x v="4"/>
    <x v="3"/>
    <m/>
    <n v="0"/>
    <s v="UPI"/>
    <s v="2024-08"/>
    <d v="2025-06-21T00:00:00"/>
    <x v="0"/>
    <m/>
    <m/>
    <m/>
    <m/>
  </r>
  <r>
    <n v="684"/>
    <x v="71"/>
    <d v="2024-01-05T00:00:00"/>
    <x v="3"/>
    <x v="4"/>
    <m/>
    <n v="876"/>
    <s v="Credit Card"/>
    <s v="2024-01"/>
    <d v="2025-05-16T00:00:00"/>
    <x v="0"/>
    <m/>
    <m/>
    <m/>
    <m/>
  </r>
  <r>
    <n v="542"/>
    <x v="35"/>
    <d v="2025-06-06T00:00:00"/>
    <x v="4"/>
    <x v="5"/>
    <m/>
    <n v="474"/>
    <s v="Cheque"/>
    <s v="2025-06"/>
    <d v="2025-06-13T00:00:00"/>
    <x v="0"/>
    <m/>
    <m/>
    <m/>
    <m/>
  </r>
  <r>
    <n v="868"/>
    <x v="107"/>
    <d v="2024-09-22T00:00:00"/>
    <x v="3"/>
    <x v="2"/>
    <m/>
    <n v="1595"/>
    <s v="Credit Card"/>
    <s v="2024-09"/>
    <d v="2025-04-12T00:00:00"/>
    <x v="0"/>
    <m/>
    <m/>
    <m/>
    <m/>
  </r>
  <r>
    <n v="1690"/>
    <x v="42"/>
    <d v="2024-11-04T00:00:00"/>
    <x v="4"/>
    <x v="5"/>
    <m/>
    <n v="11885"/>
    <s v="Bank Transfer"/>
    <s v="2024-11"/>
    <d v="2025-05-08T00:00:00"/>
    <x v="0"/>
    <m/>
    <m/>
    <m/>
    <m/>
  </r>
  <r>
    <n v="842"/>
    <x v="65"/>
    <d v="2025-01-24T00:00:00"/>
    <x v="2"/>
    <x v="5"/>
    <m/>
    <n v="518"/>
    <s v="Credit Card"/>
    <s v="2025-01"/>
    <d v="2025-06-18T00:00:00"/>
    <x v="0"/>
    <m/>
    <m/>
    <m/>
    <m/>
  </r>
  <r>
    <n v="1697"/>
    <x v="101"/>
    <d v="2024-04-12T00:00:00"/>
    <x v="1"/>
    <x v="0"/>
    <m/>
    <n v="0"/>
    <s v="Cheque"/>
    <s v="2024-04"/>
    <d v="2025-06-23T00:00:00"/>
    <x v="0"/>
    <m/>
    <m/>
    <m/>
    <m/>
  </r>
  <r>
    <n v="1737"/>
    <x v="83"/>
    <d v="2024-05-24T00:00:00"/>
    <x v="1"/>
    <x v="1"/>
    <m/>
    <n v="542"/>
    <s v="UPI"/>
    <s v="2024-05"/>
    <d v="2025-02-02T00:00:00"/>
    <x v="1"/>
    <m/>
    <m/>
    <m/>
    <m/>
  </r>
  <r>
    <n v="906"/>
    <x v="19"/>
    <d v="2024-04-12T00:00:00"/>
    <x v="0"/>
    <x v="3"/>
    <m/>
    <n v="1131"/>
    <s v="UPI"/>
    <s v="2024-04"/>
    <d v="2025-06-19T00:00:00"/>
    <x v="0"/>
    <m/>
    <m/>
    <m/>
    <m/>
  </r>
  <r>
    <n v="1173"/>
    <x v="67"/>
    <d v="2025-01-28T00:00:00"/>
    <x v="4"/>
    <x v="3"/>
    <m/>
    <n v="2067"/>
    <s v="Credit Card"/>
    <s v="2025-01"/>
    <d v="2025-06-21T00:00:00"/>
    <x v="0"/>
    <m/>
    <m/>
    <m/>
    <m/>
  </r>
  <r>
    <n v="1662"/>
    <x v="21"/>
    <d v="2024-06-24T00:00:00"/>
    <x v="2"/>
    <x v="1"/>
    <m/>
    <n v="568"/>
    <s v="UPI"/>
    <s v="2024-06"/>
    <d v="2025-06-03T00:00:00"/>
    <x v="0"/>
    <m/>
    <m/>
    <m/>
    <m/>
  </r>
  <r>
    <n v="1507"/>
    <x v="94"/>
    <d v="2025-02-08T00:00:00"/>
    <x v="3"/>
    <x v="2"/>
    <m/>
    <n v="1232"/>
    <s v="Credit Card"/>
    <s v="2025-02"/>
    <d v="2025-04-05T00:00:00"/>
    <x v="0"/>
    <m/>
    <m/>
    <m/>
    <m/>
  </r>
  <r>
    <n v="1396"/>
    <x v="78"/>
    <d v="2024-10-25T00:00:00"/>
    <x v="4"/>
    <x v="4"/>
    <m/>
    <n v="4366"/>
    <s v="Cash"/>
    <s v="2024-10"/>
    <d v="2025-06-02T00:00:00"/>
    <x v="0"/>
    <m/>
    <m/>
    <m/>
    <m/>
  </r>
  <r>
    <n v="1629"/>
    <x v="108"/>
    <d v="2024-06-20T00:00:00"/>
    <x v="3"/>
    <x v="2"/>
    <m/>
    <n v="5328"/>
    <s v="UPI"/>
    <s v="2024-06"/>
    <d v="2025-06-14T00:00:00"/>
    <x v="0"/>
    <m/>
    <m/>
    <m/>
    <m/>
  </r>
  <r>
    <n v="1281"/>
    <x v="37"/>
    <d v="2024-12-01T00:00:00"/>
    <x v="1"/>
    <x v="2"/>
    <m/>
    <n v="685"/>
    <s v="Bank Transfer"/>
    <s v="2024-12"/>
    <d v="2025-06-21T00:00:00"/>
    <x v="0"/>
    <m/>
    <m/>
    <m/>
    <m/>
  </r>
  <r>
    <n v="1644"/>
    <x v="110"/>
    <d v="2025-02-19T00:00:00"/>
    <x v="3"/>
    <x v="2"/>
    <m/>
    <n v="284"/>
    <s v="Bank Transfer"/>
    <s v="2025-02"/>
    <d v="2025-06-20T00:00:00"/>
    <x v="0"/>
    <m/>
    <m/>
    <m/>
    <m/>
  </r>
  <r>
    <n v="1791"/>
    <x v="66"/>
    <d v="2024-01-30T00:00:00"/>
    <x v="4"/>
    <x v="2"/>
    <m/>
    <n v="11285"/>
    <s v="UPI"/>
    <s v="2024-01"/>
    <d v="2025-06-21T00:00:00"/>
    <x v="0"/>
    <m/>
    <m/>
    <m/>
    <m/>
  </r>
  <r>
    <n v="861"/>
    <x v="95"/>
    <d v="2024-08-09T00:00:00"/>
    <x v="1"/>
    <x v="5"/>
    <m/>
    <n v="1637"/>
    <s v="Cash"/>
    <s v="2024-08"/>
    <d v="2025-06-08T00:00:00"/>
    <x v="0"/>
    <m/>
    <m/>
    <m/>
    <m/>
  </r>
  <r>
    <n v="337"/>
    <x v="98"/>
    <d v="2024-07-13T00:00:00"/>
    <x v="4"/>
    <x v="2"/>
    <m/>
    <n v="10553"/>
    <s v="Cash"/>
    <s v="2024-07"/>
    <d v="2025-05-05T00:00:00"/>
    <x v="0"/>
    <m/>
    <m/>
    <m/>
    <m/>
  </r>
  <r>
    <n v="233"/>
    <x v="37"/>
    <d v="2025-01-24T00:00:00"/>
    <x v="4"/>
    <x v="5"/>
    <m/>
    <n v="2268"/>
    <s v="Credit Card"/>
    <s v="2025-01"/>
    <d v="2025-06-21T00:00:00"/>
    <x v="0"/>
    <m/>
    <m/>
    <m/>
    <m/>
  </r>
  <r>
    <n v="1178"/>
    <x v="80"/>
    <d v="2024-03-22T00:00:00"/>
    <x v="2"/>
    <x v="1"/>
    <m/>
    <n v="8992"/>
    <s v="Bank Transfer"/>
    <s v="2024-03"/>
    <d v="2025-02-25T00:00:00"/>
    <x v="1"/>
    <m/>
    <m/>
    <m/>
    <m/>
  </r>
  <r>
    <n v="1500"/>
    <x v="83"/>
    <d v="2024-07-21T00:00:00"/>
    <x v="1"/>
    <x v="1"/>
    <m/>
    <n v="532"/>
    <s v="Credit Card"/>
    <s v="2024-07"/>
    <d v="2025-02-02T00:00:00"/>
    <x v="1"/>
    <m/>
    <m/>
    <m/>
    <m/>
  </r>
  <r>
    <n v="996"/>
    <x v="10"/>
    <d v="2025-05-17T00:00:00"/>
    <x v="1"/>
    <x v="0"/>
    <m/>
    <n v="2663"/>
    <s v="Bank Transfer"/>
    <s v="2025-05"/>
    <d v="2025-05-17T00:00:00"/>
    <x v="0"/>
    <m/>
    <m/>
    <m/>
    <m/>
  </r>
  <r>
    <n v="469"/>
    <x v="119"/>
    <d v="2024-02-11T00:00:00"/>
    <x v="2"/>
    <x v="5"/>
    <m/>
    <n v="1178"/>
    <s v="Cheque"/>
    <s v="2024-02"/>
    <d v="2025-06-19T00:00:00"/>
    <x v="0"/>
    <m/>
    <m/>
    <m/>
    <m/>
  </r>
  <r>
    <n v="706"/>
    <x v="28"/>
    <d v="2025-01-03T00:00:00"/>
    <x v="0"/>
    <x v="4"/>
    <m/>
    <n v="1826"/>
    <s v="UPI"/>
    <s v="2025-01"/>
    <d v="2025-04-29T00:00:00"/>
    <x v="0"/>
    <m/>
    <m/>
    <m/>
    <m/>
  </r>
  <r>
    <n v="1042"/>
    <x v="31"/>
    <d v="2025-02-24T00:00:00"/>
    <x v="3"/>
    <x v="1"/>
    <m/>
    <n v="2078"/>
    <s v="Credit Card"/>
    <s v="2025-02"/>
    <d v="2025-05-16T00:00:00"/>
    <x v="0"/>
    <m/>
    <m/>
    <m/>
    <m/>
  </r>
  <r>
    <n v="870"/>
    <x v="58"/>
    <d v="2025-03-14T00:00:00"/>
    <x v="4"/>
    <x v="5"/>
    <m/>
    <n v="1179"/>
    <s v="Cash"/>
    <s v="2025-03"/>
    <d v="2025-06-15T00:00:00"/>
    <x v="0"/>
    <m/>
    <m/>
    <m/>
    <m/>
  </r>
  <r>
    <n v="1090"/>
    <x v="26"/>
    <d v="2024-03-27T00:00:00"/>
    <x v="2"/>
    <x v="0"/>
    <m/>
    <n v="606"/>
    <s v="Cheque"/>
    <s v="2024-03"/>
    <d v="2025-06-01T00:00:00"/>
    <x v="0"/>
    <m/>
    <m/>
    <m/>
    <m/>
  </r>
  <r>
    <n v="586"/>
    <x v="70"/>
    <d v="2025-02-26T00:00:00"/>
    <x v="4"/>
    <x v="1"/>
    <m/>
    <n v="1659"/>
    <s v="Cheque"/>
    <s v="2025-02"/>
    <d v="2025-05-26T00:00:00"/>
    <x v="0"/>
    <m/>
    <m/>
    <m/>
    <m/>
  </r>
  <r>
    <n v="206"/>
    <x v="35"/>
    <d v="2024-02-15T00:00:00"/>
    <x v="0"/>
    <x v="4"/>
    <m/>
    <n v="8869"/>
    <s v="UPI"/>
    <s v="2024-02"/>
    <d v="2025-06-13T00:00:00"/>
    <x v="0"/>
    <m/>
    <m/>
    <m/>
    <m/>
  </r>
  <r>
    <n v="4"/>
    <x v="55"/>
    <d v="2025-01-02T00:00:00"/>
    <x v="1"/>
    <x v="0"/>
    <m/>
    <n v="2807"/>
    <s v="Cash"/>
    <s v="2025-01"/>
    <d v="2025-06-22T00:00:00"/>
    <x v="0"/>
    <m/>
    <m/>
    <m/>
    <m/>
  </r>
  <r>
    <n v="894"/>
    <x v="81"/>
    <d v="2024-12-21T00:00:00"/>
    <x v="1"/>
    <x v="1"/>
    <m/>
    <n v="1164"/>
    <s v="UPI"/>
    <s v="2024-12"/>
    <d v="2025-06-20T00:00:00"/>
    <x v="0"/>
    <m/>
    <m/>
    <m/>
    <m/>
  </r>
  <r>
    <n v="733"/>
    <x v="48"/>
    <d v="2024-11-12T00:00:00"/>
    <x v="2"/>
    <x v="2"/>
    <m/>
    <n v="8341"/>
    <s v="Cheque"/>
    <s v="2024-11"/>
    <d v="2025-04-13T00:00:00"/>
    <x v="0"/>
    <m/>
    <m/>
    <m/>
    <m/>
  </r>
  <r>
    <n v="1016"/>
    <x v="7"/>
    <d v="2024-09-23T00:00:00"/>
    <x v="3"/>
    <x v="2"/>
    <m/>
    <n v="343"/>
    <s v="Cheque"/>
    <s v="2024-09"/>
    <d v="2025-06-11T00:00:00"/>
    <x v="0"/>
    <m/>
    <m/>
    <m/>
    <m/>
  </r>
  <r>
    <n v="1665"/>
    <x v="81"/>
    <d v="2025-02-12T00:00:00"/>
    <x v="1"/>
    <x v="5"/>
    <m/>
    <n v="8553"/>
    <s v="UPI"/>
    <s v="2025-02"/>
    <d v="2025-06-20T00:00:00"/>
    <x v="0"/>
    <m/>
    <m/>
    <m/>
    <m/>
  </r>
  <r>
    <n v="1726"/>
    <x v="20"/>
    <d v="2025-02-12T00:00:00"/>
    <x v="3"/>
    <x v="5"/>
    <m/>
    <n v="245"/>
    <s v="Cheque"/>
    <s v="2025-02"/>
    <d v="2025-06-07T00:00:00"/>
    <x v="0"/>
    <m/>
    <m/>
    <m/>
    <m/>
  </r>
  <r>
    <n v="694"/>
    <x v="14"/>
    <d v="2025-03-11T00:00:00"/>
    <x v="2"/>
    <x v="1"/>
    <m/>
    <n v="2355"/>
    <s v="Cheque"/>
    <s v="2025-03"/>
    <d v="2025-04-16T00:00:00"/>
    <x v="0"/>
    <m/>
    <m/>
    <m/>
    <m/>
  </r>
  <r>
    <n v="1545"/>
    <x v="81"/>
    <d v="2024-11-07T00:00:00"/>
    <x v="3"/>
    <x v="3"/>
    <m/>
    <n v="11941"/>
    <s v="Credit Card"/>
    <s v="2024-11"/>
    <d v="2025-06-20T00:00:00"/>
    <x v="0"/>
    <m/>
    <m/>
    <m/>
    <m/>
  </r>
  <r>
    <n v="1496"/>
    <x v="20"/>
    <d v="2024-08-30T00:00:00"/>
    <x v="2"/>
    <x v="3"/>
    <m/>
    <n v="2791"/>
    <s v="Cheque"/>
    <s v="2024-08"/>
    <d v="2025-06-07T00:00:00"/>
    <x v="0"/>
    <m/>
    <m/>
    <m/>
    <m/>
  </r>
  <r>
    <n v="1747"/>
    <x v="16"/>
    <d v="2025-04-30T00:00:00"/>
    <x v="1"/>
    <x v="0"/>
    <m/>
    <n v="885"/>
    <s v="UPI"/>
    <s v="2025-04"/>
    <d v="2025-05-28T00:00:00"/>
    <x v="0"/>
    <m/>
    <m/>
    <m/>
    <m/>
  </r>
  <r>
    <n v="1371"/>
    <x v="8"/>
    <d v="2025-03-14T00:00:00"/>
    <x v="3"/>
    <x v="1"/>
    <m/>
    <n v="536"/>
    <s v="UPI"/>
    <s v="2025-03"/>
    <d v="2025-05-11T00:00:00"/>
    <x v="0"/>
    <m/>
    <m/>
    <m/>
    <m/>
  </r>
  <r>
    <n v="814"/>
    <x v="62"/>
    <d v="2024-05-24T00:00:00"/>
    <x v="4"/>
    <x v="3"/>
    <m/>
    <n v="1556"/>
    <s v="Credit Card"/>
    <s v="2024-05"/>
    <d v="2025-06-06T00:00:00"/>
    <x v="0"/>
    <m/>
    <m/>
    <m/>
    <m/>
  </r>
  <r>
    <n v="1415"/>
    <x v="3"/>
    <d v="2024-04-13T00:00:00"/>
    <x v="4"/>
    <x v="0"/>
    <m/>
    <n v="1112"/>
    <s v="Cheque"/>
    <s v="2024-04"/>
    <d v="2025-06-15T00:00:00"/>
    <x v="0"/>
    <m/>
    <m/>
    <m/>
    <m/>
  </r>
  <r>
    <n v="987"/>
    <x v="77"/>
    <d v="2024-01-30T00:00:00"/>
    <x v="3"/>
    <x v="1"/>
    <m/>
    <n v="4531"/>
    <s v="Cheque"/>
    <s v="2024-01"/>
    <d v="2025-05-21T00:00:00"/>
    <x v="0"/>
    <m/>
    <m/>
    <m/>
    <m/>
  </r>
  <r>
    <n v="1091"/>
    <x v="76"/>
    <d v="2024-07-17T00:00:00"/>
    <x v="3"/>
    <x v="5"/>
    <m/>
    <n v="4850"/>
    <s v="UPI"/>
    <s v="2024-07"/>
    <d v="2025-03-18T00:00:00"/>
    <x v="1"/>
    <m/>
    <m/>
    <m/>
    <m/>
  </r>
  <r>
    <n v="1288"/>
    <x v="12"/>
    <d v="2024-02-09T00:00:00"/>
    <x v="2"/>
    <x v="2"/>
    <m/>
    <n v="1605"/>
    <s v="UPI"/>
    <s v="2024-02"/>
    <d v="2025-05-28T00:00:00"/>
    <x v="0"/>
    <m/>
    <m/>
    <m/>
    <m/>
  </r>
  <r>
    <n v="158"/>
    <x v="27"/>
    <d v="2024-11-17T00:00:00"/>
    <x v="1"/>
    <x v="4"/>
    <m/>
    <n v="810"/>
    <s v="Credit Card"/>
    <s v="2024-11"/>
    <d v="2025-05-13T00:00:00"/>
    <x v="0"/>
    <m/>
    <m/>
    <m/>
    <m/>
  </r>
  <r>
    <n v="880"/>
    <x v="21"/>
    <d v="2024-10-02T00:00:00"/>
    <x v="0"/>
    <x v="2"/>
    <m/>
    <n v="259"/>
    <s v="Bank Transfer"/>
    <s v="2024-10"/>
    <d v="2025-06-03T00:00:00"/>
    <x v="0"/>
    <m/>
    <m/>
    <m/>
    <m/>
  </r>
  <r>
    <n v="971"/>
    <x v="26"/>
    <d v="2024-09-08T00:00:00"/>
    <x v="4"/>
    <x v="2"/>
    <m/>
    <n v="0"/>
    <s v="Bank Transfer"/>
    <s v="2024-09"/>
    <d v="2025-06-01T00:00:00"/>
    <x v="0"/>
    <m/>
    <m/>
    <m/>
    <m/>
  </r>
  <r>
    <n v="463"/>
    <x v="15"/>
    <d v="2024-06-13T00:00:00"/>
    <x v="3"/>
    <x v="4"/>
    <m/>
    <n v="275"/>
    <s v="Bank Transfer"/>
    <s v="2024-06"/>
    <d v="2025-05-15T00:00:00"/>
    <x v="0"/>
    <m/>
    <m/>
    <m/>
    <m/>
  </r>
  <r>
    <n v="653"/>
    <x v="90"/>
    <d v="2024-10-01T00:00:00"/>
    <x v="3"/>
    <x v="0"/>
    <m/>
    <n v="880"/>
    <s v="UPI"/>
    <s v="2024-10"/>
    <d v="2025-06-19T00:00:00"/>
    <x v="0"/>
    <m/>
    <m/>
    <m/>
    <m/>
  </r>
  <r>
    <n v="161"/>
    <x v="28"/>
    <d v="2024-06-27T00:00:00"/>
    <x v="1"/>
    <x v="0"/>
    <m/>
    <n v="1697"/>
    <s v="Credit Card"/>
    <s v="2024-06"/>
    <d v="2025-04-29T00:00:00"/>
    <x v="0"/>
    <m/>
    <m/>
    <m/>
    <m/>
  </r>
  <r>
    <n v="306"/>
    <x v="27"/>
    <d v="2025-05-13T00:00:00"/>
    <x v="1"/>
    <x v="4"/>
    <m/>
    <n v="10774"/>
    <s v="Cheque"/>
    <s v="2025-05"/>
    <d v="2025-05-13T00:00:00"/>
    <x v="0"/>
    <m/>
    <m/>
    <m/>
    <m/>
  </r>
  <r>
    <n v="657"/>
    <x v="25"/>
    <d v="2024-02-13T00:00:00"/>
    <x v="0"/>
    <x v="3"/>
    <m/>
    <n v="572"/>
    <s v="UPI"/>
    <s v="2024-02"/>
    <d v="2025-03-24T00:00:00"/>
    <x v="1"/>
    <m/>
    <m/>
    <m/>
    <m/>
  </r>
  <r>
    <n v="548"/>
    <x v="2"/>
    <d v="2024-02-04T00:00:00"/>
    <x v="3"/>
    <x v="1"/>
    <m/>
    <n v="4226"/>
    <s v="Cash"/>
    <s v="2024-02"/>
    <d v="2025-06-10T00:00:00"/>
    <x v="0"/>
    <m/>
    <m/>
    <m/>
    <m/>
  </r>
  <r>
    <n v="714"/>
    <x v="13"/>
    <d v="2025-03-07T00:00:00"/>
    <x v="4"/>
    <x v="4"/>
    <m/>
    <n v="724"/>
    <s v="Cash"/>
    <s v="2025-03"/>
    <d v="2025-05-11T00:00:00"/>
    <x v="0"/>
    <m/>
    <m/>
    <m/>
    <m/>
  </r>
  <r>
    <n v="396"/>
    <x v="59"/>
    <d v="2025-03-22T00:00:00"/>
    <x v="1"/>
    <x v="4"/>
    <m/>
    <n v="5756"/>
    <s v="Cash"/>
    <s v="2025-03"/>
    <d v="2025-06-07T00:00:00"/>
    <x v="0"/>
    <m/>
    <m/>
    <m/>
    <m/>
  </r>
  <r>
    <n v="400"/>
    <x v="112"/>
    <d v="2024-06-18T00:00:00"/>
    <x v="3"/>
    <x v="4"/>
    <m/>
    <n v="259"/>
    <s v="Cheque"/>
    <s v="2024-06"/>
    <d v="2025-06-04T00:00:00"/>
    <x v="0"/>
    <m/>
    <m/>
    <m/>
    <m/>
  </r>
  <r>
    <n v="984"/>
    <x v="62"/>
    <d v="2024-12-14T00:00:00"/>
    <x v="3"/>
    <x v="0"/>
    <m/>
    <n v="11434"/>
    <s v="Bank Transfer"/>
    <s v="2024-12"/>
    <d v="2025-06-06T00:00:00"/>
    <x v="0"/>
    <m/>
    <m/>
    <m/>
    <m/>
  </r>
  <r>
    <n v="1391"/>
    <x v="103"/>
    <d v="2024-11-30T00:00:00"/>
    <x v="1"/>
    <x v="1"/>
    <m/>
    <n v="9951"/>
    <s v="Cheque"/>
    <s v="2024-11"/>
    <d v="2025-04-19T00:00:00"/>
    <x v="0"/>
    <m/>
    <m/>
    <m/>
    <m/>
  </r>
  <r>
    <n v="859"/>
    <x v="58"/>
    <d v="2024-02-17T00:00:00"/>
    <x v="1"/>
    <x v="2"/>
    <m/>
    <n v="9780"/>
    <s v="Cheque"/>
    <s v="2024-02"/>
    <d v="2025-06-15T00:00:00"/>
    <x v="0"/>
    <m/>
    <m/>
    <m/>
    <m/>
  </r>
  <r>
    <n v="1247"/>
    <x v="54"/>
    <d v="2024-06-21T00:00:00"/>
    <x v="2"/>
    <x v="3"/>
    <m/>
    <n v="2065"/>
    <s v="Cheque"/>
    <s v="2024-06"/>
    <d v="2025-02-10T00:00:00"/>
    <x v="1"/>
    <m/>
    <m/>
    <m/>
    <m/>
  </r>
  <r>
    <n v="1518"/>
    <x v="119"/>
    <d v="2025-01-19T00:00:00"/>
    <x v="2"/>
    <x v="0"/>
    <m/>
    <n v="525"/>
    <s v="UPI"/>
    <s v="2025-01"/>
    <d v="2025-06-19T00:00:00"/>
    <x v="0"/>
    <m/>
    <m/>
    <m/>
    <m/>
  </r>
  <r>
    <n v="791"/>
    <x v="102"/>
    <d v="2025-02-04T00:00:00"/>
    <x v="2"/>
    <x v="4"/>
    <m/>
    <n v="9674"/>
    <s v="UPI"/>
    <s v="2025-02"/>
    <d v="2025-04-05T00:00:00"/>
    <x v="0"/>
    <m/>
    <m/>
    <m/>
    <m/>
  </r>
  <r>
    <n v="460"/>
    <x v="82"/>
    <d v="2024-12-30T00:00:00"/>
    <x v="4"/>
    <x v="2"/>
    <m/>
    <n v="11166"/>
    <s v="Credit Card"/>
    <s v="2024-12"/>
    <d v="2025-06-21T00:00:00"/>
    <x v="0"/>
    <m/>
    <m/>
    <m/>
    <m/>
  </r>
  <r>
    <n v="63"/>
    <x v="34"/>
    <d v="2024-09-03T00:00:00"/>
    <x v="0"/>
    <x v="2"/>
    <m/>
    <n v="294"/>
    <s v="UPI"/>
    <s v="2024-09"/>
    <d v="2025-05-16T00:00:00"/>
    <x v="0"/>
    <m/>
    <m/>
    <m/>
    <m/>
  </r>
  <r>
    <n v="913"/>
    <x v="42"/>
    <d v="2024-09-28T00:00:00"/>
    <x v="2"/>
    <x v="3"/>
    <m/>
    <n v="1667"/>
    <s v="Credit Card"/>
    <s v="2024-09"/>
    <d v="2025-05-08T00:00:00"/>
    <x v="0"/>
    <m/>
    <m/>
    <m/>
    <m/>
  </r>
  <r>
    <n v="780"/>
    <x v="41"/>
    <d v="2025-02-22T00:00:00"/>
    <x v="0"/>
    <x v="5"/>
    <m/>
    <n v="2382"/>
    <s v="Credit Card"/>
    <s v="2025-02"/>
    <d v="2025-06-08T00:00:00"/>
    <x v="0"/>
    <m/>
    <m/>
    <m/>
    <m/>
  </r>
  <r>
    <n v="458"/>
    <x v="107"/>
    <d v="2024-11-28T00:00:00"/>
    <x v="4"/>
    <x v="5"/>
    <m/>
    <n v="958"/>
    <s v="Credit Card"/>
    <s v="2024-11"/>
    <d v="2025-04-12T00:00:00"/>
    <x v="0"/>
    <m/>
    <m/>
    <m/>
    <m/>
  </r>
  <r>
    <n v="1612"/>
    <x v="8"/>
    <d v="2024-11-08T00:00:00"/>
    <x v="2"/>
    <x v="3"/>
    <m/>
    <n v="821"/>
    <s v="UPI"/>
    <s v="2024-11"/>
    <d v="2025-05-11T00:00:00"/>
    <x v="0"/>
    <m/>
    <m/>
    <m/>
    <m/>
  </r>
  <r>
    <n v="479"/>
    <x v="78"/>
    <d v="2024-01-12T00:00:00"/>
    <x v="0"/>
    <x v="3"/>
    <m/>
    <n v="2524"/>
    <s v="Bank Transfer"/>
    <s v="2024-01"/>
    <d v="2025-06-02T00:00:00"/>
    <x v="0"/>
    <m/>
    <m/>
    <m/>
    <m/>
  </r>
  <r>
    <n v="1369"/>
    <x v="113"/>
    <d v="2024-08-02T00:00:00"/>
    <x v="2"/>
    <x v="4"/>
    <m/>
    <n v="403"/>
    <s v="Bank Transfer"/>
    <s v="2024-08"/>
    <d v="2025-03-27T00:00:00"/>
    <x v="0"/>
    <m/>
    <m/>
    <m/>
    <m/>
  </r>
  <r>
    <n v="1343"/>
    <x v="86"/>
    <d v="2024-04-01T00:00:00"/>
    <x v="4"/>
    <x v="1"/>
    <m/>
    <n v="1269"/>
    <s v="Bank Transfer"/>
    <s v="2024-04"/>
    <d v="2025-06-15T00:00:00"/>
    <x v="0"/>
    <m/>
    <m/>
    <m/>
    <m/>
  </r>
  <r>
    <n v="618"/>
    <x v="60"/>
    <d v="2024-09-07T00:00:00"/>
    <x v="2"/>
    <x v="5"/>
    <m/>
    <n v="359"/>
    <s v="UPI"/>
    <s v="2024-09"/>
    <d v="2025-05-26T00:00:00"/>
    <x v="0"/>
    <m/>
    <m/>
    <m/>
    <m/>
  </r>
  <r>
    <n v="1676"/>
    <x v="66"/>
    <d v="2024-05-20T00:00:00"/>
    <x v="0"/>
    <x v="1"/>
    <m/>
    <n v="1794"/>
    <s v="Cheque"/>
    <s v="2024-05"/>
    <d v="2025-06-21T00:00:00"/>
    <x v="0"/>
    <m/>
    <m/>
    <m/>
    <m/>
  </r>
  <r>
    <n v="1197"/>
    <x v="96"/>
    <d v="2024-08-07T00:00:00"/>
    <x v="1"/>
    <x v="1"/>
    <m/>
    <n v="1969"/>
    <s v="Bank Transfer"/>
    <s v="2024-08"/>
    <d v="2025-06-07T00:00:00"/>
    <x v="0"/>
    <m/>
    <m/>
    <m/>
    <m/>
  </r>
  <r>
    <n v="1289"/>
    <x v="106"/>
    <d v="2024-08-17T00:00:00"/>
    <x v="2"/>
    <x v="0"/>
    <m/>
    <n v="8296"/>
    <s v="Cash"/>
    <s v="2024-08"/>
    <d v="2025-06-20T00:00:00"/>
    <x v="0"/>
    <m/>
    <m/>
    <m/>
    <m/>
  </r>
  <r>
    <n v="1470"/>
    <x v="86"/>
    <d v="2024-09-21T00:00:00"/>
    <x v="0"/>
    <x v="4"/>
    <m/>
    <n v="2340"/>
    <s v="Cash"/>
    <s v="2024-09"/>
    <d v="2025-06-15T00:00:00"/>
    <x v="0"/>
    <m/>
    <m/>
    <m/>
    <m/>
  </r>
  <r>
    <n v="348"/>
    <x v="19"/>
    <d v="2024-02-08T00:00:00"/>
    <x v="1"/>
    <x v="0"/>
    <m/>
    <n v="0"/>
    <s v="UPI"/>
    <s v="2024-02"/>
    <d v="2025-06-19T00:00:00"/>
    <x v="0"/>
    <m/>
    <m/>
    <m/>
    <m/>
  </r>
  <r>
    <n v="818"/>
    <x v="109"/>
    <d v="2025-04-19T00:00:00"/>
    <x v="0"/>
    <x v="5"/>
    <m/>
    <n v="769"/>
    <s v="Cash"/>
    <s v="2025-04"/>
    <d v="2025-05-15T00:00:00"/>
    <x v="0"/>
    <m/>
    <m/>
    <m/>
    <m/>
  </r>
  <r>
    <n v="1088"/>
    <x v="112"/>
    <d v="2024-01-21T00:00:00"/>
    <x v="3"/>
    <x v="3"/>
    <m/>
    <n v="9592"/>
    <s v="Cash"/>
    <s v="2024-01"/>
    <d v="2025-06-04T00:00:00"/>
    <x v="0"/>
    <m/>
    <m/>
    <m/>
    <m/>
  </r>
  <r>
    <n v="766"/>
    <x v="78"/>
    <d v="2024-07-24T00:00:00"/>
    <x v="4"/>
    <x v="3"/>
    <m/>
    <n v="4379"/>
    <s v="Cash"/>
    <s v="2024-07"/>
    <d v="2025-06-02T00:00:00"/>
    <x v="0"/>
    <m/>
    <m/>
    <m/>
    <m/>
  </r>
  <r>
    <n v="447"/>
    <x v="71"/>
    <d v="2025-03-21T00:00:00"/>
    <x v="3"/>
    <x v="5"/>
    <m/>
    <n v="4963"/>
    <s v="Credit Card"/>
    <s v="2025-03"/>
    <d v="2025-05-16T00:00:00"/>
    <x v="0"/>
    <m/>
    <m/>
    <m/>
    <m/>
  </r>
  <r>
    <n v="651"/>
    <x v="27"/>
    <d v="2024-03-19T00:00:00"/>
    <x v="1"/>
    <x v="0"/>
    <m/>
    <n v="2433"/>
    <s v="Cheque"/>
    <s v="2024-03"/>
    <d v="2025-05-13T00:00:00"/>
    <x v="0"/>
    <m/>
    <m/>
    <m/>
    <m/>
  </r>
  <r>
    <n v="1123"/>
    <x v="66"/>
    <d v="2025-03-26T00:00:00"/>
    <x v="2"/>
    <x v="1"/>
    <m/>
    <n v="5157"/>
    <s v="Bank Transfer"/>
    <s v="2025-03"/>
    <d v="2025-06-21T00:00:00"/>
    <x v="0"/>
    <m/>
    <m/>
    <m/>
    <m/>
  </r>
  <r>
    <n v="1624"/>
    <x v="6"/>
    <d v="2024-05-13T00:00:00"/>
    <x v="2"/>
    <x v="2"/>
    <m/>
    <n v="854"/>
    <s v="Bank Transfer"/>
    <s v="2024-05"/>
    <d v="2025-05-31T00:00:00"/>
    <x v="0"/>
    <m/>
    <m/>
    <m/>
    <m/>
  </r>
  <r>
    <n v="380"/>
    <x v="23"/>
    <d v="2024-11-26T00:00:00"/>
    <x v="2"/>
    <x v="2"/>
    <m/>
    <n v="2491"/>
    <s v="Cheque"/>
    <s v="2024-11"/>
    <d v="2025-06-21T00:00:00"/>
    <x v="0"/>
    <m/>
    <m/>
    <m/>
    <m/>
  </r>
  <r>
    <n v="565"/>
    <x v="92"/>
    <d v="2024-03-12T00:00:00"/>
    <x v="4"/>
    <x v="0"/>
    <m/>
    <n v="654"/>
    <s v="Cash"/>
    <s v="2024-03"/>
    <d v="2025-04-20T00:00:00"/>
    <x v="0"/>
    <m/>
    <m/>
    <m/>
    <m/>
  </r>
  <r>
    <n v="1572"/>
    <x v="97"/>
    <d v="2025-04-26T00:00:00"/>
    <x v="5"/>
    <x v="4"/>
    <m/>
    <n v="329"/>
    <s v="Cash"/>
    <s v="2025-04"/>
    <d v="2025-06-13T00:00:00"/>
    <x v="0"/>
    <m/>
    <m/>
    <m/>
    <m/>
  </r>
  <r>
    <n v="1451"/>
    <x v="45"/>
    <d v="2024-07-03T00:00:00"/>
    <x v="2"/>
    <x v="3"/>
    <m/>
    <n v="5423"/>
    <s v="Cheque"/>
    <s v="2024-07"/>
    <d v="2025-06-18T00:00:00"/>
    <x v="0"/>
    <m/>
    <m/>
    <m/>
    <m/>
  </r>
  <r>
    <n v="1730"/>
    <x v="0"/>
    <d v="2025-01-21T00:00:00"/>
    <x v="3"/>
    <x v="4"/>
    <m/>
    <n v="1213"/>
    <s v="UPI"/>
    <s v="2025-01"/>
    <d v="2025-05-08T00:00:00"/>
    <x v="0"/>
    <m/>
    <m/>
    <m/>
    <m/>
  </r>
  <r>
    <n v="1349"/>
    <x v="62"/>
    <d v="2025-02-19T00:00:00"/>
    <x v="4"/>
    <x v="3"/>
    <m/>
    <n v="477"/>
    <s v="UPI"/>
    <s v="2025-02"/>
    <d v="2025-06-06T00:00:00"/>
    <x v="0"/>
    <m/>
    <m/>
    <m/>
    <m/>
  </r>
  <r>
    <n v="232"/>
    <x v="107"/>
    <d v="2025-01-29T00:00:00"/>
    <x v="1"/>
    <x v="1"/>
    <m/>
    <n v="834"/>
    <s v="Cheque"/>
    <s v="2025-01"/>
    <d v="2025-04-12T00:00:00"/>
    <x v="0"/>
    <m/>
    <m/>
    <m/>
    <m/>
  </r>
  <r>
    <n v="1639"/>
    <x v="12"/>
    <d v="2024-05-01T00:00:00"/>
    <x v="1"/>
    <x v="4"/>
    <m/>
    <n v="881"/>
    <s v="Cheque"/>
    <s v="2024-05"/>
    <d v="2025-05-28T00:00:00"/>
    <x v="0"/>
    <m/>
    <m/>
    <m/>
    <m/>
  </r>
  <r>
    <n v="383"/>
    <x v="73"/>
    <d v="2025-04-01T00:00:00"/>
    <x v="3"/>
    <x v="0"/>
    <m/>
    <n v="2367"/>
    <s v="Bank Transfer"/>
    <s v="2025-04"/>
    <d v="2025-05-17T00:00:00"/>
    <x v="0"/>
    <m/>
    <m/>
    <m/>
    <m/>
  </r>
  <r>
    <n v="1618"/>
    <x v="10"/>
    <d v="2024-08-07T00:00:00"/>
    <x v="0"/>
    <x v="4"/>
    <m/>
    <n v="1093"/>
    <s v="Bank Transfer"/>
    <s v="2024-08"/>
    <d v="2025-05-17T00:00:00"/>
    <x v="0"/>
    <m/>
    <m/>
    <m/>
    <m/>
  </r>
  <r>
    <n v="1085"/>
    <x v="20"/>
    <d v="2024-04-22T00:00:00"/>
    <x v="3"/>
    <x v="5"/>
    <m/>
    <n v="1563"/>
    <s v="UPI"/>
    <s v="2024-04"/>
    <d v="2025-06-07T00:00:00"/>
    <x v="0"/>
    <m/>
    <m/>
    <m/>
    <m/>
  </r>
  <r>
    <n v="73"/>
    <x v="74"/>
    <d v="2024-07-21T00:00:00"/>
    <x v="2"/>
    <x v="0"/>
    <m/>
    <n v="2118"/>
    <s v="Bank Transfer"/>
    <s v="2024-07"/>
    <d v="2025-05-11T00:00:00"/>
    <x v="0"/>
    <m/>
    <m/>
    <m/>
    <m/>
  </r>
  <r>
    <n v="71"/>
    <x v="111"/>
    <d v="2024-07-31T00:00:00"/>
    <x v="4"/>
    <x v="5"/>
    <m/>
    <n v="863"/>
    <s v="Credit Card"/>
    <s v="2024-07"/>
    <d v="2025-06-07T00:00:00"/>
    <x v="0"/>
    <m/>
    <m/>
    <m/>
    <m/>
  </r>
  <r>
    <n v="978"/>
    <x v="60"/>
    <d v="2024-04-15T00:00:00"/>
    <x v="4"/>
    <x v="3"/>
    <m/>
    <n v="428"/>
    <s v="Bank Transfer"/>
    <s v="2024-04"/>
    <d v="2025-05-26T00:00:00"/>
    <x v="0"/>
    <m/>
    <m/>
    <m/>
    <m/>
  </r>
  <r>
    <n v="834"/>
    <x v="39"/>
    <d v="2025-02-27T00:00:00"/>
    <x v="4"/>
    <x v="3"/>
    <m/>
    <n v="4033"/>
    <s v="Bank Transfer"/>
    <s v="2025-02"/>
    <d v="2025-06-22T00:00:00"/>
    <x v="0"/>
    <m/>
    <m/>
    <m/>
    <m/>
  </r>
  <r>
    <n v="172"/>
    <x v="101"/>
    <d v="2024-01-24T00:00:00"/>
    <x v="0"/>
    <x v="0"/>
    <m/>
    <n v="356"/>
    <s v="Credit Card"/>
    <s v="2024-01"/>
    <d v="2025-06-23T00:00:00"/>
    <x v="0"/>
    <m/>
    <m/>
    <m/>
    <m/>
  </r>
  <r>
    <n v="1057"/>
    <x v="42"/>
    <d v="2024-08-04T00:00:00"/>
    <x v="1"/>
    <x v="0"/>
    <m/>
    <n v="11134"/>
    <s v="Bank Transfer"/>
    <s v="2024-08"/>
    <d v="2025-05-08T00:00:00"/>
    <x v="0"/>
    <m/>
    <m/>
    <m/>
    <m/>
  </r>
  <r>
    <n v="169"/>
    <x v="33"/>
    <d v="2024-12-14T00:00:00"/>
    <x v="4"/>
    <x v="5"/>
    <m/>
    <n v="5468"/>
    <s v="Bank Transfer"/>
    <s v="2024-12"/>
    <d v="2025-03-13T00:00:00"/>
    <x v="1"/>
    <m/>
    <m/>
    <m/>
    <m/>
  </r>
  <r>
    <n v="494"/>
    <x v="79"/>
    <d v="2024-05-21T00:00:00"/>
    <x v="3"/>
    <x v="2"/>
    <m/>
    <n v="2290"/>
    <s v="Bank Transfer"/>
    <s v="2024-05"/>
    <d v="2025-04-29T00:00:00"/>
    <x v="0"/>
    <m/>
    <m/>
    <m/>
    <m/>
  </r>
  <r>
    <n v="1426"/>
    <x v="100"/>
    <d v="2024-05-29T00:00:00"/>
    <x v="3"/>
    <x v="5"/>
    <m/>
    <n v="405"/>
    <s v="Credit Card"/>
    <s v="2024-05"/>
    <d v="2025-06-04T00:00:00"/>
    <x v="0"/>
    <m/>
    <m/>
    <m/>
    <m/>
  </r>
  <r>
    <n v="1418"/>
    <x v="31"/>
    <d v="2024-06-28T00:00:00"/>
    <x v="5"/>
    <x v="2"/>
    <m/>
    <n v="1730"/>
    <s v="Cheque"/>
    <s v="2024-06"/>
    <d v="2025-05-16T00:00:00"/>
    <x v="0"/>
    <m/>
    <m/>
    <m/>
    <m/>
  </r>
  <r>
    <n v="1584"/>
    <x v="34"/>
    <d v="2024-02-06T00:00:00"/>
    <x v="0"/>
    <x v="3"/>
    <m/>
    <n v="5847"/>
    <s v="Credit Card"/>
    <s v="2024-02"/>
    <d v="2025-05-16T00:00:00"/>
    <x v="0"/>
    <m/>
    <m/>
    <m/>
    <m/>
  </r>
  <r>
    <n v="273"/>
    <x v="83"/>
    <d v="2024-11-20T00:00:00"/>
    <x v="5"/>
    <x v="0"/>
    <m/>
    <n v="710"/>
    <s v="Credit Card"/>
    <s v="2024-11"/>
    <d v="2025-02-02T00:00:00"/>
    <x v="1"/>
    <m/>
    <m/>
    <m/>
    <m/>
  </r>
  <r>
    <n v="1749"/>
    <x v="106"/>
    <d v="2025-06-20T00:00:00"/>
    <x v="4"/>
    <x v="5"/>
    <m/>
    <n v="1452"/>
    <s v="UPI"/>
    <s v="2025-06"/>
    <d v="2025-06-20T00:00:00"/>
    <x v="0"/>
    <m/>
    <m/>
    <m/>
    <m/>
  </r>
  <r>
    <n v="421"/>
    <x v="78"/>
    <d v="2024-06-28T00:00:00"/>
    <x v="0"/>
    <x v="1"/>
    <m/>
    <n v="440"/>
    <s v="Cheque"/>
    <s v="2024-06"/>
    <d v="2025-06-02T00:00:00"/>
    <x v="0"/>
    <m/>
    <m/>
    <m/>
    <m/>
  </r>
  <r>
    <n v="95"/>
    <x v="8"/>
    <d v="2024-07-13T00:00:00"/>
    <x v="1"/>
    <x v="2"/>
    <m/>
    <n v="1577"/>
    <s v="UPI"/>
    <s v="2024-07"/>
    <d v="2025-05-11T00:00:00"/>
    <x v="0"/>
    <m/>
    <m/>
    <m/>
    <m/>
  </r>
  <r>
    <n v="1241"/>
    <x v="117"/>
    <d v="2025-03-26T00:00:00"/>
    <x v="0"/>
    <x v="0"/>
    <m/>
    <n v="8149"/>
    <s v="Cash"/>
    <s v="2025-03"/>
    <d v="2025-06-04T00:00:00"/>
    <x v="0"/>
    <m/>
    <m/>
    <m/>
    <m/>
  </r>
  <r>
    <n v="1430"/>
    <x v="45"/>
    <d v="2024-07-18T00:00:00"/>
    <x v="3"/>
    <x v="4"/>
    <m/>
    <n v="840"/>
    <s v="Credit Card"/>
    <s v="2024-07"/>
    <d v="2025-06-18T00:00:00"/>
    <x v="0"/>
    <m/>
    <m/>
    <m/>
    <m/>
  </r>
  <r>
    <n v="1544"/>
    <x v="74"/>
    <d v="2025-05-11T00:00:00"/>
    <x v="3"/>
    <x v="2"/>
    <m/>
    <n v="1573"/>
    <s v="Cheque"/>
    <s v="2025-05"/>
    <d v="2025-05-11T00:00:00"/>
    <x v="0"/>
    <m/>
    <m/>
    <m/>
    <m/>
  </r>
  <r>
    <n v="43"/>
    <x v="28"/>
    <d v="2025-04-29T00:00:00"/>
    <x v="4"/>
    <x v="2"/>
    <m/>
    <n v="914"/>
    <s v="Cheque"/>
    <s v="2025-04"/>
    <d v="2025-04-29T00:00:00"/>
    <x v="0"/>
    <m/>
    <m/>
    <m/>
    <m/>
  </r>
  <r>
    <n v="57"/>
    <x v="65"/>
    <d v="2024-11-15T00:00:00"/>
    <x v="0"/>
    <x v="1"/>
    <m/>
    <n v="1661"/>
    <s v="Credit Card"/>
    <s v="2024-11"/>
    <d v="2025-06-18T00:00:00"/>
    <x v="0"/>
    <m/>
    <m/>
    <m/>
    <m/>
  </r>
  <r>
    <n v="1447"/>
    <x v="114"/>
    <d v="2025-05-08T00:00:00"/>
    <x v="0"/>
    <x v="3"/>
    <m/>
    <n v="10918"/>
    <s v="Bank Transfer"/>
    <s v="2025-05"/>
    <d v="2025-05-08T00:00:00"/>
    <x v="0"/>
    <m/>
    <m/>
    <m/>
    <m/>
  </r>
  <r>
    <n v="985"/>
    <x v="1"/>
    <d v="2024-05-13T00:00:00"/>
    <x v="1"/>
    <x v="1"/>
    <m/>
    <n v="344"/>
    <s v="Cheque"/>
    <s v="2024-05"/>
    <d v="2025-06-05T00:00:00"/>
    <x v="0"/>
    <m/>
    <m/>
    <m/>
    <m/>
  </r>
  <r>
    <n v="1170"/>
    <x v="112"/>
    <d v="2025-05-18T00:00:00"/>
    <x v="4"/>
    <x v="5"/>
    <m/>
    <n v="4591"/>
    <s v="Cash"/>
    <s v="2025-05"/>
    <d v="2025-06-04T00:00:00"/>
    <x v="0"/>
    <m/>
    <m/>
    <m/>
    <m/>
  </r>
  <r>
    <n v="1704"/>
    <x v="70"/>
    <d v="2024-05-29T00:00:00"/>
    <x v="4"/>
    <x v="3"/>
    <m/>
    <n v="856"/>
    <s v="Credit Card"/>
    <s v="2024-05"/>
    <d v="2025-05-26T00:00:00"/>
    <x v="0"/>
    <m/>
    <m/>
    <m/>
    <m/>
  </r>
  <r>
    <n v="39"/>
    <x v="67"/>
    <d v="2024-07-13T00:00:00"/>
    <x v="2"/>
    <x v="2"/>
    <m/>
    <n v="601"/>
    <s v="Cheque"/>
    <s v="2024-07"/>
    <d v="2025-06-21T00:00:00"/>
    <x v="0"/>
    <m/>
    <m/>
    <m/>
    <m/>
  </r>
  <r>
    <n v="307"/>
    <x v="119"/>
    <d v="2024-11-10T00:00:00"/>
    <x v="1"/>
    <x v="4"/>
    <m/>
    <n v="1637"/>
    <s v="Cheque"/>
    <s v="2024-11"/>
    <d v="2025-06-19T00:00:00"/>
    <x v="0"/>
    <m/>
    <m/>
    <m/>
    <m/>
  </r>
  <r>
    <n v="825"/>
    <x v="21"/>
    <d v="2024-04-01T00:00:00"/>
    <x v="3"/>
    <x v="5"/>
    <m/>
    <n v="1361"/>
    <s v="Credit Card"/>
    <s v="2024-04"/>
    <d v="2025-06-03T00:00:00"/>
    <x v="0"/>
    <m/>
    <m/>
    <m/>
    <m/>
  </r>
  <r>
    <n v="955"/>
    <x v="86"/>
    <d v="2025-06-15T00:00:00"/>
    <x v="3"/>
    <x v="5"/>
    <m/>
    <n v="4341"/>
    <s v="Cheque"/>
    <s v="2025-06"/>
    <d v="2025-06-15T00:00:00"/>
    <x v="0"/>
    <m/>
    <m/>
    <m/>
    <m/>
  </r>
  <r>
    <n v="893"/>
    <x v="56"/>
    <d v="2024-12-17T00:00:00"/>
    <x v="0"/>
    <x v="4"/>
    <m/>
    <n v="10883"/>
    <s v="UPI"/>
    <s v="2024-12"/>
    <d v="2025-04-25T00:00:00"/>
    <x v="0"/>
    <m/>
    <m/>
    <m/>
    <m/>
  </r>
  <r>
    <n v="783"/>
    <x v="107"/>
    <d v="2024-09-24T00:00:00"/>
    <x v="5"/>
    <x v="5"/>
    <m/>
    <n v="5566"/>
    <s v="Cash"/>
    <s v="2024-09"/>
    <d v="2025-04-12T00:00:00"/>
    <x v="0"/>
    <m/>
    <m/>
    <m/>
    <m/>
  </r>
  <r>
    <n v="409"/>
    <x v="115"/>
    <d v="2024-03-28T00:00:00"/>
    <x v="0"/>
    <x v="0"/>
    <m/>
    <n v="344"/>
    <s v="Credit Card"/>
    <s v="2024-03"/>
    <d v="2025-03-09T00:00:00"/>
    <x v="1"/>
    <m/>
    <m/>
    <m/>
    <m/>
  </r>
  <r>
    <n v="1125"/>
    <x v="62"/>
    <d v="2024-10-22T00:00:00"/>
    <x v="1"/>
    <x v="2"/>
    <m/>
    <n v="10206"/>
    <s v="Bank Transfer"/>
    <s v="2024-10"/>
    <d v="2025-06-06T00:00:00"/>
    <x v="0"/>
    <m/>
    <m/>
    <m/>
    <m/>
  </r>
  <r>
    <n v="782"/>
    <x v="75"/>
    <d v="2024-07-24T00:00:00"/>
    <x v="4"/>
    <x v="2"/>
    <m/>
    <n v="4500"/>
    <s v="Bank Transfer"/>
    <s v="2024-07"/>
    <d v="2025-06-13T00:00:00"/>
    <x v="0"/>
    <m/>
    <m/>
    <m/>
    <m/>
  </r>
  <r>
    <n v="167"/>
    <x v="53"/>
    <d v="2024-03-24T00:00:00"/>
    <x v="3"/>
    <x v="5"/>
    <m/>
    <n v="2214"/>
    <s v="Cash"/>
    <s v="2024-03"/>
    <d v="2025-06-06T00:00:00"/>
    <x v="0"/>
    <m/>
    <m/>
    <m/>
    <m/>
  </r>
  <r>
    <n v="535"/>
    <x v="87"/>
    <d v="2025-05-01T00:00:00"/>
    <x v="1"/>
    <x v="1"/>
    <m/>
    <n v="341"/>
    <s v="Bank Transfer"/>
    <s v="2025-05"/>
    <d v="2025-05-02T00:00:00"/>
    <x v="0"/>
    <m/>
    <m/>
    <m/>
    <m/>
  </r>
  <r>
    <n v="584"/>
    <x v="53"/>
    <d v="2025-04-09T00:00:00"/>
    <x v="2"/>
    <x v="2"/>
    <m/>
    <n v="585"/>
    <s v="Credit Card"/>
    <s v="2025-04"/>
    <d v="2025-06-06T00:00:00"/>
    <x v="0"/>
    <m/>
    <m/>
    <m/>
    <m/>
  </r>
  <r>
    <n v="1356"/>
    <x v="105"/>
    <d v="2024-07-28T00:00:00"/>
    <x v="2"/>
    <x v="1"/>
    <m/>
    <n v="1209"/>
    <s v="UPI"/>
    <s v="2024-07"/>
    <d v="2025-06-17T00:00:00"/>
    <x v="0"/>
    <m/>
    <m/>
    <m/>
    <m/>
  </r>
  <r>
    <n v="1720"/>
    <x v="32"/>
    <d v="2025-05-07T00:00:00"/>
    <x v="0"/>
    <x v="3"/>
    <m/>
    <n v="510"/>
    <s v="Bank Transfer"/>
    <s v="2025-05"/>
    <d v="2025-05-07T00:00:00"/>
    <x v="0"/>
    <m/>
    <m/>
    <m/>
    <m/>
  </r>
  <r>
    <n v="1295"/>
    <x v="11"/>
    <d v="2025-01-07T00:00:00"/>
    <x v="0"/>
    <x v="0"/>
    <m/>
    <n v="712"/>
    <s v="Bank Transfer"/>
    <s v="2025-01"/>
    <d v="2025-06-11T00:00:00"/>
    <x v="0"/>
    <m/>
    <m/>
    <m/>
    <m/>
  </r>
  <r>
    <n v="1147"/>
    <x v="36"/>
    <d v="2024-12-19T00:00:00"/>
    <x v="3"/>
    <x v="4"/>
    <m/>
    <n v="10276"/>
    <s v="UPI"/>
    <s v="2024-12"/>
    <d v="2025-06-16T00:00:00"/>
    <x v="0"/>
    <m/>
    <m/>
    <m/>
    <m/>
  </r>
  <r>
    <n v="1710"/>
    <x v="69"/>
    <d v="2024-10-20T00:00:00"/>
    <x v="2"/>
    <x v="1"/>
    <m/>
    <n v="5978"/>
    <s v="Bank Transfer"/>
    <s v="2024-10"/>
    <d v="2025-03-22T00:00:00"/>
    <x v="1"/>
    <m/>
    <m/>
    <m/>
    <m/>
  </r>
  <r>
    <n v="1003"/>
    <x v="109"/>
    <d v="2025-05-15T00:00:00"/>
    <x v="2"/>
    <x v="1"/>
    <m/>
    <n v="5321"/>
    <s v="UPI"/>
    <s v="2025-05"/>
    <d v="2025-05-15T00:00:00"/>
    <x v="0"/>
    <m/>
    <m/>
    <m/>
    <m/>
  </r>
  <r>
    <n v="1096"/>
    <x v="84"/>
    <d v="2024-08-26T00:00:00"/>
    <x v="0"/>
    <x v="5"/>
    <m/>
    <n v="693"/>
    <s v="Bank Transfer"/>
    <s v="2024-08"/>
    <d v="2025-06-07T00:00:00"/>
    <x v="0"/>
    <m/>
    <m/>
    <m/>
    <m/>
  </r>
  <r>
    <n v="317"/>
    <x v="96"/>
    <d v="2025-01-13T00:00:00"/>
    <x v="0"/>
    <x v="3"/>
    <m/>
    <n v="2440"/>
    <s v="Bank Transfer"/>
    <s v="2025-01"/>
    <d v="2025-06-07T00:00:00"/>
    <x v="0"/>
    <m/>
    <m/>
    <m/>
    <m/>
  </r>
  <r>
    <n v="1169"/>
    <x v="14"/>
    <d v="2025-01-10T00:00:00"/>
    <x v="1"/>
    <x v="4"/>
    <m/>
    <n v="2236"/>
    <s v="Credit Card"/>
    <s v="2025-01"/>
    <d v="2025-04-16T00:00:00"/>
    <x v="0"/>
    <m/>
    <m/>
    <m/>
    <m/>
  </r>
  <r>
    <n v="1560"/>
    <x v="15"/>
    <d v="2025-02-02T00:00:00"/>
    <x v="2"/>
    <x v="3"/>
    <m/>
    <n v="751"/>
    <s v="UPI"/>
    <s v="2025-02"/>
    <d v="2025-05-15T00:00:00"/>
    <x v="0"/>
    <m/>
    <m/>
    <m/>
    <m/>
  </r>
  <r>
    <n v="517"/>
    <x v="80"/>
    <d v="2024-07-31T00:00:00"/>
    <x v="3"/>
    <x v="1"/>
    <m/>
    <n v="0"/>
    <s v="Bank Transfer"/>
    <s v="2024-07"/>
    <d v="2025-02-25T00:00:00"/>
    <x v="1"/>
    <m/>
    <m/>
    <m/>
    <m/>
  </r>
  <r>
    <n v="1408"/>
    <x v="37"/>
    <d v="2025-01-21T00:00:00"/>
    <x v="0"/>
    <x v="4"/>
    <m/>
    <n v="1851"/>
    <s v="Cash"/>
    <s v="2025-01"/>
    <d v="2025-06-21T00:00:00"/>
    <x v="0"/>
    <m/>
    <m/>
    <m/>
    <m/>
  </r>
  <r>
    <n v="1516"/>
    <x v="52"/>
    <d v="2024-09-24T00:00:00"/>
    <x v="4"/>
    <x v="1"/>
    <m/>
    <n v="5273"/>
    <s v="UPI"/>
    <s v="2024-09"/>
    <d v="2025-04-04T00:00:00"/>
    <x v="0"/>
    <m/>
    <m/>
    <m/>
    <m/>
  </r>
  <r>
    <n v="1337"/>
    <x v="108"/>
    <d v="2025-04-21T00:00:00"/>
    <x v="4"/>
    <x v="1"/>
    <m/>
    <n v="767"/>
    <s v="Cheque"/>
    <s v="2025-04"/>
    <d v="2025-06-14T00:00:00"/>
    <x v="0"/>
    <m/>
    <m/>
    <m/>
    <m/>
  </r>
  <r>
    <n v="534"/>
    <x v="94"/>
    <d v="2024-09-21T00:00:00"/>
    <x v="1"/>
    <x v="1"/>
    <m/>
    <n v="1620"/>
    <s v="Bank Transfer"/>
    <s v="2024-09"/>
    <d v="2025-04-05T00:00:00"/>
    <x v="0"/>
    <m/>
    <m/>
    <m/>
    <m/>
  </r>
  <r>
    <n v="1617"/>
    <x v="61"/>
    <d v="2024-08-10T00:00:00"/>
    <x v="3"/>
    <x v="2"/>
    <m/>
    <n v="1774"/>
    <s v="UPI"/>
    <s v="2024-08"/>
    <d v="2025-05-18T00:00:00"/>
    <x v="0"/>
    <m/>
    <m/>
    <m/>
    <m/>
  </r>
  <r>
    <n v="272"/>
    <x v="110"/>
    <d v="2024-09-02T00:00:00"/>
    <x v="0"/>
    <x v="3"/>
    <m/>
    <n v="0"/>
    <s v="Cheque"/>
    <s v="2024-09"/>
    <d v="2025-06-20T00:00:00"/>
    <x v="0"/>
    <m/>
    <m/>
    <m/>
    <m/>
  </r>
  <r>
    <n v="549"/>
    <x v="116"/>
    <d v="2024-10-13T00:00:00"/>
    <x v="3"/>
    <x v="3"/>
    <m/>
    <n v="11560"/>
    <s v="UPI"/>
    <s v="2024-10"/>
    <d v="2025-05-20T00:00:00"/>
    <x v="0"/>
    <m/>
    <m/>
    <m/>
    <m/>
  </r>
  <r>
    <n v="669"/>
    <x v="5"/>
    <d v="2024-09-23T00:00:00"/>
    <x v="3"/>
    <x v="5"/>
    <m/>
    <n v="2199"/>
    <s v="Cash"/>
    <s v="2024-09"/>
    <d v="2025-05-24T00:00:00"/>
    <x v="0"/>
    <m/>
    <m/>
    <m/>
    <m/>
  </r>
  <r>
    <n v="1485"/>
    <x v="100"/>
    <d v="2024-03-02T00:00:00"/>
    <x v="0"/>
    <x v="0"/>
    <m/>
    <n v="2204"/>
    <s v="UPI"/>
    <s v="2024-03"/>
    <d v="2025-06-04T00:00:00"/>
    <x v="0"/>
    <m/>
    <m/>
    <m/>
    <m/>
  </r>
  <r>
    <n v="454"/>
    <x v="41"/>
    <d v="2025-05-25T00:00:00"/>
    <x v="0"/>
    <x v="2"/>
    <m/>
    <n v="466"/>
    <s v="Credit Card"/>
    <s v="2025-05"/>
    <d v="2025-06-08T00:00:00"/>
    <x v="0"/>
    <m/>
    <m/>
    <m/>
    <m/>
  </r>
  <r>
    <n v="607"/>
    <x v="38"/>
    <d v="2024-02-05T00:00:00"/>
    <x v="1"/>
    <x v="5"/>
    <m/>
    <n v="1424"/>
    <s v="Cheque"/>
    <s v="2024-02"/>
    <d v="2025-05-29T00:00:00"/>
    <x v="0"/>
    <m/>
    <m/>
    <m/>
    <m/>
  </r>
  <r>
    <n v="1539"/>
    <x v="45"/>
    <d v="2024-12-11T00:00:00"/>
    <x v="2"/>
    <x v="3"/>
    <m/>
    <n v="2934"/>
    <s v="Bank Transfer"/>
    <s v="2024-12"/>
    <d v="2025-06-18T00:00:00"/>
    <x v="0"/>
    <m/>
    <m/>
    <m/>
    <m/>
  </r>
  <r>
    <n v="1478"/>
    <x v="57"/>
    <d v="2025-05-19T00:00:00"/>
    <x v="4"/>
    <x v="3"/>
    <m/>
    <n v="663"/>
    <s v="Cash"/>
    <s v="2025-05"/>
    <d v="2025-06-08T00:00:00"/>
    <x v="0"/>
    <m/>
    <m/>
    <m/>
    <m/>
  </r>
  <r>
    <n v="805"/>
    <x v="8"/>
    <d v="2024-07-13T00:00:00"/>
    <x v="5"/>
    <x v="0"/>
    <m/>
    <n v="882"/>
    <s v="UPI"/>
    <s v="2024-07"/>
    <d v="2025-05-11T00:00:00"/>
    <x v="0"/>
    <m/>
    <m/>
    <m/>
    <m/>
  </r>
  <r>
    <n v="599"/>
    <x v="15"/>
    <d v="2024-02-25T00:00:00"/>
    <x v="1"/>
    <x v="5"/>
    <m/>
    <n v="298"/>
    <s v="Cheque"/>
    <s v="2024-02"/>
    <d v="2025-05-15T00:00:00"/>
    <x v="0"/>
    <m/>
    <m/>
    <m/>
    <m/>
  </r>
  <r>
    <n v="1428"/>
    <x v="2"/>
    <d v="2025-06-10T00:00:00"/>
    <x v="3"/>
    <x v="2"/>
    <m/>
    <n v="8269"/>
    <s v="Credit Card"/>
    <s v="2025-06"/>
    <d v="2025-06-10T00:00:00"/>
    <x v="0"/>
    <m/>
    <m/>
    <m/>
    <m/>
  </r>
  <r>
    <n v="936"/>
    <x v="88"/>
    <d v="2024-05-06T00:00:00"/>
    <x v="0"/>
    <x v="3"/>
    <m/>
    <n v="5718"/>
    <s v="Cash"/>
    <s v="2024-05"/>
    <d v="2025-06-23T00:00:00"/>
    <x v="0"/>
    <m/>
    <m/>
    <m/>
    <m/>
  </r>
  <r>
    <n v="752"/>
    <x v="39"/>
    <d v="2024-07-17T00:00:00"/>
    <x v="3"/>
    <x v="2"/>
    <m/>
    <n v="1239"/>
    <s v="Credit Card"/>
    <s v="2024-07"/>
    <d v="2025-06-22T00:00:00"/>
    <x v="0"/>
    <m/>
    <m/>
    <m/>
    <m/>
  </r>
  <r>
    <n v="571"/>
    <x v="92"/>
    <d v="2025-01-02T00:00:00"/>
    <x v="2"/>
    <x v="2"/>
    <m/>
    <n v="328"/>
    <s v="Credit Card"/>
    <s v="2025-01"/>
    <d v="2025-04-20T00:00:00"/>
    <x v="0"/>
    <m/>
    <m/>
    <m/>
    <m/>
  </r>
  <r>
    <n v="944"/>
    <x v="96"/>
    <d v="2024-09-22T00:00:00"/>
    <x v="2"/>
    <x v="3"/>
    <m/>
    <n v="703"/>
    <s v="Bank Transfer"/>
    <s v="2024-09"/>
    <d v="2025-06-07T00:00:00"/>
    <x v="0"/>
    <m/>
    <m/>
    <m/>
    <m/>
  </r>
  <r>
    <n v="62"/>
    <x v="59"/>
    <d v="2024-12-14T00:00:00"/>
    <x v="3"/>
    <x v="2"/>
    <m/>
    <n v="2556"/>
    <s v="Cheque"/>
    <s v="2024-12"/>
    <d v="2025-06-07T00:00:00"/>
    <x v="0"/>
    <m/>
    <m/>
    <m/>
    <m/>
  </r>
  <r>
    <n v="1254"/>
    <x v="28"/>
    <d v="2024-09-09T00:00:00"/>
    <x v="3"/>
    <x v="0"/>
    <m/>
    <n v="1258"/>
    <s v="Cheque"/>
    <s v="2024-09"/>
    <d v="2025-04-29T00:00:00"/>
    <x v="0"/>
    <m/>
    <m/>
    <m/>
    <m/>
  </r>
  <r>
    <n v="537"/>
    <x v="30"/>
    <d v="2024-06-11T00:00:00"/>
    <x v="0"/>
    <x v="3"/>
    <m/>
    <n v="4416"/>
    <s v="Cheque"/>
    <s v="2024-06"/>
    <d v="2025-05-17T00:00:00"/>
    <x v="0"/>
    <m/>
    <m/>
    <m/>
    <m/>
  </r>
  <r>
    <n v="1794"/>
    <x v="79"/>
    <d v="2024-11-06T00:00:00"/>
    <x v="1"/>
    <x v="5"/>
    <m/>
    <n v="2656"/>
    <s v="Cash"/>
    <s v="2024-11"/>
    <d v="2025-04-29T00:00:00"/>
    <x v="0"/>
    <m/>
    <m/>
    <m/>
    <m/>
  </r>
  <r>
    <n v="1700"/>
    <x v="117"/>
    <d v="2024-09-26T00:00:00"/>
    <x v="4"/>
    <x v="2"/>
    <m/>
    <n v="623"/>
    <s v="UPI"/>
    <s v="2024-09"/>
    <d v="2025-06-04T00:00:00"/>
    <x v="0"/>
    <m/>
    <m/>
    <m/>
    <m/>
  </r>
  <r>
    <n v="1234"/>
    <x v="71"/>
    <d v="2024-11-14T00:00:00"/>
    <x v="2"/>
    <x v="2"/>
    <m/>
    <n v="268"/>
    <s v="Cash"/>
    <s v="2024-11"/>
    <d v="2025-05-16T00:00:00"/>
    <x v="0"/>
    <m/>
    <m/>
    <m/>
    <m/>
  </r>
  <r>
    <n v="245"/>
    <x v="58"/>
    <d v="2024-09-06T00:00:00"/>
    <x v="4"/>
    <x v="0"/>
    <m/>
    <n v="1399"/>
    <s v="Cash"/>
    <s v="2024-09"/>
    <d v="2025-06-15T00:00:00"/>
    <x v="0"/>
    <m/>
    <m/>
    <m/>
    <m/>
  </r>
  <r>
    <n v="26"/>
    <x v="8"/>
    <d v="2024-02-10T00:00:00"/>
    <x v="2"/>
    <x v="1"/>
    <m/>
    <n v="9265"/>
    <s v="Bank Transfer"/>
    <s v="2024-02"/>
    <d v="2025-05-11T00:00:00"/>
    <x v="0"/>
    <m/>
    <m/>
    <m/>
    <m/>
  </r>
  <r>
    <n v="1514"/>
    <x v="46"/>
    <d v="2024-06-12T00:00:00"/>
    <x v="3"/>
    <x v="4"/>
    <m/>
    <n v="9907"/>
    <s v="Cash"/>
    <s v="2024-06"/>
    <d v="2025-06-04T00:00:00"/>
    <x v="0"/>
    <m/>
    <m/>
    <m/>
    <m/>
  </r>
  <r>
    <n v="223"/>
    <x v="101"/>
    <d v="2024-02-02T00:00:00"/>
    <x v="0"/>
    <x v="1"/>
    <m/>
    <n v="766"/>
    <s v="UPI"/>
    <s v="2024-02"/>
    <d v="2025-06-23T00:00:00"/>
    <x v="0"/>
    <m/>
    <m/>
    <m/>
    <m/>
  </r>
  <r>
    <n v="1310"/>
    <x v="83"/>
    <d v="2024-12-16T00:00:00"/>
    <x v="1"/>
    <x v="2"/>
    <m/>
    <n v="2552"/>
    <s v="Cash"/>
    <s v="2024-12"/>
    <d v="2025-02-02T00:00:00"/>
    <x v="1"/>
    <m/>
    <m/>
    <m/>
    <m/>
  </r>
  <r>
    <n v="106"/>
    <x v="83"/>
    <d v="2024-05-28T00:00:00"/>
    <x v="3"/>
    <x v="5"/>
    <m/>
    <n v="1266"/>
    <s v="UPI"/>
    <s v="2024-05"/>
    <d v="2025-02-02T00:00:00"/>
    <x v="1"/>
    <m/>
    <m/>
    <m/>
    <m/>
  </r>
  <r>
    <n v="674"/>
    <x v="44"/>
    <d v="2024-01-30T00:00:00"/>
    <x v="1"/>
    <x v="4"/>
    <m/>
    <n v="349"/>
    <s v="Bank Transfer"/>
    <s v="2024-01"/>
    <d v="2025-04-26T00:00:00"/>
    <x v="0"/>
    <m/>
    <m/>
    <m/>
    <m/>
  </r>
  <r>
    <n v="643"/>
    <x v="77"/>
    <d v="2025-04-26T00:00:00"/>
    <x v="3"/>
    <x v="4"/>
    <m/>
    <n v="8223"/>
    <s v="Bank Transfer"/>
    <s v="2025-04"/>
    <d v="2025-05-21T00:00:00"/>
    <x v="0"/>
    <m/>
    <m/>
    <m/>
    <m/>
  </r>
  <r>
    <n v="1153"/>
    <x v="95"/>
    <d v="2025-04-16T00:00:00"/>
    <x v="0"/>
    <x v="2"/>
    <m/>
    <n v="5083"/>
    <s v="Cash"/>
    <s v="2025-04"/>
    <d v="2025-06-08T00:00:00"/>
    <x v="0"/>
    <m/>
    <m/>
    <m/>
    <m/>
  </r>
  <r>
    <n v="666"/>
    <x v="7"/>
    <d v="2024-04-12T00:00:00"/>
    <x v="4"/>
    <x v="2"/>
    <m/>
    <n v="2506"/>
    <s v="Bank Transfer"/>
    <s v="2024-04"/>
    <d v="2025-06-11T00:00:00"/>
    <x v="0"/>
    <m/>
    <m/>
    <m/>
    <m/>
  </r>
  <r>
    <n v="510"/>
    <x v="50"/>
    <d v="2024-07-31T00:00:00"/>
    <x v="4"/>
    <x v="4"/>
    <m/>
    <n v="531"/>
    <s v="UPI"/>
    <s v="2024-07"/>
    <d v="2025-06-21T00:00:00"/>
    <x v="0"/>
    <m/>
    <m/>
    <m/>
    <m/>
  </r>
  <r>
    <n v="132"/>
    <x v="91"/>
    <d v="2024-06-11T00:00:00"/>
    <x v="1"/>
    <x v="5"/>
    <m/>
    <n v="723"/>
    <s v="Bank Transfer"/>
    <s v="2024-06"/>
    <d v="2025-05-04T00:00:00"/>
    <x v="0"/>
    <m/>
    <m/>
    <m/>
    <m/>
  </r>
  <r>
    <n v="1277"/>
    <x v="49"/>
    <d v="2024-10-24T00:00:00"/>
    <x v="4"/>
    <x v="2"/>
    <m/>
    <n v="5969"/>
    <s v="Cash"/>
    <s v="2024-10"/>
    <d v="2025-05-18T00:00:00"/>
    <x v="0"/>
    <m/>
    <m/>
    <m/>
    <m/>
  </r>
  <r>
    <n v="445"/>
    <x v="99"/>
    <d v="2024-10-17T00:00:00"/>
    <x v="4"/>
    <x v="4"/>
    <m/>
    <n v="11354"/>
    <s v="UPI"/>
    <s v="2024-10"/>
    <d v="2025-03-30T00:00:00"/>
    <x v="0"/>
    <m/>
    <m/>
    <m/>
    <m/>
  </r>
  <r>
    <n v="1521"/>
    <x v="110"/>
    <d v="2025-04-30T00:00:00"/>
    <x v="4"/>
    <x v="0"/>
    <m/>
    <n v="1902"/>
    <s v="Credit Card"/>
    <s v="2025-04"/>
    <d v="2025-06-20T00:00:00"/>
    <x v="0"/>
    <m/>
    <m/>
    <m/>
    <m/>
  </r>
  <r>
    <n v="509"/>
    <x v="36"/>
    <d v="2025-05-02T00:00:00"/>
    <x v="0"/>
    <x v="1"/>
    <m/>
    <n v="1040"/>
    <s v="UPI"/>
    <s v="2025-05"/>
    <d v="2025-06-16T00:00:00"/>
    <x v="0"/>
    <m/>
    <m/>
    <m/>
    <m/>
  </r>
  <r>
    <n v="1216"/>
    <x v="37"/>
    <d v="2025-06-21T00:00:00"/>
    <x v="4"/>
    <x v="3"/>
    <m/>
    <n v="470"/>
    <s v="Credit Card"/>
    <s v="2025-06"/>
    <d v="2025-06-21T00:00:00"/>
    <x v="0"/>
    <m/>
    <m/>
    <m/>
    <m/>
  </r>
  <r>
    <n v="1589"/>
    <x v="72"/>
    <d v="2024-12-05T00:00:00"/>
    <x v="0"/>
    <x v="0"/>
    <m/>
    <n v="406"/>
    <s v="UPI"/>
    <s v="2024-12"/>
    <d v="2025-05-21T00:00:00"/>
    <x v="0"/>
    <m/>
    <m/>
    <m/>
    <m/>
  </r>
  <r>
    <n v="882"/>
    <x v="105"/>
    <d v="2024-09-29T00:00:00"/>
    <x v="0"/>
    <x v="1"/>
    <m/>
    <n v="9982"/>
    <s v="Credit Card"/>
    <s v="2024-09"/>
    <d v="2025-06-17T00:00:00"/>
    <x v="0"/>
    <m/>
    <m/>
    <m/>
    <m/>
  </r>
  <r>
    <n v="76"/>
    <x v="65"/>
    <d v="2024-10-02T00:00:00"/>
    <x v="2"/>
    <x v="4"/>
    <m/>
    <n v="302"/>
    <s v="Cash"/>
    <s v="2024-10"/>
    <d v="2025-06-18T00:00:00"/>
    <x v="0"/>
    <m/>
    <m/>
    <m/>
    <m/>
  </r>
  <r>
    <n v="37"/>
    <x v="82"/>
    <d v="2024-12-25T00:00:00"/>
    <x v="3"/>
    <x v="1"/>
    <m/>
    <n v="9325"/>
    <s v="UPI"/>
    <s v="2024-12"/>
    <d v="2025-06-21T00:00:00"/>
    <x v="0"/>
    <m/>
    <m/>
    <m/>
    <m/>
  </r>
  <r>
    <n v="1605"/>
    <x v="5"/>
    <d v="2024-10-21T00:00:00"/>
    <x v="3"/>
    <x v="4"/>
    <m/>
    <n v="2958"/>
    <s v="UPI"/>
    <s v="2024-10"/>
    <d v="2025-05-24T00:00:00"/>
    <x v="0"/>
    <m/>
    <m/>
    <m/>
    <m/>
  </r>
  <r>
    <n v="58"/>
    <x v="28"/>
    <d v="2024-05-03T00:00:00"/>
    <x v="3"/>
    <x v="3"/>
    <m/>
    <n v="0"/>
    <s v="Bank Transfer"/>
    <s v="2024-05"/>
    <d v="2025-04-29T00:00:00"/>
    <x v="0"/>
    <m/>
    <m/>
    <m/>
    <m/>
  </r>
  <r>
    <n v="197"/>
    <x v="51"/>
    <d v="2025-06-22T00:00:00"/>
    <x v="3"/>
    <x v="2"/>
    <m/>
    <n v="4156"/>
    <s v="Cheque"/>
    <s v="2025-06"/>
    <d v="2025-06-22T00:00:00"/>
    <x v="0"/>
    <m/>
    <m/>
    <m/>
    <m/>
  </r>
  <r>
    <n v="1501"/>
    <x v="111"/>
    <d v="2025-01-10T00:00:00"/>
    <x v="1"/>
    <x v="2"/>
    <m/>
    <n v="646"/>
    <s v="UPI"/>
    <s v="2025-01"/>
    <d v="2025-06-07T00:00:00"/>
    <x v="0"/>
    <m/>
    <m/>
    <m/>
    <m/>
  </r>
  <r>
    <n v="904"/>
    <x v="88"/>
    <d v="2024-07-12T00:00:00"/>
    <x v="0"/>
    <x v="2"/>
    <m/>
    <n v="1589"/>
    <s v="UPI"/>
    <s v="2024-07"/>
    <d v="2025-06-23T00:00:00"/>
    <x v="0"/>
    <m/>
    <m/>
    <m/>
    <m/>
  </r>
  <r>
    <n v="1040"/>
    <x v="26"/>
    <d v="2024-03-19T00:00:00"/>
    <x v="1"/>
    <x v="0"/>
    <m/>
    <n v="1996"/>
    <s v="Bank Transfer"/>
    <s v="2024-03"/>
    <d v="2025-06-01T00:00:00"/>
    <x v="0"/>
    <m/>
    <m/>
    <m/>
    <m/>
  </r>
  <r>
    <n v="322"/>
    <x v="36"/>
    <d v="2025-06-16T00:00:00"/>
    <x v="2"/>
    <x v="2"/>
    <m/>
    <n v="11127"/>
    <s v="UPI"/>
    <s v="2025-06"/>
    <d v="2025-06-16T00:00:00"/>
    <x v="0"/>
    <m/>
    <m/>
    <m/>
    <m/>
  </r>
  <r>
    <n v="1659"/>
    <x v="64"/>
    <d v="2025-01-26T00:00:00"/>
    <x v="4"/>
    <x v="4"/>
    <m/>
    <n v="274"/>
    <s v="UPI"/>
    <s v="2025-01"/>
    <d v="2025-04-28T00:00:00"/>
    <x v="0"/>
    <m/>
    <m/>
    <m/>
    <m/>
  </r>
  <r>
    <n v="968"/>
    <x v="28"/>
    <d v="2024-06-18T00:00:00"/>
    <x v="4"/>
    <x v="2"/>
    <m/>
    <n v="292"/>
    <s v="Cash"/>
    <s v="2024-06"/>
    <d v="2025-04-29T00:00:00"/>
    <x v="0"/>
    <m/>
    <m/>
    <m/>
    <m/>
  </r>
  <r>
    <n v="478"/>
    <x v="46"/>
    <d v="2025-01-25T00:00:00"/>
    <x v="2"/>
    <x v="5"/>
    <m/>
    <n v="5760"/>
    <s v="Cash"/>
    <s v="2025-01"/>
    <d v="2025-06-04T00:00:00"/>
    <x v="0"/>
    <m/>
    <m/>
    <m/>
    <m/>
  </r>
  <r>
    <n v="87"/>
    <x v="107"/>
    <d v="2025-04-12T00:00:00"/>
    <x v="4"/>
    <x v="1"/>
    <m/>
    <n v="1245"/>
    <s v="Bank Transfer"/>
    <s v="2025-04"/>
    <d v="2025-04-12T00:00:00"/>
    <x v="0"/>
    <m/>
    <m/>
    <m/>
    <m/>
  </r>
  <r>
    <n v="1672"/>
    <x v="96"/>
    <d v="2025-02-11T00:00:00"/>
    <x v="1"/>
    <x v="2"/>
    <m/>
    <n v="577"/>
    <s v="Cash"/>
    <s v="2025-02"/>
    <d v="2025-06-07T00:00:00"/>
    <x v="0"/>
    <m/>
    <m/>
    <m/>
    <m/>
  </r>
  <r>
    <n v="562"/>
    <x v="31"/>
    <d v="2024-05-04T00:00:00"/>
    <x v="2"/>
    <x v="3"/>
    <m/>
    <n v="1426"/>
    <s v="Cheque"/>
    <s v="2024-05"/>
    <d v="2025-05-16T00:00:00"/>
    <x v="0"/>
    <m/>
    <m/>
    <m/>
    <m/>
  </r>
  <r>
    <n v="772"/>
    <x v="90"/>
    <d v="2024-12-12T00:00:00"/>
    <x v="4"/>
    <x v="5"/>
    <m/>
    <n v="269"/>
    <s v="Bank Transfer"/>
    <s v="2024-12"/>
    <d v="2025-06-19T00:00:00"/>
    <x v="0"/>
    <m/>
    <m/>
    <m/>
    <m/>
  </r>
  <r>
    <n v="335"/>
    <x v="66"/>
    <d v="2024-10-10T00:00:00"/>
    <x v="1"/>
    <x v="4"/>
    <m/>
    <n v="1510"/>
    <s v="Credit Card"/>
    <s v="2024-10"/>
    <d v="2025-06-21T00:00:00"/>
    <x v="0"/>
    <m/>
    <m/>
    <m/>
    <m/>
  </r>
  <r>
    <n v="1118"/>
    <x v="12"/>
    <d v="2025-05-28T00:00:00"/>
    <x v="1"/>
    <x v="3"/>
    <m/>
    <n v="1466"/>
    <s v="Bank Transfer"/>
    <s v="2025-05"/>
    <d v="2025-05-28T00:00:00"/>
    <x v="0"/>
    <m/>
    <m/>
    <m/>
    <m/>
  </r>
  <r>
    <n v="1253"/>
    <x v="31"/>
    <d v="2024-09-24T00:00:00"/>
    <x v="1"/>
    <x v="5"/>
    <m/>
    <n v="711"/>
    <s v="Credit Card"/>
    <s v="2024-09"/>
    <d v="2025-05-16T00:00:00"/>
    <x v="0"/>
    <m/>
    <m/>
    <m/>
    <m/>
  </r>
  <r>
    <n v="1645"/>
    <x v="41"/>
    <d v="2024-12-22T00:00:00"/>
    <x v="1"/>
    <x v="1"/>
    <m/>
    <n v="1767"/>
    <s v="Bank Transfer"/>
    <s v="2024-12"/>
    <d v="2025-06-08T00:00:00"/>
    <x v="0"/>
    <m/>
    <m/>
    <m/>
    <m/>
  </r>
  <r>
    <n v="1098"/>
    <x v="103"/>
    <d v="2024-03-24T00:00:00"/>
    <x v="2"/>
    <x v="1"/>
    <m/>
    <n v="950"/>
    <s v="UPI"/>
    <s v="2024-03"/>
    <d v="2025-04-19T00:00:00"/>
    <x v="0"/>
    <m/>
    <m/>
    <m/>
    <m/>
  </r>
  <r>
    <n v="709"/>
    <x v="13"/>
    <d v="2024-12-14T00:00:00"/>
    <x v="1"/>
    <x v="3"/>
    <m/>
    <n v="9070"/>
    <s v="Credit Card"/>
    <s v="2024-12"/>
    <d v="2025-05-11T00:00:00"/>
    <x v="0"/>
    <m/>
    <m/>
    <m/>
    <m/>
  </r>
  <r>
    <n v="1166"/>
    <x v="29"/>
    <d v="2025-04-26T00:00:00"/>
    <x v="0"/>
    <x v="3"/>
    <m/>
    <n v="887"/>
    <s v="Cheque"/>
    <s v="2025-04"/>
    <d v="2025-04-26T00:00:00"/>
    <x v="0"/>
    <m/>
    <m/>
    <m/>
    <m/>
  </r>
  <r>
    <n v="1406"/>
    <x v="55"/>
    <d v="2025-01-28T00:00:00"/>
    <x v="3"/>
    <x v="1"/>
    <m/>
    <n v="508"/>
    <s v="Bank Transfer"/>
    <s v="2025-01"/>
    <d v="2025-06-22T00:00:00"/>
    <x v="0"/>
    <m/>
    <m/>
    <m/>
    <m/>
  </r>
  <r>
    <n v="191"/>
    <x v="110"/>
    <d v="2025-06-20T00:00:00"/>
    <x v="4"/>
    <x v="0"/>
    <m/>
    <n v="273"/>
    <s v="UPI"/>
    <s v="2025-06"/>
    <d v="2025-06-20T00:00:00"/>
    <x v="0"/>
    <m/>
    <m/>
    <m/>
    <m/>
  </r>
  <r>
    <n v="1217"/>
    <x v="117"/>
    <d v="2025-03-01T00:00:00"/>
    <x v="3"/>
    <x v="1"/>
    <m/>
    <n v="1714"/>
    <s v="UPI"/>
    <s v="2025-03"/>
    <d v="2025-06-04T00:00:00"/>
    <x v="0"/>
    <m/>
    <m/>
    <m/>
    <m/>
  </r>
  <r>
    <n v="1480"/>
    <x v="35"/>
    <d v="2024-04-27T00:00:00"/>
    <x v="3"/>
    <x v="4"/>
    <m/>
    <n v="2691"/>
    <s v="Cheque"/>
    <s v="2024-04"/>
    <d v="2025-06-13T00:00:00"/>
    <x v="0"/>
    <m/>
    <m/>
    <m/>
    <m/>
  </r>
  <r>
    <n v="539"/>
    <x v="15"/>
    <d v="2025-02-19T00:00:00"/>
    <x v="3"/>
    <x v="3"/>
    <m/>
    <n v="698"/>
    <s v="UPI"/>
    <s v="2025-02"/>
    <d v="2025-05-15T00:00:00"/>
    <x v="0"/>
    <m/>
    <m/>
    <m/>
    <m/>
  </r>
  <r>
    <n v="1071"/>
    <x v="18"/>
    <d v="2024-12-21T00:00:00"/>
    <x v="4"/>
    <x v="3"/>
    <m/>
    <n v="2274"/>
    <s v="Cash"/>
    <s v="2024-12"/>
    <d v="2025-05-23T00:00:00"/>
    <x v="0"/>
    <m/>
    <m/>
    <m/>
    <m/>
  </r>
  <r>
    <n v="1302"/>
    <x v="68"/>
    <d v="2025-04-25T00:00:00"/>
    <x v="1"/>
    <x v="2"/>
    <m/>
    <n v="2381"/>
    <s v="Credit Card"/>
    <s v="2025-04"/>
    <d v="2025-04-25T00:00:00"/>
    <x v="0"/>
    <m/>
    <m/>
    <m/>
    <m/>
  </r>
  <r>
    <n v="1068"/>
    <x v="81"/>
    <d v="2024-06-04T00:00:00"/>
    <x v="2"/>
    <x v="0"/>
    <m/>
    <n v="5348"/>
    <s v="Cash"/>
    <s v="2024-06"/>
    <d v="2025-06-20T00:00:00"/>
    <x v="0"/>
    <m/>
    <m/>
    <m/>
    <m/>
  </r>
  <r>
    <n v="1402"/>
    <x v="61"/>
    <d v="2024-09-30T00:00:00"/>
    <x v="3"/>
    <x v="5"/>
    <m/>
    <n v="1721"/>
    <s v="Cheque"/>
    <s v="2024-09"/>
    <d v="2025-05-18T00:00:00"/>
    <x v="0"/>
    <m/>
    <m/>
    <m/>
    <m/>
  </r>
  <r>
    <n v="916"/>
    <x v="24"/>
    <d v="2024-09-08T00:00:00"/>
    <x v="0"/>
    <x v="0"/>
    <m/>
    <n v="305"/>
    <s v="Cash"/>
    <s v="2024-09"/>
    <d v="2025-06-18T00:00:00"/>
    <x v="0"/>
    <m/>
    <m/>
    <m/>
    <m/>
  </r>
  <r>
    <n v="419"/>
    <x v="102"/>
    <d v="2024-02-23T00:00:00"/>
    <x v="0"/>
    <x v="2"/>
    <m/>
    <n v="561"/>
    <s v="Credit Card"/>
    <s v="2024-02"/>
    <d v="2025-04-05T00:00:00"/>
    <x v="0"/>
    <m/>
    <m/>
    <m/>
    <m/>
  </r>
  <r>
    <n v="1195"/>
    <x v="95"/>
    <d v="2024-06-03T00:00:00"/>
    <x v="1"/>
    <x v="0"/>
    <m/>
    <n v="2049"/>
    <s v="Cash"/>
    <s v="2024-06"/>
    <d v="2025-06-08T00:00:00"/>
    <x v="0"/>
    <m/>
    <m/>
    <m/>
    <m/>
  </r>
  <r>
    <n v="1694"/>
    <x v="117"/>
    <d v="2024-05-13T00:00:00"/>
    <x v="4"/>
    <x v="1"/>
    <m/>
    <n v="5401"/>
    <s v="UPI"/>
    <s v="2024-05"/>
    <d v="2025-06-04T00:00:00"/>
    <x v="0"/>
    <m/>
    <m/>
    <m/>
    <m/>
  </r>
  <r>
    <n v="1667"/>
    <x v="77"/>
    <d v="2025-03-04T00:00:00"/>
    <x v="1"/>
    <x v="1"/>
    <m/>
    <n v="1132"/>
    <s v="Credit Card"/>
    <s v="2025-03"/>
    <d v="2025-05-21T00:00:00"/>
    <x v="0"/>
    <m/>
    <m/>
    <m/>
    <m/>
  </r>
  <r>
    <n v="574"/>
    <x v="92"/>
    <d v="2024-05-24T00:00:00"/>
    <x v="2"/>
    <x v="1"/>
    <m/>
    <n v="449"/>
    <s v="Credit Card"/>
    <s v="2024-05"/>
    <d v="2025-04-20T00:00:00"/>
    <x v="0"/>
    <m/>
    <m/>
    <m/>
    <m/>
  </r>
  <r>
    <n v="921"/>
    <x v="46"/>
    <d v="2024-05-24T00:00:00"/>
    <x v="4"/>
    <x v="3"/>
    <m/>
    <n v="514"/>
    <s v="Cash"/>
    <s v="2024-05"/>
    <d v="2025-06-04T00:00:00"/>
    <x v="0"/>
    <m/>
    <m/>
    <m/>
    <m/>
  </r>
  <r>
    <n v="1540"/>
    <x v="111"/>
    <d v="2025-01-10T00:00:00"/>
    <x v="2"/>
    <x v="5"/>
    <m/>
    <n v="1994"/>
    <s v="Cash"/>
    <s v="2025-01"/>
    <d v="2025-06-07T00:00:00"/>
    <x v="0"/>
    <m/>
    <m/>
    <m/>
    <m/>
  </r>
  <r>
    <n v="333"/>
    <x v="74"/>
    <d v="2024-10-08T00:00:00"/>
    <x v="0"/>
    <x v="5"/>
    <m/>
    <n v="270"/>
    <s v="Cash"/>
    <s v="2024-10"/>
    <d v="2025-05-11T00:00:00"/>
    <x v="0"/>
    <m/>
    <m/>
    <m/>
    <m/>
  </r>
  <r>
    <n v="852"/>
    <x v="73"/>
    <d v="2024-05-01T00:00:00"/>
    <x v="0"/>
    <x v="1"/>
    <m/>
    <n v="2688"/>
    <s v="Credit Card"/>
    <s v="2024-05"/>
    <d v="2025-05-17T00:00:00"/>
    <x v="0"/>
    <m/>
    <m/>
    <m/>
    <m/>
  </r>
  <r>
    <n v="811"/>
    <x v="61"/>
    <d v="2024-08-31T00:00:00"/>
    <x v="3"/>
    <x v="1"/>
    <m/>
    <n v="4269"/>
    <s v="Bank Transfer"/>
    <s v="2024-08"/>
    <d v="2025-05-18T00:00:00"/>
    <x v="0"/>
    <m/>
    <m/>
    <m/>
    <m/>
  </r>
  <r>
    <n v="736"/>
    <x v="29"/>
    <d v="2024-01-25T00:00:00"/>
    <x v="3"/>
    <x v="5"/>
    <m/>
    <n v="677"/>
    <s v="UPI"/>
    <s v="2024-01"/>
    <d v="2025-04-26T00:00:00"/>
    <x v="0"/>
    <m/>
    <m/>
    <m/>
    <m/>
  </r>
  <r>
    <n v="902"/>
    <x v="25"/>
    <d v="2024-04-18T00:00:00"/>
    <x v="0"/>
    <x v="2"/>
    <m/>
    <n v="2870"/>
    <s v="Cheque"/>
    <s v="2024-04"/>
    <d v="2025-03-24T00:00:00"/>
    <x v="1"/>
    <m/>
    <m/>
    <m/>
    <m/>
  </r>
  <r>
    <n v="1631"/>
    <x v="12"/>
    <d v="2024-04-27T00:00:00"/>
    <x v="0"/>
    <x v="3"/>
    <m/>
    <n v="1639"/>
    <s v="UPI"/>
    <s v="2024-04"/>
    <d v="2025-05-28T00:00:00"/>
    <x v="0"/>
    <m/>
    <m/>
    <m/>
    <m/>
  </r>
  <r>
    <n v="575"/>
    <x v="36"/>
    <d v="2024-04-09T00:00:00"/>
    <x v="3"/>
    <x v="4"/>
    <m/>
    <n v="1127"/>
    <s v="UPI"/>
    <s v="2024-04"/>
    <d v="2025-06-16T00:00:00"/>
    <x v="0"/>
    <m/>
    <m/>
    <m/>
    <m/>
  </r>
  <r>
    <n v="1558"/>
    <x v="108"/>
    <d v="2024-07-15T00:00:00"/>
    <x v="1"/>
    <x v="1"/>
    <m/>
    <n v="8596"/>
    <s v="Cheque"/>
    <s v="2024-07"/>
    <d v="2025-06-14T00:00:00"/>
    <x v="0"/>
    <m/>
    <m/>
    <m/>
    <m/>
  </r>
  <r>
    <n v="1329"/>
    <x v="42"/>
    <d v="2025-01-17T00:00:00"/>
    <x v="4"/>
    <x v="5"/>
    <m/>
    <n v="248"/>
    <s v="Cash"/>
    <s v="2025-01"/>
    <d v="2025-05-08T00:00:00"/>
    <x v="0"/>
    <m/>
    <m/>
    <m/>
    <m/>
  </r>
  <r>
    <n v="1585"/>
    <x v="60"/>
    <d v="2024-07-10T00:00:00"/>
    <x v="3"/>
    <x v="1"/>
    <m/>
    <n v="2380"/>
    <s v="UPI"/>
    <s v="2024-07"/>
    <d v="2025-05-26T00:00:00"/>
    <x v="0"/>
    <m/>
    <m/>
    <m/>
    <m/>
  </r>
  <r>
    <n v="1652"/>
    <x v="16"/>
    <d v="2024-12-07T00:00:00"/>
    <x v="4"/>
    <x v="0"/>
    <m/>
    <n v="647"/>
    <s v="Cash"/>
    <s v="2024-12"/>
    <d v="2025-05-28T00:00:00"/>
    <x v="0"/>
    <m/>
    <m/>
    <m/>
    <m/>
  </r>
  <r>
    <n v="1464"/>
    <x v="61"/>
    <d v="2025-05-05T00:00:00"/>
    <x v="1"/>
    <x v="3"/>
    <m/>
    <n v="5707"/>
    <s v="Cash"/>
    <s v="2025-05"/>
    <d v="2025-05-18T00:00:00"/>
    <x v="0"/>
    <m/>
    <m/>
    <m/>
    <m/>
  </r>
  <r>
    <n v="1045"/>
    <x v="19"/>
    <d v="2024-07-29T00:00:00"/>
    <x v="4"/>
    <x v="2"/>
    <m/>
    <n v="760"/>
    <s v="Bank Transfer"/>
    <s v="2024-07"/>
    <d v="2025-06-19T00:00:00"/>
    <x v="0"/>
    <m/>
    <m/>
    <m/>
    <m/>
  </r>
  <r>
    <n v="1601"/>
    <x v="68"/>
    <d v="2024-05-04T00:00:00"/>
    <x v="3"/>
    <x v="0"/>
    <m/>
    <n v="307"/>
    <s v="Cheque"/>
    <s v="2024-05"/>
    <d v="2025-04-25T00:00:00"/>
    <x v="0"/>
    <m/>
    <m/>
    <m/>
    <m/>
  </r>
  <r>
    <n v="1419"/>
    <x v="71"/>
    <d v="2025-04-16T00:00:00"/>
    <x v="0"/>
    <x v="2"/>
    <m/>
    <n v="765"/>
    <s v="Cash"/>
    <s v="2025-04"/>
    <d v="2025-05-16T00:00:00"/>
    <x v="0"/>
    <m/>
    <m/>
    <m/>
    <m/>
  </r>
  <r>
    <n v="9"/>
    <x v="12"/>
    <d v="2025-04-14T00:00:00"/>
    <x v="1"/>
    <x v="4"/>
    <m/>
    <n v="2196"/>
    <s v="Cheque"/>
    <s v="2025-04"/>
    <d v="2025-05-28T00:00:00"/>
    <x v="0"/>
    <m/>
    <m/>
    <m/>
    <m/>
  </r>
  <r>
    <n v="1035"/>
    <x v="1"/>
    <d v="2025-06-03T00:00:00"/>
    <x v="1"/>
    <x v="1"/>
    <m/>
    <n v="276"/>
    <s v="Credit Card"/>
    <s v="2025-06"/>
    <d v="2025-06-05T00:00:00"/>
    <x v="0"/>
    <m/>
    <m/>
    <m/>
    <m/>
  </r>
  <r>
    <n v="1677"/>
    <x v="101"/>
    <d v="2024-03-05T00:00:00"/>
    <x v="1"/>
    <x v="3"/>
    <m/>
    <n v="2399"/>
    <s v="UPI"/>
    <s v="2024-03"/>
    <d v="2025-06-23T00:00:00"/>
    <x v="0"/>
    <m/>
    <m/>
    <m/>
    <m/>
  </r>
  <r>
    <n v="1561"/>
    <x v="50"/>
    <d v="2024-01-27T00:00:00"/>
    <x v="2"/>
    <x v="1"/>
    <m/>
    <n v="8224"/>
    <s v="Bank Transfer"/>
    <s v="2024-01"/>
    <d v="2025-06-21T00:00:00"/>
    <x v="0"/>
    <m/>
    <m/>
    <m/>
    <m/>
  </r>
  <r>
    <n v="1222"/>
    <x v="54"/>
    <d v="2025-02-10T00:00:00"/>
    <x v="2"/>
    <x v="0"/>
    <m/>
    <n v="298"/>
    <s v="Bank Transfer"/>
    <s v="2025-02"/>
    <d v="2025-02-10T00:00:00"/>
    <x v="1"/>
    <m/>
    <m/>
    <m/>
    <m/>
  </r>
  <r>
    <n v="1622"/>
    <x v="96"/>
    <d v="2024-04-29T00:00:00"/>
    <x v="0"/>
    <x v="0"/>
    <m/>
    <n v="240"/>
    <s v="Cheque"/>
    <s v="2024-04"/>
    <d v="2025-06-07T00:00:00"/>
    <x v="0"/>
    <m/>
    <m/>
    <m/>
    <m/>
  </r>
  <r>
    <n v="305"/>
    <x v="26"/>
    <d v="2025-01-08T00:00:00"/>
    <x v="1"/>
    <x v="2"/>
    <m/>
    <n v="776"/>
    <s v="Bank Transfer"/>
    <s v="2025-01"/>
    <d v="2025-06-01T00:00:00"/>
    <x v="0"/>
    <m/>
    <m/>
    <m/>
    <m/>
  </r>
  <r>
    <n v="1368"/>
    <x v="32"/>
    <d v="2024-07-11T00:00:00"/>
    <x v="2"/>
    <x v="0"/>
    <m/>
    <n v="998"/>
    <s v="UPI"/>
    <s v="2024-07"/>
    <d v="2025-05-07T00:00:00"/>
    <x v="0"/>
    <m/>
    <m/>
    <m/>
    <m/>
  </r>
  <r>
    <n v="1571"/>
    <x v="53"/>
    <d v="2025-06-06T00:00:00"/>
    <x v="2"/>
    <x v="1"/>
    <m/>
    <n v="2285"/>
    <s v="UPI"/>
    <s v="2025-06"/>
    <d v="2025-06-06T00:00:00"/>
    <x v="0"/>
    <m/>
    <m/>
    <m/>
    <m/>
  </r>
  <r>
    <n v="75"/>
    <x v="10"/>
    <d v="2025-03-18T00:00:00"/>
    <x v="1"/>
    <x v="0"/>
    <m/>
    <n v="2026"/>
    <s v="Credit Card"/>
    <s v="2025-03"/>
    <d v="2025-05-17T00:00:00"/>
    <x v="0"/>
    <m/>
    <m/>
    <m/>
    <m/>
  </r>
  <r>
    <n v="1548"/>
    <x v="32"/>
    <d v="2024-01-17T00:00:00"/>
    <x v="0"/>
    <x v="5"/>
    <m/>
    <n v="1442"/>
    <s v="Cheque"/>
    <s v="2024-01"/>
    <d v="2025-05-07T00:00:00"/>
    <x v="0"/>
    <m/>
    <m/>
    <m/>
    <m/>
  </r>
  <r>
    <n v="523"/>
    <x v="31"/>
    <d v="2024-11-11T00:00:00"/>
    <x v="1"/>
    <x v="2"/>
    <m/>
    <n v="454"/>
    <s v="UPI"/>
    <s v="2024-11"/>
    <d v="2025-05-16T00:00:00"/>
    <x v="0"/>
    <m/>
    <m/>
    <m/>
    <m/>
  </r>
  <r>
    <n v="336"/>
    <x v="72"/>
    <d v="2024-11-23T00:00:00"/>
    <x v="4"/>
    <x v="2"/>
    <m/>
    <n v="531"/>
    <s v="Bank Transfer"/>
    <s v="2024-11"/>
    <d v="2025-05-21T00:00:00"/>
    <x v="0"/>
    <m/>
    <m/>
    <m/>
    <m/>
  </r>
  <r>
    <n v="570"/>
    <x v="82"/>
    <d v="2024-10-23T00:00:00"/>
    <x v="4"/>
    <x v="4"/>
    <m/>
    <n v="8157"/>
    <s v="Cash"/>
    <s v="2024-10"/>
    <d v="2025-06-21T00:00:00"/>
    <x v="0"/>
    <m/>
    <m/>
    <m/>
    <m/>
  </r>
  <r>
    <n v="591"/>
    <x v="45"/>
    <d v="2024-01-06T00:00:00"/>
    <x v="2"/>
    <x v="3"/>
    <m/>
    <n v="328"/>
    <s v="Cheque"/>
    <s v="2024-01"/>
    <d v="2025-06-18T00:00:00"/>
    <x v="0"/>
    <m/>
    <m/>
    <m/>
    <m/>
  </r>
  <r>
    <n v="89"/>
    <x v="64"/>
    <d v="2025-03-20T00:00:00"/>
    <x v="2"/>
    <x v="1"/>
    <m/>
    <n v="1616"/>
    <s v="UPI"/>
    <s v="2025-03"/>
    <d v="2025-04-28T00:00:00"/>
    <x v="0"/>
    <m/>
    <m/>
    <m/>
    <m/>
  </r>
  <r>
    <n v="875"/>
    <x v="110"/>
    <d v="2025-03-08T00:00:00"/>
    <x v="0"/>
    <x v="4"/>
    <m/>
    <n v="5939"/>
    <s v="Bank Transfer"/>
    <s v="2025-03"/>
    <d v="2025-06-20T00:00:00"/>
    <x v="0"/>
    <m/>
    <m/>
    <m/>
    <m/>
  </r>
  <r>
    <n v="810"/>
    <x v="112"/>
    <d v="2025-03-14T00:00:00"/>
    <x v="4"/>
    <x v="0"/>
    <m/>
    <n v="824"/>
    <s v="Bank Transfer"/>
    <s v="2025-03"/>
    <d v="2025-06-04T00:00:00"/>
    <x v="0"/>
    <m/>
    <m/>
    <m/>
    <m/>
  </r>
  <r>
    <n v="1362"/>
    <x v="14"/>
    <d v="2024-12-21T00:00:00"/>
    <x v="4"/>
    <x v="0"/>
    <m/>
    <n v="712"/>
    <s v="Bank Transfer"/>
    <s v="2024-12"/>
    <d v="2025-04-16T00:00:00"/>
    <x v="0"/>
    <m/>
    <m/>
    <m/>
    <m/>
  </r>
  <r>
    <n v="218"/>
    <x v="71"/>
    <d v="2024-03-01T00:00:00"/>
    <x v="2"/>
    <x v="3"/>
    <m/>
    <n v="553"/>
    <s v="Cash"/>
    <s v="2024-03"/>
    <d v="2025-05-16T00:00:00"/>
    <x v="0"/>
    <m/>
    <m/>
    <m/>
    <m/>
  </r>
  <r>
    <n v="889"/>
    <x v="32"/>
    <d v="2024-12-25T00:00:00"/>
    <x v="0"/>
    <x v="4"/>
    <m/>
    <n v="5790"/>
    <s v="Credit Card"/>
    <s v="2024-12"/>
    <d v="2025-05-07T00:00:00"/>
    <x v="0"/>
    <m/>
    <m/>
    <m/>
    <m/>
  </r>
  <r>
    <n v="713"/>
    <x v="98"/>
    <d v="2025-04-30T00:00:00"/>
    <x v="1"/>
    <x v="0"/>
    <m/>
    <n v="1251"/>
    <s v="Bank Transfer"/>
    <s v="2025-04"/>
    <d v="2025-05-05T00:00:00"/>
    <x v="0"/>
    <m/>
    <m/>
    <m/>
    <m/>
  </r>
  <r>
    <n v="1245"/>
    <x v="20"/>
    <d v="2024-12-26T00:00:00"/>
    <x v="3"/>
    <x v="2"/>
    <m/>
    <n v="1853"/>
    <s v="Bank Transfer"/>
    <s v="2024-12"/>
    <d v="2025-06-07T00:00:00"/>
    <x v="0"/>
    <m/>
    <m/>
    <m/>
    <m/>
  </r>
  <r>
    <n v="857"/>
    <x v="49"/>
    <d v="2024-07-03T00:00:00"/>
    <x v="3"/>
    <x v="1"/>
    <m/>
    <n v="4246"/>
    <s v="Credit Card"/>
    <s v="2024-07"/>
    <d v="2025-05-18T00:00:00"/>
    <x v="0"/>
    <m/>
    <m/>
    <m/>
    <m/>
  </r>
  <r>
    <n v="174"/>
    <x v="91"/>
    <d v="2024-07-18T00:00:00"/>
    <x v="3"/>
    <x v="5"/>
    <m/>
    <n v="955"/>
    <s v="Cash"/>
    <s v="2024-07"/>
    <d v="2025-05-04T00:00:00"/>
    <x v="0"/>
    <m/>
    <m/>
    <m/>
    <m/>
  </r>
  <r>
    <n v="1669"/>
    <x v="6"/>
    <d v="2025-05-31T00:00:00"/>
    <x v="0"/>
    <x v="2"/>
    <m/>
    <n v="774"/>
    <s v="Cash"/>
    <s v="2025-05"/>
    <d v="2025-05-31T00:00:00"/>
    <x v="0"/>
    <m/>
    <m/>
    <m/>
    <m/>
  </r>
  <r>
    <n v="1252"/>
    <x v="48"/>
    <d v="2025-02-28T00:00:00"/>
    <x v="3"/>
    <x v="0"/>
    <m/>
    <n v="1930"/>
    <s v="Cheque"/>
    <s v="2025-02"/>
    <d v="2025-04-13T00:00:00"/>
    <x v="0"/>
    <m/>
    <m/>
    <m/>
    <m/>
  </r>
  <r>
    <n v="222"/>
    <x v="35"/>
    <d v="2025-01-17T00:00:00"/>
    <x v="0"/>
    <x v="0"/>
    <m/>
    <n v="2392"/>
    <s v="Credit Card"/>
    <s v="2025-01"/>
    <d v="2025-06-13T00:00:00"/>
    <x v="0"/>
    <m/>
    <m/>
    <m/>
    <m/>
  </r>
  <r>
    <n v="320"/>
    <x v="105"/>
    <d v="2024-05-30T00:00:00"/>
    <x v="0"/>
    <x v="4"/>
    <m/>
    <n v="1783"/>
    <s v="Credit Card"/>
    <s v="2024-05"/>
    <d v="2025-06-17T00:00:00"/>
    <x v="0"/>
    <m/>
    <m/>
    <m/>
    <m/>
  </r>
  <r>
    <n v="1583"/>
    <x v="57"/>
    <d v="2025-06-08T00:00:00"/>
    <x v="2"/>
    <x v="2"/>
    <m/>
    <n v="913"/>
    <s v="Cash"/>
    <s v="2025-06"/>
    <d v="2025-06-08T00:00:00"/>
    <x v="0"/>
    <m/>
    <m/>
    <m/>
    <m/>
  </r>
  <r>
    <n v="1606"/>
    <x v="90"/>
    <d v="2024-05-19T00:00:00"/>
    <x v="2"/>
    <x v="3"/>
    <m/>
    <n v="431"/>
    <s v="Bank Transfer"/>
    <s v="2024-05"/>
    <d v="2025-06-19T00:00:00"/>
    <x v="0"/>
    <m/>
    <m/>
    <m/>
    <m/>
  </r>
  <r>
    <n v="879"/>
    <x v="49"/>
    <d v="2025-05-14T00:00:00"/>
    <x v="4"/>
    <x v="2"/>
    <m/>
    <n v="2226"/>
    <s v="Cash"/>
    <s v="2025-05"/>
    <d v="2025-05-18T00:00:00"/>
    <x v="0"/>
    <m/>
    <m/>
    <m/>
    <m/>
  </r>
  <r>
    <n v="1627"/>
    <x v="16"/>
    <d v="2024-02-11T00:00:00"/>
    <x v="2"/>
    <x v="5"/>
    <m/>
    <n v="2236"/>
    <s v="Cash"/>
    <s v="2024-02"/>
    <d v="2025-05-28T00:00:00"/>
    <x v="0"/>
    <m/>
    <m/>
    <m/>
    <m/>
  </r>
  <r>
    <n v="1059"/>
    <x v="33"/>
    <d v="2024-02-22T00:00:00"/>
    <x v="0"/>
    <x v="2"/>
    <m/>
    <n v="10081"/>
    <s v="Bank Transfer"/>
    <s v="2024-02"/>
    <d v="2025-03-13T00:00:00"/>
    <x v="1"/>
    <m/>
    <m/>
    <m/>
    <m/>
  </r>
  <r>
    <n v="826"/>
    <x v="49"/>
    <d v="2025-05-18T00:00:00"/>
    <x v="2"/>
    <x v="3"/>
    <m/>
    <n v="757"/>
    <s v="Bank Transfer"/>
    <s v="2025-05"/>
    <d v="2025-05-18T00:00:00"/>
    <x v="0"/>
    <m/>
    <m/>
    <m/>
    <m/>
  </r>
  <r>
    <n v="1333"/>
    <x v="51"/>
    <d v="2024-03-09T00:00:00"/>
    <x v="0"/>
    <x v="4"/>
    <m/>
    <n v="2712"/>
    <s v="Bank Transfer"/>
    <s v="2024-03"/>
    <d v="2025-06-22T00:00:00"/>
    <x v="0"/>
    <m/>
    <m/>
    <m/>
    <m/>
  </r>
  <r>
    <n v="267"/>
    <x v="101"/>
    <d v="2025-01-27T00:00:00"/>
    <x v="2"/>
    <x v="3"/>
    <m/>
    <n v="4735"/>
    <s v="Bank Transfer"/>
    <s v="2025-01"/>
    <d v="2025-06-23T00:00:00"/>
    <x v="0"/>
    <m/>
    <m/>
    <m/>
    <m/>
  </r>
  <r>
    <n v="7"/>
    <x v="97"/>
    <d v="2024-06-24T00:00:00"/>
    <x v="4"/>
    <x v="4"/>
    <m/>
    <n v="286"/>
    <s v="Cheque"/>
    <s v="2024-06"/>
    <d v="2025-06-13T00:00:00"/>
    <x v="0"/>
    <m/>
    <m/>
    <m/>
    <m/>
  </r>
  <r>
    <n v="1023"/>
    <x v="53"/>
    <d v="2024-03-10T00:00:00"/>
    <x v="2"/>
    <x v="2"/>
    <m/>
    <n v="1339"/>
    <s v="UPI"/>
    <s v="2024-03"/>
    <d v="2025-06-06T00:00:00"/>
    <x v="0"/>
    <m/>
    <m/>
    <m/>
    <m/>
  </r>
  <r>
    <n v="1795"/>
    <x v="32"/>
    <d v="2024-07-12T00:00:00"/>
    <x v="4"/>
    <x v="0"/>
    <m/>
    <n v="703"/>
    <s v="Bank Transfer"/>
    <s v="2024-07"/>
    <d v="2025-05-07T00:00:00"/>
    <x v="0"/>
    <m/>
    <m/>
    <m/>
    <m/>
  </r>
  <r>
    <n v="739"/>
    <x v="112"/>
    <d v="2025-06-04T00:00:00"/>
    <x v="3"/>
    <x v="1"/>
    <m/>
    <n v="908"/>
    <s v="Bank Transfer"/>
    <s v="2025-06"/>
    <d v="2025-06-04T00:00:00"/>
    <x v="0"/>
    <m/>
    <m/>
    <m/>
    <m/>
  </r>
  <r>
    <n v="139"/>
    <x v="42"/>
    <d v="2024-11-12T00:00:00"/>
    <x v="0"/>
    <x v="4"/>
    <m/>
    <n v="5357"/>
    <s v="Cheque"/>
    <s v="2024-11"/>
    <d v="2025-05-08T00:00:00"/>
    <x v="0"/>
    <m/>
    <m/>
    <m/>
    <m/>
  </r>
  <r>
    <n v="164"/>
    <x v="40"/>
    <d v="2024-07-05T00:00:00"/>
    <x v="4"/>
    <x v="1"/>
    <m/>
    <n v="11643"/>
    <s v="UPI"/>
    <s v="2024-07"/>
    <d v="2025-05-30T00:00:00"/>
    <x v="0"/>
    <m/>
    <m/>
    <m/>
    <m/>
  </r>
  <r>
    <n v="1494"/>
    <x v="116"/>
    <d v="2024-07-28T00:00:00"/>
    <x v="0"/>
    <x v="0"/>
    <m/>
    <n v="841"/>
    <s v="Cheque"/>
    <s v="2024-07"/>
    <d v="2025-05-20T00:00:00"/>
    <x v="0"/>
    <m/>
    <m/>
    <m/>
    <m/>
  </r>
  <r>
    <n v="595"/>
    <x v="81"/>
    <d v="2025-01-29T00:00:00"/>
    <x v="1"/>
    <x v="0"/>
    <m/>
    <n v="459"/>
    <s v="Bank Transfer"/>
    <s v="2025-01"/>
    <d v="2025-06-20T00:00:00"/>
    <x v="0"/>
    <m/>
    <m/>
    <m/>
    <m/>
  </r>
  <r>
    <n v="1712"/>
    <x v="107"/>
    <d v="2024-04-19T00:00:00"/>
    <x v="1"/>
    <x v="4"/>
    <m/>
    <n v="859"/>
    <s v="Cash"/>
    <s v="2024-04"/>
    <d v="2025-04-12T00:00:00"/>
    <x v="0"/>
    <m/>
    <m/>
    <m/>
    <m/>
  </r>
  <r>
    <n v="1757"/>
    <x v="49"/>
    <d v="2024-06-30T00:00:00"/>
    <x v="2"/>
    <x v="2"/>
    <m/>
    <n v="1309"/>
    <s v="Bank Transfer"/>
    <s v="2024-06"/>
    <d v="2025-05-18T00:00:00"/>
    <x v="0"/>
    <m/>
    <m/>
    <m/>
    <m/>
  </r>
  <r>
    <n v="1319"/>
    <x v="18"/>
    <d v="2024-09-14T00:00:00"/>
    <x v="4"/>
    <x v="3"/>
    <m/>
    <n v="413"/>
    <s v="Bank Transfer"/>
    <s v="2024-09"/>
    <d v="2025-05-23T00:00:00"/>
    <x v="0"/>
    <m/>
    <m/>
    <m/>
    <m/>
  </r>
  <r>
    <n v="1146"/>
    <x v="97"/>
    <d v="2024-02-07T00:00:00"/>
    <x v="0"/>
    <x v="4"/>
    <m/>
    <n v="1250"/>
    <s v="UPI"/>
    <s v="2024-02"/>
    <d v="2025-06-13T00:00:00"/>
    <x v="0"/>
    <m/>
    <m/>
    <m/>
    <m/>
  </r>
  <r>
    <n v="1724"/>
    <x v="75"/>
    <d v="2024-03-17T00:00:00"/>
    <x v="2"/>
    <x v="2"/>
    <m/>
    <n v="0"/>
    <s v="Cash"/>
    <s v="2024-03"/>
    <d v="2025-06-13T00:00:00"/>
    <x v="0"/>
    <m/>
    <m/>
    <m/>
    <m/>
  </r>
  <r>
    <n v="961"/>
    <x v="61"/>
    <d v="2025-04-15T00:00:00"/>
    <x v="3"/>
    <x v="3"/>
    <m/>
    <n v="857"/>
    <s v="Bank Transfer"/>
    <s v="2025-04"/>
    <d v="2025-05-18T00:00:00"/>
    <x v="0"/>
    <m/>
    <m/>
    <m/>
    <m/>
  </r>
  <r>
    <n v="1304"/>
    <x v="38"/>
    <d v="2025-05-18T00:00:00"/>
    <x v="3"/>
    <x v="5"/>
    <m/>
    <n v="5976"/>
    <s v="Bank Transfer"/>
    <s v="2025-05"/>
    <d v="2025-05-29T00:00:00"/>
    <x v="0"/>
    <m/>
    <m/>
    <m/>
    <m/>
  </r>
  <r>
    <n v="1674"/>
    <x v="21"/>
    <d v="2024-12-12T00:00:00"/>
    <x v="0"/>
    <x v="4"/>
    <m/>
    <n v="1789"/>
    <s v="Bank Transfer"/>
    <s v="2024-12"/>
    <d v="2025-06-03T00:00:00"/>
    <x v="0"/>
    <m/>
    <m/>
    <m/>
    <m/>
  </r>
  <r>
    <n v="524"/>
    <x v="71"/>
    <d v="2024-08-09T00:00:00"/>
    <x v="1"/>
    <x v="4"/>
    <m/>
    <n v="950"/>
    <s v="UPI"/>
    <s v="2024-08"/>
    <d v="2025-05-16T00:00:00"/>
    <x v="0"/>
    <m/>
    <m/>
    <m/>
    <m/>
  </r>
  <r>
    <n v="1129"/>
    <x v="119"/>
    <d v="2025-03-21T00:00:00"/>
    <x v="0"/>
    <x v="1"/>
    <m/>
    <n v="1802"/>
    <s v="Bank Transfer"/>
    <s v="2025-03"/>
    <d v="2025-06-19T00:00:00"/>
    <x v="0"/>
    <m/>
    <m/>
    <m/>
    <m/>
  </r>
  <r>
    <n v="807"/>
    <x v="40"/>
    <d v="2024-11-04T00:00:00"/>
    <x v="3"/>
    <x v="1"/>
    <m/>
    <n v="1085"/>
    <s v="Cheque"/>
    <s v="2024-11"/>
    <d v="2025-05-30T00:00:00"/>
    <x v="0"/>
    <m/>
    <m/>
    <m/>
    <m/>
  </r>
  <r>
    <n v="745"/>
    <x v="85"/>
    <d v="2024-10-13T00:00:00"/>
    <x v="0"/>
    <x v="4"/>
    <m/>
    <n v="11830"/>
    <s v="Bank Transfer"/>
    <s v="2024-10"/>
    <d v="2025-04-17T00:00:00"/>
    <x v="0"/>
    <m/>
    <m/>
    <m/>
    <m/>
  </r>
  <r>
    <n v="1103"/>
    <x v="16"/>
    <d v="2024-07-11T00:00:00"/>
    <x v="2"/>
    <x v="0"/>
    <m/>
    <n v="280"/>
    <s v="UPI"/>
    <s v="2024-07"/>
    <d v="2025-05-28T00:00:00"/>
    <x v="0"/>
    <m/>
    <m/>
    <m/>
    <m/>
  </r>
  <r>
    <n v="579"/>
    <x v="5"/>
    <d v="2024-01-08T00:00:00"/>
    <x v="2"/>
    <x v="2"/>
    <m/>
    <n v="2416"/>
    <s v="Cash"/>
    <s v="2024-01"/>
    <d v="2025-05-24T00:00:00"/>
    <x v="0"/>
    <m/>
    <m/>
    <m/>
    <m/>
  </r>
  <r>
    <n v="846"/>
    <x v="68"/>
    <d v="2024-08-18T00:00:00"/>
    <x v="2"/>
    <x v="4"/>
    <m/>
    <n v="327"/>
    <s v="Bank Transfer"/>
    <s v="2024-08"/>
    <d v="2025-04-25T00:00:00"/>
    <x v="0"/>
    <m/>
    <m/>
    <m/>
    <m/>
  </r>
  <r>
    <n v="1213"/>
    <x v="41"/>
    <d v="2024-10-27T00:00:00"/>
    <x v="3"/>
    <x v="1"/>
    <m/>
    <n v="1452"/>
    <s v="Credit Card"/>
    <s v="2024-10"/>
    <d v="2025-06-08T00:00:00"/>
    <x v="0"/>
    <m/>
    <m/>
    <m/>
    <m/>
  </r>
  <r>
    <n v="20"/>
    <x v="84"/>
    <d v="2024-04-10T00:00:00"/>
    <x v="0"/>
    <x v="2"/>
    <m/>
    <n v="5601"/>
    <s v="UPI"/>
    <s v="2024-04"/>
    <d v="2025-06-07T00:00:00"/>
    <x v="0"/>
    <m/>
    <m/>
    <m/>
    <m/>
  </r>
  <r>
    <n v="1179"/>
    <x v="34"/>
    <d v="2024-08-21T00:00:00"/>
    <x v="0"/>
    <x v="4"/>
    <m/>
    <n v="596"/>
    <s v="Bank Transfer"/>
    <s v="2024-08"/>
    <d v="2025-05-16T00:00:00"/>
    <x v="0"/>
    <m/>
    <m/>
    <m/>
    <m/>
  </r>
  <r>
    <n v="1723"/>
    <x v="36"/>
    <d v="2024-01-18T00:00:00"/>
    <x v="0"/>
    <x v="4"/>
    <m/>
    <n v="474"/>
    <s v="Bank Transfer"/>
    <s v="2024-01"/>
    <d v="2025-06-16T00:00:00"/>
    <x v="0"/>
    <m/>
    <m/>
    <m/>
    <m/>
  </r>
  <r>
    <n v="634"/>
    <x v="72"/>
    <d v="2024-11-15T00:00:00"/>
    <x v="0"/>
    <x v="4"/>
    <m/>
    <n v="9629"/>
    <s v="Cash"/>
    <s v="2024-11"/>
    <d v="2025-05-21T00:00:00"/>
    <x v="0"/>
    <m/>
    <m/>
    <m/>
    <m/>
  </r>
  <r>
    <n v="1422"/>
    <x v="51"/>
    <d v="2024-05-30T00:00:00"/>
    <x v="3"/>
    <x v="2"/>
    <m/>
    <n v="1589"/>
    <s v="Bank Transfer"/>
    <s v="2024-05"/>
    <d v="2025-06-22T00:00:00"/>
    <x v="0"/>
    <m/>
    <m/>
    <m/>
    <m/>
  </r>
  <r>
    <n v="619"/>
    <x v="111"/>
    <d v="2024-09-21T00:00:00"/>
    <x v="0"/>
    <x v="2"/>
    <m/>
    <n v="949"/>
    <s v="Cheque"/>
    <s v="2024-09"/>
    <d v="2025-06-07T00:00:00"/>
    <x v="0"/>
    <m/>
    <m/>
    <m/>
    <m/>
  </r>
  <r>
    <n v="1076"/>
    <x v="22"/>
    <d v="2025-06-09T00:00:00"/>
    <x v="2"/>
    <x v="2"/>
    <m/>
    <n v="5785"/>
    <s v="UPI"/>
    <s v="2025-06"/>
    <d v="2025-06-09T00:00:00"/>
    <x v="0"/>
    <m/>
    <m/>
    <m/>
    <m/>
  </r>
  <r>
    <n v="656"/>
    <x v="74"/>
    <d v="2025-03-22T00:00:00"/>
    <x v="2"/>
    <x v="4"/>
    <m/>
    <n v="1364"/>
    <s v="UPI"/>
    <s v="2025-03"/>
    <d v="2025-05-11T00:00:00"/>
    <x v="0"/>
    <m/>
    <m/>
    <m/>
    <m/>
  </r>
  <r>
    <n v="17"/>
    <x v="9"/>
    <d v="2024-05-03T00:00:00"/>
    <x v="4"/>
    <x v="3"/>
    <m/>
    <n v="4042"/>
    <s v="Cheque"/>
    <s v="2024-05"/>
    <d v="2025-04-29T00:00:00"/>
    <x v="0"/>
    <m/>
    <m/>
    <m/>
    <m/>
  </r>
  <r>
    <n v="1577"/>
    <x v="11"/>
    <d v="2024-08-29T00:00:00"/>
    <x v="0"/>
    <x v="0"/>
    <m/>
    <n v="1716"/>
    <s v="UPI"/>
    <s v="2024-08"/>
    <d v="2025-06-11T00:00:00"/>
    <x v="0"/>
    <m/>
    <m/>
    <m/>
    <m/>
  </r>
  <r>
    <n v="1074"/>
    <x v="58"/>
    <d v="2025-03-31T00:00:00"/>
    <x v="4"/>
    <x v="1"/>
    <m/>
    <n v="2918"/>
    <s v="UPI"/>
    <s v="2025-03"/>
    <d v="2025-06-15T00:00:00"/>
    <x v="0"/>
    <m/>
    <m/>
    <m/>
    <m/>
  </r>
  <r>
    <n v="138"/>
    <x v="53"/>
    <d v="2025-03-24T00:00:00"/>
    <x v="0"/>
    <x v="5"/>
    <m/>
    <n v="2376"/>
    <s v="Cheque"/>
    <s v="2025-03"/>
    <d v="2025-06-06T00:00:00"/>
    <x v="0"/>
    <m/>
    <m/>
    <m/>
    <m/>
  </r>
  <r>
    <n v="1321"/>
    <x v="89"/>
    <d v="2025-04-06T00:00:00"/>
    <x v="0"/>
    <x v="5"/>
    <m/>
    <n v="276"/>
    <s v="Cash"/>
    <s v="2025-04"/>
    <d v="2025-05-10T00:00:00"/>
    <x v="0"/>
    <m/>
    <m/>
    <m/>
    <m/>
  </r>
  <r>
    <n v="1372"/>
    <x v="112"/>
    <d v="2025-01-27T00:00:00"/>
    <x v="3"/>
    <x v="3"/>
    <m/>
    <n v="807"/>
    <s v="Cheque"/>
    <s v="2025-01"/>
    <d v="2025-06-04T00:00:00"/>
    <x v="0"/>
    <m/>
    <m/>
    <m/>
    <m/>
  </r>
  <r>
    <n v="558"/>
    <x v="64"/>
    <d v="2024-02-12T00:00:00"/>
    <x v="3"/>
    <x v="2"/>
    <m/>
    <n v="5912"/>
    <s v="Cash"/>
    <s v="2024-02"/>
    <d v="2025-04-28T00:00:00"/>
    <x v="0"/>
    <m/>
    <m/>
    <m/>
    <m/>
  </r>
  <r>
    <n v="698"/>
    <x v="34"/>
    <d v="2025-01-04T00:00:00"/>
    <x v="0"/>
    <x v="5"/>
    <m/>
    <n v="850"/>
    <s v="UPI"/>
    <s v="2025-01"/>
    <d v="2025-05-16T00:00:00"/>
    <x v="0"/>
    <m/>
    <m/>
    <m/>
    <m/>
  </r>
  <r>
    <n v="1774"/>
    <x v="101"/>
    <d v="2024-07-09T00:00:00"/>
    <x v="4"/>
    <x v="0"/>
    <m/>
    <n v="694"/>
    <s v="Cash"/>
    <s v="2024-07"/>
    <d v="2025-06-23T00:00:00"/>
    <x v="0"/>
    <m/>
    <m/>
    <m/>
    <m/>
  </r>
  <r>
    <n v="862"/>
    <x v="36"/>
    <d v="2025-02-13T00:00:00"/>
    <x v="2"/>
    <x v="5"/>
    <m/>
    <n v="882"/>
    <s v="Credit Card"/>
    <s v="2025-02"/>
    <d v="2025-06-16T00:00:00"/>
    <x v="0"/>
    <m/>
    <m/>
    <m/>
    <m/>
  </r>
  <r>
    <n v="1460"/>
    <x v="91"/>
    <d v="2024-06-16T00:00:00"/>
    <x v="2"/>
    <x v="5"/>
    <m/>
    <n v="2998"/>
    <s v="Cheque"/>
    <s v="2024-06"/>
    <d v="2025-05-04T00:00:00"/>
    <x v="0"/>
    <m/>
    <m/>
    <m/>
    <m/>
  </r>
  <r>
    <n v="449"/>
    <x v="107"/>
    <d v="2024-11-02T00:00:00"/>
    <x v="0"/>
    <x v="5"/>
    <m/>
    <n v="2237"/>
    <s v="Cheque"/>
    <s v="2024-11"/>
    <d v="2025-04-12T00:00:00"/>
    <x v="0"/>
    <m/>
    <m/>
    <m/>
    <m/>
  </r>
  <r>
    <n v="369"/>
    <x v="93"/>
    <d v="2025-05-31T00:00:00"/>
    <x v="0"/>
    <x v="3"/>
    <m/>
    <n v="10945"/>
    <s v="Cheque"/>
    <s v="2025-05"/>
    <d v="2025-06-16T00:00:00"/>
    <x v="0"/>
    <m/>
    <m/>
    <m/>
    <m/>
  </r>
  <r>
    <n v="1707"/>
    <x v="32"/>
    <d v="2024-12-28T00:00:00"/>
    <x v="2"/>
    <x v="2"/>
    <m/>
    <n v="8243"/>
    <s v="UPI"/>
    <s v="2024-12"/>
    <d v="2025-05-07T00:00:00"/>
    <x v="0"/>
    <m/>
    <m/>
    <m/>
    <m/>
  </r>
  <r>
    <n v="1075"/>
    <x v="119"/>
    <d v="2024-10-12T00:00:00"/>
    <x v="2"/>
    <x v="5"/>
    <m/>
    <n v="1098"/>
    <s v="Credit Card"/>
    <s v="2024-10"/>
    <d v="2025-06-19T00:00:00"/>
    <x v="0"/>
    <m/>
    <m/>
    <m/>
    <m/>
  </r>
  <r>
    <n v="328"/>
    <x v="35"/>
    <d v="2025-06-02T00:00:00"/>
    <x v="4"/>
    <x v="0"/>
    <m/>
    <n v="435"/>
    <s v="Credit Card"/>
    <s v="2025-06"/>
    <d v="2025-06-13T00:00:00"/>
    <x v="0"/>
    <m/>
    <m/>
    <m/>
    <m/>
  </r>
  <r>
    <n v="318"/>
    <x v="46"/>
    <d v="2024-04-09T00:00:00"/>
    <x v="1"/>
    <x v="0"/>
    <m/>
    <n v="891"/>
    <s v="Cheque"/>
    <s v="2024-04"/>
    <d v="2025-06-04T00:00:00"/>
    <x v="0"/>
    <m/>
    <m/>
    <m/>
    <m/>
  </r>
  <r>
    <n v="1378"/>
    <x v="53"/>
    <d v="2025-01-20T00:00:00"/>
    <x v="1"/>
    <x v="4"/>
    <m/>
    <n v="1872"/>
    <s v="Cheque"/>
    <s v="2025-01"/>
    <d v="2025-06-06T00:00:00"/>
    <x v="0"/>
    <m/>
    <m/>
    <m/>
    <m/>
  </r>
  <r>
    <n v="1339"/>
    <x v="41"/>
    <d v="2025-05-03T00:00:00"/>
    <x v="4"/>
    <x v="5"/>
    <m/>
    <n v="765"/>
    <s v="Cash"/>
    <s v="2025-05"/>
    <d v="2025-06-08T00:00:00"/>
    <x v="0"/>
    <m/>
    <m/>
    <m/>
    <m/>
  </r>
  <r>
    <n v="529"/>
    <x v="59"/>
    <d v="2024-06-10T00:00:00"/>
    <x v="2"/>
    <x v="3"/>
    <m/>
    <n v="10056"/>
    <s v="Credit Card"/>
    <s v="2024-06"/>
    <d v="2025-06-07T00:00:00"/>
    <x v="0"/>
    <m/>
    <m/>
    <m/>
    <m/>
  </r>
  <r>
    <n v="527"/>
    <x v="72"/>
    <d v="2024-02-15T00:00:00"/>
    <x v="3"/>
    <x v="3"/>
    <m/>
    <n v="4934"/>
    <s v="UPI"/>
    <s v="2024-02"/>
    <d v="2025-05-21T00:00:00"/>
    <x v="0"/>
    <m/>
    <m/>
    <m/>
    <m/>
  </r>
  <r>
    <n v="88"/>
    <x v="43"/>
    <d v="2025-01-24T00:00:00"/>
    <x v="0"/>
    <x v="0"/>
    <m/>
    <n v="523"/>
    <s v="Credit Card"/>
    <s v="2025-01"/>
    <d v="2025-06-13T00:00:00"/>
    <x v="0"/>
    <m/>
    <m/>
    <m/>
    <m/>
  </r>
  <r>
    <n v="480"/>
    <x v="22"/>
    <d v="2024-02-21T00:00:00"/>
    <x v="0"/>
    <x v="1"/>
    <m/>
    <n v="8360"/>
    <s v="Cash"/>
    <s v="2024-02"/>
    <d v="2025-06-09T00:00:00"/>
    <x v="0"/>
    <m/>
    <m/>
    <m/>
    <m/>
  </r>
  <r>
    <n v="339"/>
    <x v="1"/>
    <d v="2024-04-01T00:00:00"/>
    <x v="1"/>
    <x v="4"/>
    <m/>
    <n v="2420"/>
    <s v="Bank Transfer"/>
    <s v="2024-04"/>
    <d v="2025-06-05T00:00:00"/>
    <x v="0"/>
    <m/>
    <m/>
    <m/>
    <m/>
  </r>
  <r>
    <n v="1762"/>
    <x v="62"/>
    <d v="2024-01-13T00:00:00"/>
    <x v="3"/>
    <x v="3"/>
    <m/>
    <n v="455"/>
    <s v="Credit Card"/>
    <s v="2024-01"/>
    <d v="2025-06-06T00:00:00"/>
    <x v="0"/>
    <m/>
    <m/>
    <m/>
    <m/>
  </r>
  <r>
    <n v="1190"/>
    <x v="49"/>
    <d v="2025-03-03T00:00:00"/>
    <x v="0"/>
    <x v="3"/>
    <m/>
    <n v="0"/>
    <s v="Credit Card"/>
    <s v="2025-03"/>
    <d v="2025-05-18T00:00:00"/>
    <x v="0"/>
    <m/>
    <m/>
    <m/>
    <m/>
  </r>
  <r>
    <n v="658"/>
    <x v="38"/>
    <d v="2025-01-07T00:00:00"/>
    <x v="2"/>
    <x v="1"/>
    <m/>
    <n v="1342"/>
    <s v="Cheque"/>
    <s v="2025-01"/>
    <d v="2025-05-29T00:00:00"/>
    <x v="0"/>
    <m/>
    <m/>
    <m/>
    <m/>
  </r>
  <r>
    <n v="149"/>
    <x v="93"/>
    <d v="2024-12-06T00:00:00"/>
    <x v="2"/>
    <x v="5"/>
    <m/>
    <n v="9354"/>
    <s v="Credit Card"/>
    <s v="2024-12"/>
    <d v="2025-06-16T00:00:00"/>
    <x v="0"/>
    <m/>
    <m/>
    <m/>
    <m/>
  </r>
  <r>
    <n v="1467"/>
    <x v="27"/>
    <d v="2025-01-16T00:00:00"/>
    <x v="1"/>
    <x v="1"/>
    <m/>
    <n v="594"/>
    <s v="Cash"/>
    <s v="2025-01"/>
    <d v="2025-05-13T00:00:00"/>
    <x v="0"/>
    <m/>
    <m/>
    <m/>
    <m/>
  </r>
  <r>
    <n v="1675"/>
    <x v="49"/>
    <d v="2024-05-08T00:00:00"/>
    <x v="3"/>
    <x v="0"/>
    <m/>
    <n v="1813"/>
    <s v="Cash"/>
    <s v="2024-05"/>
    <d v="2025-05-18T00:00:00"/>
    <x v="0"/>
    <m/>
    <m/>
    <m/>
    <m/>
  </r>
  <r>
    <n v="1429"/>
    <x v="12"/>
    <d v="2024-09-30T00:00:00"/>
    <x v="4"/>
    <x v="4"/>
    <m/>
    <n v="1047"/>
    <s v="Bank Transfer"/>
    <s v="2024-09"/>
    <d v="2025-05-28T00:00:00"/>
    <x v="0"/>
    <m/>
    <m/>
    <m/>
    <m/>
  </r>
  <r>
    <n v="29"/>
    <x v="38"/>
    <d v="2024-01-09T00:00:00"/>
    <x v="3"/>
    <x v="5"/>
    <m/>
    <n v="1176"/>
    <s v="Credit Card"/>
    <s v="2024-01"/>
    <d v="2025-05-29T00:00:00"/>
    <x v="0"/>
    <m/>
    <m/>
    <m/>
    <m/>
  </r>
  <r>
    <n v="247"/>
    <x v="65"/>
    <d v="2024-03-05T00:00:00"/>
    <x v="2"/>
    <x v="0"/>
    <m/>
    <n v="1419"/>
    <s v="Credit Card"/>
    <s v="2024-03"/>
    <d v="2025-06-18T00:00:00"/>
    <x v="0"/>
    <m/>
    <m/>
    <m/>
    <m/>
  </r>
  <r>
    <n v="366"/>
    <x v="106"/>
    <d v="2024-04-09T00:00:00"/>
    <x v="4"/>
    <x v="3"/>
    <m/>
    <n v="4710"/>
    <s v="Bank Transfer"/>
    <s v="2024-04"/>
    <d v="2025-06-20T00:00:00"/>
    <x v="0"/>
    <m/>
    <m/>
    <m/>
    <m/>
  </r>
  <r>
    <n v="590"/>
    <x v="107"/>
    <d v="2024-10-12T00:00:00"/>
    <x v="0"/>
    <x v="2"/>
    <m/>
    <n v="1798"/>
    <s v="Cash"/>
    <s v="2024-10"/>
    <d v="2025-04-12T00:00:00"/>
    <x v="0"/>
    <m/>
    <m/>
    <m/>
    <m/>
  </r>
  <r>
    <n v="1202"/>
    <x v="96"/>
    <d v="2024-03-15T00:00:00"/>
    <x v="3"/>
    <x v="5"/>
    <m/>
    <n v="303"/>
    <s v="Cash"/>
    <s v="2024-03"/>
    <d v="2025-06-07T00:00:00"/>
    <x v="0"/>
    <m/>
    <m/>
    <m/>
    <m/>
  </r>
  <r>
    <n v="1497"/>
    <x v="113"/>
    <d v="2024-10-10T00:00:00"/>
    <x v="4"/>
    <x v="2"/>
    <m/>
    <n v="585"/>
    <s v="Cash"/>
    <s v="2024-10"/>
    <d v="2025-03-27T00:00:00"/>
    <x v="0"/>
    <m/>
    <m/>
    <m/>
    <m/>
  </r>
  <r>
    <n v="1364"/>
    <x v="52"/>
    <d v="2024-06-17T00:00:00"/>
    <x v="2"/>
    <x v="5"/>
    <m/>
    <n v="11673"/>
    <s v="Credit Card"/>
    <s v="2024-06"/>
    <d v="2025-04-04T00:00:00"/>
    <x v="0"/>
    <m/>
    <m/>
    <m/>
    <m/>
  </r>
  <r>
    <n v="199"/>
    <x v="36"/>
    <d v="2024-02-26T00:00:00"/>
    <x v="4"/>
    <x v="0"/>
    <m/>
    <n v="737"/>
    <s v="UPI"/>
    <s v="2024-02"/>
    <d v="2025-06-16T00:00:00"/>
    <x v="0"/>
    <m/>
    <m/>
    <m/>
    <m/>
  </r>
  <r>
    <n v="1708"/>
    <x v="32"/>
    <d v="2024-12-02T00:00:00"/>
    <x v="4"/>
    <x v="3"/>
    <m/>
    <n v="783"/>
    <s v="Credit Card"/>
    <s v="2024-12"/>
    <d v="2025-05-07T00:00:00"/>
    <x v="0"/>
    <m/>
    <m/>
    <m/>
    <m/>
  </r>
  <r>
    <n v="193"/>
    <x v="93"/>
    <d v="2024-07-08T00:00:00"/>
    <x v="0"/>
    <x v="5"/>
    <m/>
    <n v="1605"/>
    <s v="Cash"/>
    <s v="2024-07"/>
    <d v="2025-06-16T00:00:00"/>
    <x v="0"/>
    <m/>
    <m/>
    <m/>
    <m/>
  </r>
  <r>
    <n v="405"/>
    <x v="99"/>
    <d v="2024-05-22T00:00:00"/>
    <x v="4"/>
    <x v="4"/>
    <m/>
    <n v="1006"/>
    <s v="Bank Transfer"/>
    <s v="2024-05"/>
    <d v="2025-03-30T00:00:00"/>
    <x v="0"/>
    <m/>
    <m/>
    <m/>
    <m/>
  </r>
  <r>
    <n v="1421"/>
    <x v="87"/>
    <d v="2024-11-01T00:00:00"/>
    <x v="3"/>
    <x v="1"/>
    <m/>
    <n v="713"/>
    <s v="Bank Transfer"/>
    <s v="2024-11"/>
    <d v="2025-05-02T00:00:00"/>
    <x v="0"/>
    <m/>
    <m/>
    <m/>
    <m/>
  </r>
  <r>
    <n v="1789"/>
    <x v="72"/>
    <d v="2024-03-13T00:00:00"/>
    <x v="2"/>
    <x v="2"/>
    <m/>
    <n v="1794"/>
    <s v="UPI"/>
    <s v="2024-03"/>
    <d v="2025-05-21T00:00:00"/>
    <x v="0"/>
    <m/>
    <m/>
    <m/>
    <m/>
  </r>
  <r>
    <n v="484"/>
    <x v="20"/>
    <d v="2024-12-24T00:00:00"/>
    <x v="0"/>
    <x v="0"/>
    <m/>
    <n v="1464"/>
    <s v="Credit Card"/>
    <s v="2024-12"/>
    <d v="2025-06-07T00:00:00"/>
    <x v="0"/>
    <m/>
    <m/>
    <m/>
    <m/>
  </r>
  <r>
    <n v="1320"/>
    <x v="107"/>
    <d v="2025-04-01T00:00:00"/>
    <x v="2"/>
    <x v="5"/>
    <m/>
    <n v="5396"/>
    <s v="Cheque"/>
    <s v="2025-04"/>
    <d v="2025-04-12T00:00:00"/>
    <x v="0"/>
    <m/>
    <m/>
    <m/>
    <m/>
  </r>
  <r>
    <n v="792"/>
    <x v="114"/>
    <d v="2024-11-13T00:00:00"/>
    <x v="0"/>
    <x v="4"/>
    <m/>
    <n v="2587"/>
    <s v="Cheque"/>
    <s v="2024-11"/>
    <d v="2025-05-08T00:00:00"/>
    <x v="0"/>
    <m/>
    <m/>
    <m/>
    <m/>
  </r>
  <r>
    <n v="800"/>
    <x v="37"/>
    <d v="2024-06-14T00:00:00"/>
    <x v="2"/>
    <x v="0"/>
    <m/>
    <n v="871"/>
    <s v="UPI"/>
    <s v="2024-06"/>
    <d v="2025-06-21T00:00:00"/>
    <x v="0"/>
    <m/>
    <m/>
    <m/>
    <m/>
  </r>
  <r>
    <n v="385"/>
    <x v="64"/>
    <d v="2024-03-25T00:00:00"/>
    <x v="4"/>
    <x v="0"/>
    <m/>
    <n v="8029"/>
    <s v="UPI"/>
    <s v="2024-03"/>
    <d v="2025-04-28T00:00:00"/>
    <x v="0"/>
    <m/>
    <m/>
    <m/>
    <m/>
  </r>
  <r>
    <n v="751"/>
    <x v="59"/>
    <d v="2024-02-07T00:00:00"/>
    <x v="0"/>
    <x v="2"/>
    <m/>
    <n v="1606"/>
    <s v="Cash"/>
    <s v="2024-02"/>
    <d v="2025-06-07T00:00:00"/>
    <x v="0"/>
    <m/>
    <m/>
    <m/>
    <m/>
  </r>
  <r>
    <n v="423"/>
    <x v="35"/>
    <d v="2025-02-08T00:00:00"/>
    <x v="3"/>
    <x v="4"/>
    <m/>
    <n v="8061"/>
    <s v="UPI"/>
    <s v="2025-02"/>
    <d v="2025-06-13T00:00:00"/>
    <x v="0"/>
    <m/>
    <m/>
    <m/>
    <m/>
  </r>
  <r>
    <n v="315"/>
    <x v="101"/>
    <d v="2025-03-13T00:00:00"/>
    <x v="1"/>
    <x v="2"/>
    <m/>
    <n v="264"/>
    <s v="UPI"/>
    <s v="2025-03"/>
    <d v="2025-06-23T00:00:00"/>
    <x v="0"/>
    <m/>
    <m/>
    <m/>
    <m/>
  </r>
  <r>
    <n v="1022"/>
    <x v="65"/>
    <d v="2024-07-03T00:00:00"/>
    <x v="3"/>
    <x v="2"/>
    <m/>
    <n v="9037"/>
    <s v="Bank Transfer"/>
    <s v="2024-07"/>
    <d v="2025-06-18T00:00:00"/>
    <x v="0"/>
    <m/>
    <m/>
    <m/>
    <m/>
  </r>
  <r>
    <n v="544"/>
    <x v="39"/>
    <d v="2024-08-04T00:00:00"/>
    <x v="4"/>
    <x v="1"/>
    <m/>
    <n v="1313"/>
    <s v="Cash"/>
    <s v="2024-08"/>
    <d v="2025-06-22T00:00:00"/>
    <x v="0"/>
    <m/>
    <m/>
    <m/>
    <m/>
  </r>
  <r>
    <n v="914"/>
    <x v="86"/>
    <d v="2025-05-04T00:00:00"/>
    <x v="2"/>
    <x v="3"/>
    <m/>
    <n v="888"/>
    <s v="Bank Transfer"/>
    <s v="2025-05"/>
    <d v="2025-06-15T00:00:00"/>
    <x v="0"/>
    <m/>
    <m/>
    <m/>
    <m/>
  </r>
  <r>
    <n v="663"/>
    <x v="34"/>
    <d v="2024-02-25T00:00:00"/>
    <x v="4"/>
    <x v="5"/>
    <m/>
    <n v="9539"/>
    <s v="Bank Transfer"/>
    <s v="2024-02"/>
    <d v="2025-05-16T00:00:00"/>
    <x v="0"/>
    <m/>
    <m/>
    <m/>
    <m/>
  </r>
  <r>
    <n v="903"/>
    <x v="6"/>
    <d v="2025-02-08T00:00:00"/>
    <x v="0"/>
    <x v="4"/>
    <m/>
    <n v="711"/>
    <s v="Cash"/>
    <s v="2025-02"/>
    <d v="2025-05-31T00:00:00"/>
    <x v="0"/>
    <m/>
    <m/>
    <m/>
    <m/>
  </r>
  <r>
    <n v="1268"/>
    <x v="95"/>
    <d v="2024-07-03T00:00:00"/>
    <x v="3"/>
    <x v="4"/>
    <m/>
    <n v="999"/>
    <s v="Cheque"/>
    <s v="2024-07"/>
    <d v="2025-06-08T00:00:00"/>
    <x v="0"/>
    <m/>
    <m/>
    <m/>
    <m/>
  </r>
  <r>
    <n v="686"/>
    <x v="23"/>
    <d v="2024-10-02T00:00:00"/>
    <x v="2"/>
    <x v="5"/>
    <m/>
    <n v="531"/>
    <s v="Cash"/>
    <s v="2024-10"/>
    <d v="2025-06-21T00:00:00"/>
    <x v="0"/>
    <m/>
    <m/>
    <m/>
    <m/>
  </r>
  <r>
    <n v="1519"/>
    <x v="8"/>
    <d v="2025-04-16T00:00:00"/>
    <x v="1"/>
    <x v="3"/>
    <m/>
    <n v="8739"/>
    <s v="UPI"/>
    <s v="2025-04"/>
    <d v="2025-05-11T00:00:00"/>
    <x v="0"/>
    <m/>
    <m/>
    <m/>
    <m/>
  </r>
  <r>
    <n v="160"/>
    <x v="101"/>
    <d v="2025-03-31T00:00:00"/>
    <x v="1"/>
    <x v="2"/>
    <m/>
    <n v="5419"/>
    <s v="Cheque"/>
    <s v="2025-03"/>
    <d v="2025-06-23T00:00:00"/>
    <x v="0"/>
    <m/>
    <m/>
    <m/>
    <m/>
  </r>
  <r>
    <n v="1000"/>
    <x v="104"/>
    <d v="2024-11-12T00:00:00"/>
    <x v="2"/>
    <x v="0"/>
    <m/>
    <n v="10807"/>
    <s v="Cheque"/>
    <s v="2024-11"/>
    <d v="2025-06-07T00:00:00"/>
    <x v="0"/>
    <m/>
    <m/>
    <m/>
    <m/>
  </r>
  <r>
    <n v="1180"/>
    <x v="11"/>
    <d v="2024-03-06T00:00:00"/>
    <x v="4"/>
    <x v="0"/>
    <m/>
    <n v="2061"/>
    <s v="Credit Card"/>
    <s v="2024-03"/>
    <d v="2025-06-11T00:00:00"/>
    <x v="0"/>
    <m/>
    <m/>
    <m/>
    <m/>
  </r>
  <r>
    <n v="1731"/>
    <x v="65"/>
    <d v="2025-06-18T00:00:00"/>
    <x v="3"/>
    <x v="4"/>
    <m/>
    <n v="604"/>
    <s v="UPI"/>
    <s v="2025-06"/>
    <d v="2025-06-18T00:00:00"/>
    <x v="0"/>
    <m/>
    <m/>
    <m/>
    <m/>
  </r>
  <r>
    <n v="203"/>
    <x v="71"/>
    <d v="2025-02-06T00:00:00"/>
    <x v="4"/>
    <x v="2"/>
    <m/>
    <n v="2268"/>
    <s v="UPI"/>
    <s v="2025-02"/>
    <d v="2025-05-16T00:00:00"/>
    <x v="0"/>
    <m/>
    <m/>
    <m/>
    <m/>
  </r>
  <r>
    <n v="1024"/>
    <x v="21"/>
    <d v="2024-08-30T00:00:00"/>
    <x v="4"/>
    <x v="2"/>
    <m/>
    <n v="827"/>
    <s v="Cash"/>
    <s v="2024-08"/>
    <d v="2025-06-03T00:00:00"/>
    <x v="0"/>
    <m/>
    <m/>
    <m/>
    <m/>
  </r>
  <r>
    <n v="1382"/>
    <x v="101"/>
    <d v="2024-06-14T00:00:00"/>
    <x v="3"/>
    <x v="4"/>
    <m/>
    <n v="1957"/>
    <s v="Cheque"/>
    <s v="2024-06"/>
    <d v="2025-06-23T00:00:00"/>
    <x v="0"/>
    <m/>
    <m/>
    <m/>
    <m/>
  </r>
  <r>
    <n v="1154"/>
    <x v="6"/>
    <d v="2025-03-31T00:00:00"/>
    <x v="0"/>
    <x v="2"/>
    <m/>
    <n v="265"/>
    <s v="Credit Card"/>
    <s v="2025-03"/>
    <d v="2025-05-31T00:00:00"/>
    <x v="0"/>
    <m/>
    <m/>
    <m/>
    <m/>
  </r>
  <r>
    <n v="113"/>
    <x v="95"/>
    <d v="2024-03-02T00:00:00"/>
    <x v="3"/>
    <x v="0"/>
    <m/>
    <n v="5340"/>
    <s v="Cash"/>
    <s v="2024-03"/>
    <d v="2025-06-08T00:00:00"/>
    <x v="0"/>
    <m/>
    <m/>
    <m/>
    <m/>
  </r>
  <r>
    <n v="1633"/>
    <x v="83"/>
    <d v="2024-04-17T00:00:00"/>
    <x v="4"/>
    <x v="3"/>
    <m/>
    <n v="1047"/>
    <s v="UPI"/>
    <s v="2024-04"/>
    <d v="2025-02-02T00:00:00"/>
    <x v="1"/>
    <m/>
    <m/>
    <m/>
    <m/>
  </r>
  <r>
    <n v="981"/>
    <x v="78"/>
    <d v="2025-02-27T00:00:00"/>
    <x v="0"/>
    <x v="2"/>
    <m/>
    <n v="1009"/>
    <s v="Credit Card"/>
    <s v="2025-02"/>
    <d v="2025-06-02T00:00:00"/>
    <x v="0"/>
    <m/>
    <m/>
    <m/>
    <m/>
  </r>
  <r>
    <n v="923"/>
    <x v="4"/>
    <d v="2024-06-26T00:00:00"/>
    <x v="4"/>
    <x v="3"/>
    <m/>
    <n v="850"/>
    <s v="Cash"/>
    <s v="2024-06"/>
    <d v="2025-05-02T00:00:00"/>
    <x v="0"/>
    <m/>
    <m/>
    <m/>
    <m/>
  </r>
  <r>
    <n v="1751"/>
    <x v="43"/>
    <d v="2024-06-30T00:00:00"/>
    <x v="4"/>
    <x v="1"/>
    <m/>
    <n v="2406"/>
    <s v="Credit Card"/>
    <s v="2024-06"/>
    <d v="2025-06-13T00:00:00"/>
    <x v="0"/>
    <m/>
    <m/>
    <m/>
    <m/>
  </r>
  <r>
    <n v="1532"/>
    <x v="85"/>
    <d v="2024-02-10T00:00:00"/>
    <x v="0"/>
    <x v="3"/>
    <m/>
    <n v="1182"/>
    <s v="Cheque"/>
    <s v="2024-02"/>
    <d v="2025-04-17T00:00:00"/>
    <x v="0"/>
    <m/>
    <m/>
    <m/>
    <m/>
  </r>
  <r>
    <n v="1287"/>
    <x v="84"/>
    <d v="2024-11-21T00:00:00"/>
    <x v="2"/>
    <x v="2"/>
    <m/>
    <n v="964"/>
    <s v="Cheque"/>
    <s v="2024-11"/>
    <d v="2025-06-07T00:00:00"/>
    <x v="0"/>
    <m/>
    <m/>
    <m/>
    <m/>
  </r>
  <r>
    <n v="1128"/>
    <x v="94"/>
    <d v="2024-07-10T00:00:00"/>
    <x v="1"/>
    <x v="5"/>
    <m/>
    <n v="1480"/>
    <s v="Credit Card"/>
    <s v="2024-07"/>
    <d v="2025-04-05T00:00:00"/>
    <x v="0"/>
    <m/>
    <m/>
    <m/>
    <m/>
  </r>
  <r>
    <n v="816"/>
    <x v="91"/>
    <d v="2024-03-22T00:00:00"/>
    <x v="0"/>
    <x v="1"/>
    <m/>
    <n v="1482"/>
    <s v="Cash"/>
    <s v="2024-03"/>
    <d v="2025-05-04T00:00:00"/>
    <x v="0"/>
    <m/>
    <m/>
    <m/>
    <m/>
  </r>
  <r>
    <n v="1317"/>
    <x v="68"/>
    <d v="2024-05-06T00:00:00"/>
    <x v="2"/>
    <x v="4"/>
    <m/>
    <n v="1709"/>
    <s v="Credit Card"/>
    <s v="2024-05"/>
    <d v="2025-04-25T00:00:00"/>
    <x v="0"/>
    <m/>
    <m/>
    <m/>
    <m/>
  </r>
  <r>
    <n v="1172"/>
    <x v="88"/>
    <d v="2024-06-11T00:00:00"/>
    <x v="1"/>
    <x v="1"/>
    <m/>
    <n v="321"/>
    <s v="Credit Card"/>
    <s v="2024-06"/>
    <d v="2025-06-23T00:00:00"/>
    <x v="0"/>
    <m/>
    <m/>
    <m/>
    <m/>
  </r>
  <r>
    <n v="81"/>
    <x v="109"/>
    <d v="2024-06-11T00:00:00"/>
    <x v="3"/>
    <x v="3"/>
    <m/>
    <n v="9632"/>
    <s v="Credit Card"/>
    <s v="2024-06"/>
    <d v="2025-05-15T00:00:00"/>
    <x v="0"/>
    <m/>
    <m/>
    <m/>
    <m/>
  </r>
  <r>
    <n v="1588"/>
    <x v="72"/>
    <d v="2024-07-09T00:00:00"/>
    <x v="4"/>
    <x v="5"/>
    <m/>
    <n v="539"/>
    <s v="UPI"/>
    <s v="2024-07"/>
    <d v="2025-05-21T00:00:00"/>
    <x v="0"/>
    <m/>
    <m/>
    <m/>
    <m/>
  </r>
  <r>
    <n v="1380"/>
    <x v="31"/>
    <d v="2024-01-22T00:00:00"/>
    <x v="3"/>
    <x v="2"/>
    <m/>
    <n v="5270"/>
    <s v="UPI"/>
    <s v="2024-01"/>
    <d v="2025-05-16T00:00:00"/>
    <x v="0"/>
    <m/>
    <m/>
    <m/>
    <m/>
  </r>
  <r>
    <n v="1381"/>
    <x v="15"/>
    <d v="2024-03-09T00:00:00"/>
    <x v="2"/>
    <x v="5"/>
    <m/>
    <n v="4949"/>
    <s v="Cheque"/>
    <s v="2024-03"/>
    <d v="2025-05-15T00:00:00"/>
    <x v="0"/>
    <m/>
    <m/>
    <m/>
    <m/>
  </r>
  <r>
    <n v="753"/>
    <x v="119"/>
    <d v="2025-06-19T00:00:00"/>
    <x v="5"/>
    <x v="4"/>
    <m/>
    <n v="598"/>
    <s v="Cheque"/>
    <s v="2025-06"/>
    <d v="2025-06-19T00:00:00"/>
    <x v="0"/>
    <m/>
    <m/>
    <m/>
    <m/>
  </r>
  <r>
    <n v="1351"/>
    <x v="69"/>
    <d v="2024-08-10T00:00:00"/>
    <x v="2"/>
    <x v="5"/>
    <m/>
    <n v="443"/>
    <s v="Credit Card"/>
    <s v="2024-08"/>
    <d v="2025-03-22T00:00:00"/>
    <x v="1"/>
    <m/>
    <m/>
    <m/>
    <m/>
  </r>
  <r>
    <n v="1055"/>
    <x v="76"/>
    <d v="2025-01-15T00:00:00"/>
    <x v="0"/>
    <x v="3"/>
    <m/>
    <n v="863"/>
    <s v="Credit Card"/>
    <s v="2025-01"/>
    <d v="2025-03-18T00:00:00"/>
    <x v="1"/>
    <m/>
    <m/>
    <m/>
    <m/>
  </r>
  <r>
    <n v="243"/>
    <x v="45"/>
    <d v="2024-10-29T00:00:00"/>
    <x v="2"/>
    <x v="3"/>
    <m/>
    <n v="1409"/>
    <s v="Bank Transfer"/>
    <s v="2024-10"/>
    <d v="2025-06-18T00:00:00"/>
    <x v="0"/>
    <m/>
    <m/>
    <m/>
    <m/>
  </r>
  <r>
    <n v="1239"/>
    <x v="108"/>
    <d v="2024-04-16T00:00:00"/>
    <x v="0"/>
    <x v="0"/>
    <m/>
    <n v="782"/>
    <s v="Cash"/>
    <s v="2024-04"/>
    <d v="2025-06-14T00:00:00"/>
    <x v="0"/>
    <m/>
    <m/>
    <m/>
    <m/>
  </r>
  <r>
    <n v="642"/>
    <x v="52"/>
    <d v="2024-11-06T00:00:00"/>
    <x v="4"/>
    <x v="1"/>
    <m/>
    <n v="640"/>
    <s v="Cash"/>
    <s v="2024-11"/>
    <d v="2025-04-04T00:00:00"/>
    <x v="0"/>
    <m/>
    <m/>
    <m/>
    <m/>
  </r>
  <r>
    <n v="697"/>
    <x v="87"/>
    <d v="2025-02-08T00:00:00"/>
    <x v="2"/>
    <x v="4"/>
    <m/>
    <n v="295"/>
    <s v="Cash"/>
    <s v="2025-02"/>
    <d v="2025-05-02T00:00:00"/>
    <x v="0"/>
    <m/>
    <m/>
    <m/>
    <m/>
  </r>
  <r>
    <n v="210"/>
    <x v="103"/>
    <d v="2025-04-19T00:00:00"/>
    <x v="2"/>
    <x v="0"/>
    <m/>
    <n v="890"/>
    <s v="Cheque"/>
    <s v="2025-04"/>
    <d v="2025-04-19T00:00:00"/>
    <x v="0"/>
    <m/>
    <m/>
    <m/>
    <m/>
  </r>
  <r>
    <n v="771"/>
    <x v="16"/>
    <d v="2024-07-01T00:00:00"/>
    <x v="2"/>
    <x v="4"/>
    <m/>
    <n v="2911"/>
    <s v="UPI"/>
    <s v="2024-07"/>
    <d v="2025-05-28T00:00:00"/>
    <x v="0"/>
    <m/>
    <m/>
    <m/>
    <m/>
  </r>
  <r>
    <n v="1582"/>
    <x v="39"/>
    <d v="2024-08-23T00:00:00"/>
    <x v="3"/>
    <x v="1"/>
    <m/>
    <n v="2507"/>
    <s v="Bank Transfer"/>
    <s v="2024-08"/>
    <d v="2025-06-22T00:00:00"/>
    <x v="0"/>
    <m/>
    <m/>
    <m/>
    <m/>
  </r>
  <r>
    <n v="436"/>
    <x v="48"/>
    <d v="2024-08-29T00:00:00"/>
    <x v="0"/>
    <x v="1"/>
    <m/>
    <n v="1717"/>
    <s v="Credit Card"/>
    <s v="2024-08"/>
    <d v="2025-04-13T00:00:00"/>
    <x v="0"/>
    <m/>
    <m/>
    <m/>
    <m/>
  </r>
  <r>
    <n v="1064"/>
    <x v="106"/>
    <d v="2024-09-26T00:00:00"/>
    <x v="3"/>
    <x v="2"/>
    <m/>
    <n v="329"/>
    <s v="Credit Card"/>
    <s v="2024-09"/>
    <d v="2025-06-20T00:00:00"/>
    <x v="0"/>
    <m/>
    <m/>
    <m/>
    <m/>
  </r>
  <r>
    <n v="975"/>
    <x v="94"/>
    <d v="2024-01-05T00:00:00"/>
    <x v="0"/>
    <x v="5"/>
    <m/>
    <n v="1705"/>
    <s v="Cash"/>
    <s v="2024-01"/>
    <d v="2025-04-05T00:00:00"/>
    <x v="0"/>
    <m/>
    <m/>
    <m/>
    <m/>
  </r>
  <r>
    <n v="552"/>
    <x v="79"/>
    <d v="2025-04-29T00:00:00"/>
    <x v="4"/>
    <x v="0"/>
    <m/>
    <n v="531"/>
    <s v="Bank Transfer"/>
    <s v="2025-04"/>
    <d v="2025-04-29T00:00:00"/>
    <x v="0"/>
    <m/>
    <m/>
    <m/>
    <m/>
  </r>
  <r>
    <n v="1332"/>
    <x v="24"/>
    <d v="2024-04-07T00:00:00"/>
    <x v="4"/>
    <x v="0"/>
    <m/>
    <n v="4163"/>
    <s v="Cash"/>
    <s v="2024-04"/>
    <d v="2025-06-18T00:00:00"/>
    <x v="0"/>
    <m/>
    <m/>
    <m/>
    <m/>
  </r>
  <r>
    <n v="1274"/>
    <x v="82"/>
    <d v="2024-06-26T00:00:00"/>
    <x v="1"/>
    <x v="2"/>
    <m/>
    <n v="507"/>
    <s v="UPI"/>
    <s v="2024-06"/>
    <d v="2025-06-21T00:00:00"/>
    <x v="0"/>
    <m/>
    <m/>
    <m/>
    <m/>
  </r>
  <r>
    <n v="1014"/>
    <x v="8"/>
    <d v="2025-05-11T00:00:00"/>
    <x v="4"/>
    <x v="3"/>
    <m/>
    <n v="800"/>
    <s v="Cheque"/>
    <s v="2025-05"/>
    <d v="2025-05-11T00:00:00"/>
    <x v="0"/>
    <m/>
    <m/>
    <m/>
    <m/>
  </r>
  <r>
    <n v="1701"/>
    <x v="98"/>
    <d v="2025-05-05T00:00:00"/>
    <x v="4"/>
    <x v="1"/>
    <m/>
    <n v="5393"/>
    <s v="Cash"/>
    <s v="2025-05"/>
    <d v="2025-05-05T00:00:00"/>
    <x v="0"/>
    <m/>
    <m/>
    <m/>
    <m/>
  </r>
  <r>
    <n v="467"/>
    <x v="71"/>
    <d v="2025-05-16T00:00:00"/>
    <x v="3"/>
    <x v="2"/>
    <m/>
    <n v="2049"/>
    <s v="Credit Card"/>
    <s v="2025-05"/>
    <d v="2025-05-16T00:00:00"/>
    <x v="0"/>
    <m/>
    <m/>
    <m/>
    <m/>
  </r>
  <r>
    <n v="1334"/>
    <x v="89"/>
    <d v="2024-12-01T00:00:00"/>
    <x v="3"/>
    <x v="1"/>
    <m/>
    <n v="8584"/>
    <s v="Bank Transfer"/>
    <s v="2024-12"/>
    <d v="2025-05-10T00:00:00"/>
    <x v="0"/>
    <m/>
    <m/>
    <m/>
    <m/>
  </r>
  <r>
    <n v="1420"/>
    <x v="112"/>
    <d v="2025-02-18T00:00:00"/>
    <x v="1"/>
    <x v="0"/>
    <m/>
    <n v="650"/>
    <s v="Cash"/>
    <s v="2025-02"/>
    <d v="2025-06-04T00:00:00"/>
    <x v="0"/>
    <m/>
    <m/>
    <m/>
    <m/>
  </r>
  <r>
    <n v="278"/>
    <x v="58"/>
    <d v="2024-12-21T00:00:00"/>
    <x v="3"/>
    <x v="2"/>
    <m/>
    <n v="2167"/>
    <s v="Credit Card"/>
    <s v="2024-12"/>
    <d v="2025-06-15T00:00:00"/>
    <x v="0"/>
    <m/>
    <m/>
    <m/>
    <m/>
  </r>
  <r>
    <n v="1070"/>
    <x v="24"/>
    <d v="2024-11-26T00:00:00"/>
    <x v="1"/>
    <x v="4"/>
    <m/>
    <n v="1225"/>
    <s v="Credit Card"/>
    <s v="2024-11"/>
    <d v="2025-06-18T00:00:00"/>
    <x v="0"/>
    <m/>
    <m/>
    <m/>
    <m/>
  </r>
  <r>
    <n v="1018"/>
    <x v="63"/>
    <d v="2024-10-08T00:00:00"/>
    <x v="0"/>
    <x v="2"/>
    <m/>
    <n v="986"/>
    <s v="Cash"/>
    <s v="2024-10"/>
    <d v="2025-06-11T00:00:00"/>
    <x v="0"/>
    <m/>
    <m/>
    <m/>
    <m/>
  </r>
  <r>
    <n v="1200"/>
    <x v="88"/>
    <d v="2024-03-18T00:00:00"/>
    <x v="2"/>
    <x v="0"/>
    <m/>
    <n v="1013"/>
    <s v="Cheque"/>
    <s v="2024-03"/>
    <d v="2025-06-23T00:00:00"/>
    <x v="0"/>
    <m/>
    <m/>
    <m/>
    <m/>
  </r>
  <r>
    <n v="723"/>
    <x v="47"/>
    <d v="2024-08-27T00:00:00"/>
    <x v="1"/>
    <x v="5"/>
    <m/>
    <n v="1629"/>
    <s v="Cheque"/>
    <s v="2024-08"/>
    <d v="2025-05-11T00:00:00"/>
    <x v="0"/>
    <m/>
    <m/>
    <m/>
    <m/>
  </r>
  <r>
    <n v="1760"/>
    <x v="106"/>
    <d v="2024-04-12T00:00:00"/>
    <x v="0"/>
    <x v="2"/>
    <m/>
    <n v="2276"/>
    <s v="Cash"/>
    <s v="2024-04"/>
    <d v="2025-06-20T00:00:00"/>
    <x v="0"/>
    <m/>
    <m/>
    <m/>
    <m/>
  </r>
  <r>
    <n v="787"/>
    <x v="54"/>
    <d v="2024-11-02T00:00:00"/>
    <x v="3"/>
    <x v="3"/>
    <m/>
    <n v="584"/>
    <s v="Credit Card"/>
    <s v="2024-11"/>
    <d v="2025-02-10T00:00:00"/>
    <x v="1"/>
    <m/>
    <m/>
    <m/>
    <m/>
  </r>
  <r>
    <n v="1393"/>
    <x v="70"/>
    <d v="2024-10-04T00:00:00"/>
    <x v="1"/>
    <x v="0"/>
    <m/>
    <n v="8911"/>
    <s v="Bank Transfer"/>
    <s v="2024-10"/>
    <d v="2025-05-26T00:00:00"/>
    <x v="0"/>
    <m/>
    <m/>
    <m/>
    <m/>
  </r>
  <r>
    <n v="1188"/>
    <x v="20"/>
    <d v="2024-06-10T00:00:00"/>
    <x v="4"/>
    <x v="5"/>
    <m/>
    <n v="11925"/>
    <s v="Cheque"/>
    <s v="2024-06"/>
    <d v="2025-06-07T00:00:00"/>
    <x v="0"/>
    <m/>
    <m/>
    <m/>
    <m/>
  </r>
  <r>
    <n v="1242"/>
    <x v="115"/>
    <d v="2024-01-27T00:00:00"/>
    <x v="3"/>
    <x v="4"/>
    <m/>
    <n v="526"/>
    <s v="Bank Transfer"/>
    <s v="2024-01"/>
    <d v="2025-03-09T00:00:00"/>
    <x v="1"/>
    <m/>
    <m/>
    <m/>
    <m/>
  </r>
  <r>
    <n v="1769"/>
    <x v="26"/>
    <d v="2024-01-12T00:00:00"/>
    <x v="0"/>
    <x v="4"/>
    <m/>
    <n v="694"/>
    <s v="Credit Card"/>
    <s v="2024-01"/>
    <d v="2025-06-01T00:00:00"/>
    <x v="0"/>
    <m/>
    <m/>
    <m/>
    <m/>
  </r>
  <r>
    <n v="907"/>
    <x v="28"/>
    <d v="2024-01-14T00:00:00"/>
    <x v="2"/>
    <x v="3"/>
    <m/>
    <n v="10945"/>
    <s v="Bank Transfer"/>
    <s v="2024-01"/>
    <d v="2025-04-29T00:00:00"/>
    <x v="0"/>
    <m/>
    <m/>
    <m/>
    <m/>
  </r>
  <r>
    <n v="564"/>
    <x v="102"/>
    <d v="2024-09-20T00:00:00"/>
    <x v="2"/>
    <x v="5"/>
    <m/>
    <n v="477"/>
    <s v="Bank Transfer"/>
    <s v="2024-09"/>
    <d v="2025-04-05T00:00:00"/>
    <x v="0"/>
    <m/>
    <m/>
    <m/>
    <m/>
  </r>
  <r>
    <n v="389"/>
    <x v="68"/>
    <d v="2024-02-16T00:00:00"/>
    <x v="2"/>
    <x v="5"/>
    <m/>
    <n v="8425"/>
    <s v="Bank Transfer"/>
    <s v="2024-02"/>
    <d v="2025-04-25T00:00:00"/>
    <x v="0"/>
    <m/>
    <m/>
    <m/>
    <m/>
  </r>
  <r>
    <n v="23"/>
    <x v="66"/>
    <d v="2025-02-03T00:00:00"/>
    <x v="0"/>
    <x v="5"/>
    <m/>
    <n v="809"/>
    <s v="Cheque"/>
    <s v="2025-02"/>
    <d v="2025-06-21T00:00:00"/>
    <x v="0"/>
    <m/>
    <m/>
    <m/>
    <m/>
  </r>
  <r>
    <n v="1110"/>
    <x v="37"/>
    <d v="2024-08-07T00:00:00"/>
    <x v="1"/>
    <x v="2"/>
    <m/>
    <n v="1704"/>
    <s v="Cheque"/>
    <s v="2024-08"/>
    <d v="2025-06-21T00:00:00"/>
    <x v="0"/>
    <m/>
    <m/>
    <m/>
    <m/>
  </r>
  <r>
    <n v="125"/>
    <x v="26"/>
    <d v="2024-06-21T00:00:00"/>
    <x v="3"/>
    <x v="2"/>
    <m/>
    <n v="1012"/>
    <s v="Credit Card"/>
    <s v="2024-06"/>
    <d v="2025-06-01T00:00:00"/>
    <x v="0"/>
    <m/>
    <m/>
    <m/>
    <m/>
  </r>
  <r>
    <n v="1270"/>
    <x v="53"/>
    <d v="2025-02-17T00:00:00"/>
    <x v="1"/>
    <x v="3"/>
    <m/>
    <n v="337"/>
    <s v="Cheque"/>
    <s v="2025-02"/>
    <d v="2025-06-06T00:00:00"/>
    <x v="0"/>
    <m/>
    <m/>
    <m/>
    <m/>
  </r>
  <r>
    <n v="774"/>
    <x v="78"/>
    <d v="2025-03-15T00:00:00"/>
    <x v="4"/>
    <x v="3"/>
    <m/>
    <n v="2284"/>
    <s v="Bank Transfer"/>
    <s v="2025-03"/>
    <d v="2025-06-02T00:00:00"/>
    <x v="0"/>
    <m/>
    <m/>
    <m/>
    <m/>
  </r>
  <r>
    <n v="881"/>
    <x v="104"/>
    <d v="2024-04-23T00:00:00"/>
    <x v="1"/>
    <x v="3"/>
    <m/>
    <n v="1437"/>
    <s v="Bank Transfer"/>
    <s v="2024-04"/>
    <d v="2025-06-07T00:00:00"/>
    <x v="0"/>
    <m/>
    <m/>
    <m/>
    <m/>
  </r>
  <r>
    <n v="51"/>
    <x v="97"/>
    <d v="2025-03-05T00:00:00"/>
    <x v="3"/>
    <x v="0"/>
    <m/>
    <n v="1991"/>
    <s v="Bank Transfer"/>
    <s v="2025-03"/>
    <d v="2025-06-13T00:00:00"/>
    <x v="0"/>
    <m/>
    <m/>
    <m/>
    <m/>
  </r>
  <r>
    <n v="1477"/>
    <x v="37"/>
    <d v="2024-05-09T00:00:00"/>
    <x v="3"/>
    <x v="4"/>
    <m/>
    <n v="602"/>
    <s v="Cheque"/>
    <s v="2024-05"/>
    <d v="2025-06-21T00:00:00"/>
    <x v="0"/>
    <m/>
    <m/>
    <m/>
    <m/>
  </r>
  <r>
    <n v="1318"/>
    <x v="78"/>
    <d v="2025-06-02T00:00:00"/>
    <x v="1"/>
    <x v="4"/>
    <m/>
    <n v="675"/>
    <s v="Bank Transfer"/>
    <s v="2025-06"/>
    <d v="2025-06-02T00:00:00"/>
    <x v="0"/>
    <m/>
    <m/>
    <m/>
    <m/>
  </r>
  <r>
    <n v="1106"/>
    <x v="80"/>
    <d v="2024-05-09T00:00:00"/>
    <x v="3"/>
    <x v="0"/>
    <m/>
    <n v="699"/>
    <s v="Cheque"/>
    <s v="2024-05"/>
    <d v="2025-02-25T00:00:00"/>
    <x v="1"/>
    <m/>
    <m/>
    <m/>
    <m/>
  </r>
  <r>
    <n v="704"/>
    <x v="110"/>
    <d v="2024-04-29T00:00:00"/>
    <x v="3"/>
    <x v="2"/>
    <m/>
    <n v="4897"/>
    <s v="Cash"/>
    <s v="2024-04"/>
    <d v="2025-06-20T00:00:00"/>
    <x v="0"/>
    <m/>
    <m/>
    <m/>
    <m/>
  </r>
  <r>
    <n v="483"/>
    <x v="87"/>
    <d v="2024-04-01T00:00:00"/>
    <x v="0"/>
    <x v="1"/>
    <m/>
    <n v="4697"/>
    <s v="Bank Transfer"/>
    <s v="2024-04"/>
    <d v="2025-05-02T00:00:00"/>
    <x v="0"/>
    <m/>
    <m/>
    <m/>
    <m/>
  </r>
  <r>
    <n v="1721"/>
    <x v="81"/>
    <d v="2024-08-28T00:00:00"/>
    <x v="3"/>
    <x v="5"/>
    <m/>
    <n v="5300"/>
    <s v="UPI"/>
    <s v="2024-08"/>
    <d v="2025-06-20T00:00:00"/>
    <x v="0"/>
    <m/>
    <m/>
    <m/>
    <m/>
  </r>
  <r>
    <n v="67"/>
    <x v="57"/>
    <d v="2024-02-25T00:00:00"/>
    <x v="1"/>
    <x v="2"/>
    <m/>
    <n v="1583"/>
    <s v="Cash"/>
    <s v="2024-02"/>
    <d v="2025-06-08T00:00:00"/>
    <x v="0"/>
    <m/>
    <m/>
    <m/>
    <m/>
  </r>
  <r>
    <n v="1553"/>
    <x v="82"/>
    <d v="2024-02-01T00:00:00"/>
    <x v="0"/>
    <x v="4"/>
    <m/>
    <n v="1848"/>
    <s v="Credit Card"/>
    <s v="2024-02"/>
    <d v="2025-06-21T00:00:00"/>
    <x v="0"/>
    <m/>
    <m/>
    <m/>
    <m/>
  </r>
  <r>
    <n v="734"/>
    <x v="4"/>
    <d v="2025-05-02T00:00:00"/>
    <x v="2"/>
    <x v="3"/>
    <m/>
    <n v="8719"/>
    <s v="UPI"/>
    <s v="2025-05"/>
    <d v="2025-05-02T00:00:00"/>
    <x v="0"/>
    <m/>
    <m/>
    <m/>
    <m/>
  </r>
  <r>
    <n v="1611"/>
    <x v="31"/>
    <d v="2024-06-26T00:00:00"/>
    <x v="3"/>
    <x v="3"/>
    <m/>
    <n v="1314"/>
    <s v="UPI"/>
    <s v="2024-06"/>
    <d v="2025-05-16T00:00:00"/>
    <x v="0"/>
    <m/>
    <m/>
    <m/>
    <m/>
  </r>
  <r>
    <n v="802"/>
    <x v="82"/>
    <d v="2025-06-19T00:00:00"/>
    <x v="2"/>
    <x v="1"/>
    <m/>
    <n v="2444"/>
    <s v="Cheque"/>
    <s v="2025-06"/>
    <d v="2025-06-21T00:00:00"/>
    <x v="0"/>
    <m/>
    <m/>
    <m/>
    <m/>
  </r>
  <r>
    <n v="1533"/>
    <x v="116"/>
    <d v="2024-04-07T00:00:00"/>
    <x v="3"/>
    <x v="1"/>
    <m/>
    <n v="10881"/>
    <s v="Cheque"/>
    <s v="2024-04"/>
    <d v="2025-05-20T00:00:00"/>
    <x v="0"/>
    <m/>
    <m/>
    <m/>
    <m/>
  </r>
  <r>
    <n v="1328"/>
    <x v="111"/>
    <d v="2024-11-11T00:00:00"/>
    <x v="4"/>
    <x v="5"/>
    <m/>
    <n v="2684"/>
    <s v="Cash"/>
    <s v="2024-11"/>
    <d v="2025-06-07T00:00:00"/>
    <x v="0"/>
    <m/>
    <m/>
    <m/>
    <m/>
  </r>
  <r>
    <n v="908"/>
    <x v="86"/>
    <d v="2025-03-30T00:00:00"/>
    <x v="4"/>
    <x v="5"/>
    <m/>
    <n v="4958"/>
    <s v="Credit Card"/>
    <s v="2025-03"/>
    <d v="2025-06-15T00:00:00"/>
    <x v="0"/>
    <m/>
    <m/>
    <m/>
    <m/>
  </r>
  <r>
    <n v="32"/>
    <x v="48"/>
    <d v="2025-03-13T00:00:00"/>
    <x v="2"/>
    <x v="3"/>
    <m/>
    <n v="1178"/>
    <s v="Credit Card"/>
    <s v="2025-03"/>
    <d v="2025-04-13T00:00:00"/>
    <x v="0"/>
    <m/>
    <m/>
    <m/>
    <m/>
  </r>
  <r>
    <n v="418"/>
    <x v="100"/>
    <d v="2024-05-01T00:00:00"/>
    <x v="4"/>
    <x v="1"/>
    <m/>
    <n v="1260"/>
    <s v="Cheque"/>
    <s v="2024-05"/>
    <d v="2025-06-04T00:00:00"/>
    <x v="0"/>
    <m/>
    <m/>
    <m/>
    <m/>
  </r>
  <r>
    <n v="633"/>
    <x v="93"/>
    <d v="2025-06-16T00:00:00"/>
    <x v="0"/>
    <x v="5"/>
    <m/>
    <n v="2557"/>
    <s v="UPI"/>
    <s v="2025-06"/>
    <d v="2025-06-16T00:00:00"/>
    <x v="0"/>
    <m/>
    <m/>
    <m/>
    <m/>
  </r>
  <r>
    <n v="1409"/>
    <x v="60"/>
    <d v="2025-04-25T00:00:00"/>
    <x v="3"/>
    <x v="4"/>
    <m/>
    <n v="981"/>
    <s v="UPI"/>
    <s v="2025-04"/>
    <d v="2025-05-26T00:00:00"/>
    <x v="0"/>
    <m/>
    <m/>
    <m/>
    <m/>
  </r>
  <r>
    <n v="1303"/>
    <x v="19"/>
    <d v="2025-04-29T00:00:00"/>
    <x v="0"/>
    <x v="4"/>
    <m/>
    <n v="517"/>
    <s v="Bank Transfer"/>
    <s v="2025-04"/>
    <d v="2025-06-19T00:00:00"/>
    <x v="0"/>
    <m/>
    <m/>
    <m/>
    <m/>
  </r>
  <r>
    <n v="65"/>
    <x v="25"/>
    <d v="2024-05-03T00:00:00"/>
    <x v="4"/>
    <x v="5"/>
    <m/>
    <n v="1097"/>
    <s v="Credit Card"/>
    <s v="2024-05"/>
    <d v="2025-03-24T00:00:00"/>
    <x v="1"/>
    <m/>
    <m/>
    <m/>
    <m/>
  </r>
  <r>
    <n v="1570"/>
    <x v="109"/>
    <d v="2024-10-30T00:00:00"/>
    <x v="1"/>
    <x v="0"/>
    <m/>
    <n v="545"/>
    <s v="Credit Card"/>
    <s v="2024-10"/>
    <d v="2025-05-15T00:00:00"/>
    <x v="0"/>
    <m/>
    <m/>
    <m/>
    <m/>
  </r>
  <r>
    <n v="78"/>
    <x v="86"/>
    <d v="2025-02-14T00:00:00"/>
    <x v="3"/>
    <x v="3"/>
    <m/>
    <n v="251"/>
    <s v="Bank Transfer"/>
    <s v="2025-02"/>
    <d v="2025-06-15T00:00:00"/>
    <x v="0"/>
    <m/>
    <m/>
    <m/>
    <m/>
  </r>
  <r>
    <n v="492"/>
    <x v="48"/>
    <d v="2024-01-31T00:00:00"/>
    <x v="1"/>
    <x v="4"/>
    <m/>
    <n v="1405"/>
    <s v="Cash"/>
    <s v="2024-01"/>
    <d v="2025-04-13T00:00:00"/>
    <x v="0"/>
    <m/>
    <m/>
    <m/>
    <m/>
  </r>
  <r>
    <n v="1280"/>
    <x v="53"/>
    <d v="2025-02-08T00:00:00"/>
    <x v="0"/>
    <x v="4"/>
    <m/>
    <n v="1656"/>
    <s v="UPI"/>
    <s v="2025-02"/>
    <d v="2025-06-06T00:00:00"/>
    <x v="0"/>
    <m/>
    <m/>
    <m/>
    <m/>
  </r>
  <r>
    <n v="1666"/>
    <x v="65"/>
    <d v="2024-08-26T00:00:00"/>
    <x v="0"/>
    <x v="0"/>
    <m/>
    <n v="4875"/>
    <s v="UPI"/>
    <s v="2024-08"/>
    <d v="2025-06-18T00:00:00"/>
    <x v="0"/>
    <m/>
    <m/>
    <m/>
    <m/>
  </r>
  <r>
    <n v="533"/>
    <x v="86"/>
    <d v="2024-04-05T00:00:00"/>
    <x v="0"/>
    <x v="3"/>
    <m/>
    <n v="277"/>
    <s v="Cash"/>
    <s v="2024-04"/>
    <d v="2025-06-15T00:00:00"/>
    <x v="0"/>
    <m/>
    <m/>
    <m/>
    <m/>
  </r>
  <r>
    <n v="66"/>
    <x v="23"/>
    <d v="2025-06-21T00:00:00"/>
    <x v="1"/>
    <x v="3"/>
    <m/>
    <n v="1837"/>
    <s v="Bank Transfer"/>
    <s v="2025-06"/>
    <d v="2025-06-21T00:00:00"/>
    <x v="0"/>
    <m/>
    <m/>
    <m/>
    <m/>
  </r>
  <r>
    <n v="1529"/>
    <x v="62"/>
    <d v="2024-09-01T00:00:00"/>
    <x v="4"/>
    <x v="4"/>
    <m/>
    <n v="4389"/>
    <s v="Cheque"/>
    <s v="2024-09"/>
    <d v="2025-06-06T00:00:00"/>
    <x v="0"/>
    <m/>
    <m/>
    <m/>
    <m/>
  </r>
  <r>
    <n v="297"/>
    <x v="2"/>
    <d v="2024-06-01T00:00:00"/>
    <x v="3"/>
    <x v="0"/>
    <m/>
    <n v="2118"/>
    <s v="Cash"/>
    <s v="2024-06"/>
    <d v="2025-06-10T00:00:00"/>
    <x v="0"/>
    <m/>
    <m/>
    <m/>
    <m/>
  </r>
  <r>
    <n v="592"/>
    <x v="51"/>
    <d v="2024-04-10T00:00:00"/>
    <x v="0"/>
    <x v="4"/>
    <m/>
    <n v="1023"/>
    <s v="UPI"/>
    <s v="2024-04"/>
    <d v="2025-06-22T00:00:00"/>
    <x v="0"/>
    <m/>
    <m/>
    <m/>
    <m/>
  </r>
  <r>
    <n v="768"/>
    <x v="34"/>
    <d v="2024-08-16T00:00:00"/>
    <x v="4"/>
    <x v="1"/>
    <m/>
    <n v="1791"/>
    <s v="Bank Transfer"/>
    <s v="2024-08"/>
    <d v="2025-05-16T00:00:00"/>
    <x v="0"/>
    <m/>
    <m/>
    <m/>
    <m/>
  </r>
  <r>
    <n v="725"/>
    <x v="41"/>
    <d v="2024-03-20T00:00:00"/>
    <x v="3"/>
    <x v="1"/>
    <m/>
    <n v="10076"/>
    <s v="Cash"/>
    <s v="2024-03"/>
    <d v="2025-06-08T00:00:00"/>
    <x v="0"/>
    <m/>
    <m/>
    <m/>
    <m/>
  </r>
  <r>
    <n v="627"/>
    <x v="34"/>
    <d v="2025-03-11T00:00:00"/>
    <x v="2"/>
    <x v="3"/>
    <m/>
    <n v="555"/>
    <s v="Cash"/>
    <s v="2025-03"/>
    <d v="2025-05-16T00:00:00"/>
    <x v="0"/>
    <m/>
    <m/>
    <m/>
    <m/>
  </r>
  <r>
    <n v="1278"/>
    <x v="23"/>
    <d v="2024-05-25T00:00:00"/>
    <x v="4"/>
    <x v="0"/>
    <m/>
    <n v="2882"/>
    <s v="Cash"/>
    <s v="2024-05"/>
    <d v="2025-06-21T00:00:00"/>
    <x v="0"/>
    <m/>
    <m/>
    <m/>
    <m/>
  </r>
  <r>
    <n v="1754"/>
    <x v="119"/>
    <d v="2024-11-12T00:00:00"/>
    <x v="2"/>
    <x v="2"/>
    <m/>
    <n v="1156"/>
    <s v="UPI"/>
    <s v="2024-11"/>
    <d v="2025-06-19T00:00:00"/>
    <x v="0"/>
    <m/>
    <m/>
    <m/>
    <m/>
  </r>
  <r>
    <n v="1456"/>
    <x v="114"/>
    <d v="2024-01-03T00:00:00"/>
    <x v="2"/>
    <x v="3"/>
    <m/>
    <n v="2535"/>
    <s v="Cheque"/>
    <s v="2024-01"/>
    <d v="2025-05-08T00:00:00"/>
    <x v="0"/>
    <m/>
    <m/>
    <m/>
    <m/>
  </r>
  <r>
    <n v="252"/>
    <x v="93"/>
    <d v="2025-05-11T00:00:00"/>
    <x v="4"/>
    <x v="1"/>
    <m/>
    <n v="10022"/>
    <s v="Cash"/>
    <s v="2025-05"/>
    <d v="2025-06-16T00:00:00"/>
    <x v="0"/>
    <m/>
    <m/>
    <m/>
    <m/>
  </r>
  <r>
    <n v="1657"/>
    <x v="42"/>
    <d v="2024-02-08T00:00:00"/>
    <x v="3"/>
    <x v="5"/>
    <m/>
    <n v="352"/>
    <s v="Cash"/>
    <s v="2024-02"/>
    <d v="2025-05-08T00:00:00"/>
    <x v="0"/>
    <m/>
    <m/>
    <m/>
    <m/>
  </r>
  <r>
    <n v="1193"/>
    <x v="108"/>
    <d v="2024-02-17T00:00:00"/>
    <x v="0"/>
    <x v="2"/>
    <m/>
    <n v="270"/>
    <s v="Cheque"/>
    <s v="2024-02"/>
    <d v="2025-06-14T00:00:00"/>
    <x v="0"/>
    <m/>
    <m/>
    <m/>
    <m/>
  </r>
  <r>
    <n v="1714"/>
    <x v="109"/>
    <d v="2024-03-03T00:00:00"/>
    <x v="1"/>
    <x v="1"/>
    <m/>
    <n v="1703"/>
    <s v="UPI"/>
    <s v="2024-03"/>
    <d v="2025-05-15T00:00:00"/>
    <x v="0"/>
    <m/>
    <m/>
    <m/>
    <m/>
  </r>
  <r>
    <n v="983"/>
    <x v="34"/>
    <d v="2024-07-29T00:00:00"/>
    <x v="2"/>
    <x v="3"/>
    <m/>
    <n v="247"/>
    <s v="UPI"/>
    <s v="2024-07"/>
    <d v="2025-05-16T00:00:00"/>
    <x v="0"/>
    <m/>
    <m/>
    <m/>
    <m/>
  </r>
  <r>
    <n v="1600"/>
    <x v="8"/>
    <d v="2024-01-17T00:00:00"/>
    <x v="1"/>
    <x v="4"/>
    <m/>
    <n v="913"/>
    <s v="UPI"/>
    <s v="2024-01"/>
    <d v="2025-05-11T00:00:00"/>
    <x v="0"/>
    <m/>
    <m/>
    <m/>
    <m/>
  </r>
  <r>
    <n v="707"/>
    <x v="28"/>
    <d v="2024-04-13T00:00:00"/>
    <x v="0"/>
    <x v="1"/>
    <m/>
    <n v="2235"/>
    <s v="Cheque"/>
    <s v="2024-04"/>
    <d v="2025-04-29T00:00:00"/>
    <x v="0"/>
    <m/>
    <m/>
    <m/>
    <m/>
  </r>
  <r>
    <n v="488"/>
    <x v="27"/>
    <d v="2025-04-21T00:00:00"/>
    <x v="2"/>
    <x v="3"/>
    <m/>
    <n v="798"/>
    <s v="Bank Transfer"/>
    <s v="2025-04"/>
    <d v="2025-05-13T00:00:00"/>
    <x v="0"/>
    <m/>
    <m/>
    <m/>
    <m/>
  </r>
  <r>
    <n v="274"/>
    <x v="107"/>
    <d v="2024-03-10T00:00:00"/>
    <x v="1"/>
    <x v="4"/>
    <m/>
    <n v="585"/>
    <s v="Cash"/>
    <s v="2024-03"/>
    <d v="2025-04-12T00:00:00"/>
    <x v="0"/>
    <m/>
    <m/>
    <m/>
    <m/>
  </r>
  <r>
    <n v="1359"/>
    <x v="25"/>
    <d v="2024-10-15T00:00:00"/>
    <x v="0"/>
    <x v="4"/>
    <m/>
    <n v="2024"/>
    <s v="Bank Transfer"/>
    <s v="2024-10"/>
    <d v="2025-03-24T00:00:00"/>
    <x v="1"/>
    <m/>
    <m/>
    <m/>
    <m/>
  </r>
  <r>
    <n v="1510"/>
    <x v="8"/>
    <d v="2024-05-31T00:00:00"/>
    <x v="0"/>
    <x v="3"/>
    <m/>
    <n v="816"/>
    <s v="Cheque"/>
    <s v="2024-05"/>
    <d v="2025-05-11T00:00:00"/>
    <x v="0"/>
    <m/>
    <m/>
    <m/>
    <m/>
  </r>
  <r>
    <n v="964"/>
    <x v="47"/>
    <d v="2024-12-17T00:00:00"/>
    <x v="0"/>
    <x v="0"/>
    <m/>
    <n v="8020"/>
    <s v="Cheque"/>
    <s v="2024-12"/>
    <d v="2025-05-11T00:00:00"/>
    <x v="0"/>
    <m/>
    <m/>
    <m/>
    <m/>
  </r>
  <r>
    <n v="878"/>
    <x v="35"/>
    <d v="2024-07-09T00:00:00"/>
    <x v="1"/>
    <x v="3"/>
    <m/>
    <n v="972"/>
    <s v="Credit Card"/>
    <s v="2024-07"/>
    <d v="2025-06-13T00:00:00"/>
    <x v="0"/>
    <m/>
    <m/>
    <m/>
    <m/>
  </r>
  <r>
    <n v="1272"/>
    <x v="111"/>
    <d v="2024-10-26T00:00:00"/>
    <x v="0"/>
    <x v="1"/>
    <m/>
    <n v="713"/>
    <s v="Cash"/>
    <s v="2024-10"/>
    <d v="2025-06-07T00:00:00"/>
    <x v="0"/>
    <m/>
    <m/>
    <m/>
    <m/>
  </r>
  <r>
    <n v="1637"/>
    <x v="0"/>
    <d v="2024-05-11T00:00:00"/>
    <x v="3"/>
    <x v="4"/>
    <m/>
    <n v="5989"/>
    <s v="Bank Transfer"/>
    <s v="2024-05"/>
    <d v="2025-05-08T00:00:00"/>
    <x v="0"/>
    <m/>
    <m/>
    <m/>
    <m/>
  </r>
  <r>
    <n v="412"/>
    <x v="85"/>
    <d v="2024-02-09T00:00:00"/>
    <x v="3"/>
    <x v="0"/>
    <m/>
    <n v="0"/>
    <s v="Credit Card"/>
    <s v="2024-02"/>
    <d v="2025-04-17T00:00:00"/>
    <x v="0"/>
    <m/>
    <m/>
    <m/>
    <m/>
  </r>
  <r>
    <n v="668"/>
    <x v="102"/>
    <d v="2024-04-23T00:00:00"/>
    <x v="4"/>
    <x v="0"/>
    <m/>
    <n v="1708"/>
    <s v="Cash"/>
    <s v="2024-04"/>
    <d v="2025-04-05T00:00:00"/>
    <x v="0"/>
    <m/>
    <m/>
    <m/>
    <m/>
  </r>
  <r>
    <n v="150"/>
    <x v="42"/>
    <d v="2024-07-05T00:00:00"/>
    <x v="4"/>
    <x v="3"/>
    <m/>
    <n v="244"/>
    <s v="Credit Card"/>
    <s v="2024-07"/>
    <d v="2025-05-08T00:00:00"/>
    <x v="0"/>
    <m/>
    <m/>
    <m/>
    <m/>
  </r>
  <r>
    <n v="645"/>
    <x v="19"/>
    <d v="2024-12-15T00:00:00"/>
    <x v="2"/>
    <x v="1"/>
    <m/>
    <n v="5984"/>
    <s v="Cash"/>
    <s v="2024-12"/>
    <d v="2025-06-19T00:00:00"/>
    <x v="0"/>
    <m/>
    <m/>
    <m/>
    <m/>
  </r>
  <r>
    <n v="1450"/>
    <x v="45"/>
    <d v="2024-09-13T00:00:00"/>
    <x v="2"/>
    <x v="1"/>
    <m/>
    <n v="4296"/>
    <s v="Credit Card"/>
    <s v="2024-09"/>
    <d v="2025-06-18T00:00:00"/>
    <x v="0"/>
    <m/>
    <m/>
    <m/>
    <m/>
  </r>
  <r>
    <n v="219"/>
    <x v="4"/>
    <d v="2024-08-11T00:00:00"/>
    <x v="0"/>
    <x v="5"/>
    <m/>
    <n v="0"/>
    <s v="Cheque"/>
    <s v="2024-08"/>
    <d v="2025-05-02T00:00:00"/>
    <x v="0"/>
    <m/>
    <m/>
    <m/>
    <m/>
  </r>
  <r>
    <n v="240"/>
    <x v="113"/>
    <d v="2025-03-04T00:00:00"/>
    <x v="2"/>
    <x v="5"/>
    <m/>
    <n v="10375"/>
    <s v="UPI"/>
    <s v="2025-03"/>
    <d v="2025-03-27T00:00:00"/>
    <x v="0"/>
    <m/>
    <m/>
    <m/>
    <m/>
  </r>
  <r>
    <n v="1132"/>
    <x v="109"/>
    <d v="2024-04-02T00:00:00"/>
    <x v="4"/>
    <x v="5"/>
    <m/>
    <n v="288"/>
    <s v="Cash"/>
    <s v="2024-04"/>
    <d v="2025-05-15T00:00:00"/>
    <x v="0"/>
    <m/>
    <m/>
    <m/>
    <m/>
  </r>
  <r>
    <n v="793"/>
    <x v="15"/>
    <d v="2025-04-01T00:00:00"/>
    <x v="0"/>
    <x v="0"/>
    <m/>
    <n v="2021"/>
    <s v="Cheque"/>
    <s v="2025-04"/>
    <d v="2025-05-15T00:00:00"/>
    <x v="0"/>
    <m/>
    <m/>
    <m/>
    <m/>
  </r>
  <r>
    <n v="192"/>
    <x v="10"/>
    <d v="2024-01-15T00:00:00"/>
    <x v="1"/>
    <x v="5"/>
    <m/>
    <n v="1740"/>
    <s v="Cash"/>
    <s v="2024-01"/>
    <d v="2025-05-17T00:00:00"/>
    <x v="0"/>
    <m/>
    <m/>
    <m/>
    <m/>
  </r>
  <r>
    <n v="334"/>
    <x v="69"/>
    <d v="2024-01-08T00:00:00"/>
    <x v="1"/>
    <x v="0"/>
    <m/>
    <n v="2298"/>
    <s v="UPI"/>
    <s v="2024-01"/>
    <d v="2025-03-22T00:00:00"/>
    <x v="1"/>
    <m/>
    <m/>
    <m/>
    <m/>
  </r>
  <r>
    <n v="963"/>
    <x v="78"/>
    <d v="2024-11-17T00:00:00"/>
    <x v="0"/>
    <x v="4"/>
    <m/>
    <n v="1379"/>
    <s v="Credit Card"/>
    <s v="2024-11"/>
    <d v="2025-06-02T00:00:00"/>
    <x v="0"/>
    <m/>
    <m/>
    <m/>
    <m/>
  </r>
  <r>
    <n v="1199"/>
    <x v="0"/>
    <d v="2025-01-17T00:00:00"/>
    <x v="3"/>
    <x v="1"/>
    <m/>
    <n v="592"/>
    <s v="Bank Transfer"/>
    <s v="2025-01"/>
    <d v="2025-05-08T00:00:00"/>
    <x v="0"/>
    <m/>
    <m/>
    <m/>
    <m/>
  </r>
  <r>
    <n v="1758"/>
    <x v="102"/>
    <d v="2024-01-11T00:00:00"/>
    <x v="0"/>
    <x v="2"/>
    <m/>
    <n v="416"/>
    <s v="UPI"/>
    <s v="2024-01"/>
    <d v="2025-04-05T00:00:00"/>
    <x v="0"/>
    <m/>
    <m/>
    <m/>
    <m/>
  </r>
  <r>
    <n v="1493"/>
    <x v="110"/>
    <d v="2024-12-07T00:00:00"/>
    <x v="4"/>
    <x v="1"/>
    <m/>
    <n v="8066"/>
    <s v="UPI"/>
    <s v="2024-12"/>
    <d v="2025-06-20T00:00:00"/>
    <x v="0"/>
    <m/>
    <m/>
    <m/>
    <m/>
  </r>
  <r>
    <n v="1594"/>
    <x v="71"/>
    <d v="2024-12-17T00:00:00"/>
    <x v="3"/>
    <x v="2"/>
    <m/>
    <n v="4204"/>
    <s v="Cheque"/>
    <s v="2024-12"/>
    <d v="2025-05-16T00:00:00"/>
    <x v="0"/>
    <m/>
    <m/>
    <m/>
    <m/>
  </r>
  <r>
    <n v="583"/>
    <x v="5"/>
    <d v="2025-05-24T00:00:00"/>
    <x v="4"/>
    <x v="2"/>
    <m/>
    <n v="411"/>
    <s v="Bank Transfer"/>
    <s v="2025-05"/>
    <d v="2025-05-24T00:00:00"/>
    <x v="0"/>
    <m/>
    <m/>
    <m/>
    <m/>
  </r>
  <r>
    <n v="1719"/>
    <x v="24"/>
    <d v="2025-06-18T00:00:00"/>
    <x v="0"/>
    <x v="1"/>
    <m/>
    <n v="634"/>
    <s v="UPI"/>
    <s v="2025-06"/>
    <d v="2025-06-18T00:00:00"/>
    <x v="0"/>
    <m/>
    <m/>
    <m/>
    <m/>
  </r>
  <r>
    <n v="1458"/>
    <x v="61"/>
    <d v="2024-08-28T00:00:00"/>
    <x v="0"/>
    <x v="0"/>
    <m/>
    <n v="4354"/>
    <s v="Credit Card"/>
    <s v="2024-08"/>
    <d v="2025-05-18T00:00:00"/>
    <x v="0"/>
    <m/>
    <m/>
    <m/>
    <m/>
  </r>
  <r>
    <n v="840"/>
    <x v="82"/>
    <d v="2024-03-07T00:00:00"/>
    <x v="1"/>
    <x v="1"/>
    <m/>
    <n v="796"/>
    <s v="Cheque"/>
    <s v="2024-03"/>
    <d v="2025-06-21T00:00:00"/>
    <x v="0"/>
    <m/>
    <m/>
    <m/>
    <m/>
  </r>
  <r>
    <n v="628"/>
    <x v="77"/>
    <d v="2024-03-01T00:00:00"/>
    <x v="2"/>
    <x v="5"/>
    <m/>
    <n v="413"/>
    <s v="UPI"/>
    <s v="2024-03"/>
    <d v="2025-05-21T00:00:00"/>
    <x v="0"/>
    <m/>
    <m/>
    <m/>
    <m/>
  </r>
  <r>
    <n v="324"/>
    <x v="2"/>
    <d v="2025-04-29T00:00:00"/>
    <x v="4"/>
    <x v="5"/>
    <m/>
    <n v="643"/>
    <s v="Cheque"/>
    <s v="2025-04"/>
    <d v="2025-06-10T00:00:00"/>
    <x v="0"/>
    <m/>
    <m/>
    <m/>
    <m/>
  </r>
  <r>
    <n v="1484"/>
    <x v="24"/>
    <d v="2024-07-30T00:00:00"/>
    <x v="1"/>
    <x v="4"/>
    <m/>
    <n v="1992"/>
    <s v="Bank Transfer"/>
    <s v="2024-07"/>
    <d v="2025-06-18T00:00:00"/>
    <x v="0"/>
    <m/>
    <m/>
    <m/>
    <m/>
  </r>
  <r>
    <n v="1161"/>
    <x v="45"/>
    <d v="2025-03-04T00:00:00"/>
    <x v="0"/>
    <x v="4"/>
    <m/>
    <n v="524"/>
    <s v="Credit Card"/>
    <s v="2025-03"/>
    <d v="2025-06-18T00:00:00"/>
    <x v="0"/>
    <m/>
    <m/>
    <m/>
    <m/>
  </r>
  <r>
    <n v="779"/>
    <x v="44"/>
    <d v="2024-03-27T00:00:00"/>
    <x v="0"/>
    <x v="0"/>
    <m/>
    <n v="4460"/>
    <s v="UPI"/>
    <s v="2024-03"/>
    <d v="2025-04-26T00:00:00"/>
    <x v="0"/>
    <m/>
    <m/>
    <m/>
    <m/>
  </r>
  <r>
    <n v="1077"/>
    <x v="78"/>
    <d v="2024-02-06T00:00:00"/>
    <x v="2"/>
    <x v="4"/>
    <m/>
    <n v="1552"/>
    <s v="Credit Card"/>
    <s v="2024-02"/>
    <d v="2025-06-02T00:00:00"/>
    <x v="0"/>
    <m/>
    <m/>
    <m/>
    <m/>
  </r>
  <r>
    <n v="940"/>
    <x v="103"/>
    <d v="2024-04-20T00:00:00"/>
    <x v="0"/>
    <x v="1"/>
    <m/>
    <n v="1921"/>
    <s v="UPI"/>
    <s v="2024-04"/>
    <d v="2025-04-19T00:00:00"/>
    <x v="0"/>
    <m/>
    <m/>
    <m/>
    <m/>
  </r>
  <r>
    <n v="438"/>
    <x v="77"/>
    <d v="2024-09-17T00:00:00"/>
    <x v="5"/>
    <x v="1"/>
    <m/>
    <n v="4520"/>
    <s v="Bank Transfer"/>
    <s v="2024-09"/>
    <d v="2025-05-21T00:00:00"/>
    <x v="0"/>
    <m/>
    <m/>
    <m/>
    <m/>
  </r>
  <r>
    <n v="120"/>
    <x v="71"/>
    <d v="2025-05-13T00:00:00"/>
    <x v="1"/>
    <x v="3"/>
    <m/>
    <n v="1916"/>
    <s v="Cheque"/>
    <s v="2025-05"/>
    <d v="2025-05-16T00:00:00"/>
    <x v="0"/>
    <m/>
    <m/>
    <m/>
    <m/>
  </r>
  <r>
    <n v="1232"/>
    <x v="82"/>
    <d v="2024-06-12T00:00:00"/>
    <x v="0"/>
    <x v="1"/>
    <m/>
    <n v="1799"/>
    <s v="Bank Transfer"/>
    <s v="2024-06"/>
    <d v="2025-06-21T00:00:00"/>
    <x v="0"/>
    <m/>
    <m/>
    <m/>
    <m/>
  </r>
  <r>
    <n v="1410"/>
    <x v="94"/>
    <d v="2025-04-01T00:00:00"/>
    <x v="0"/>
    <x v="3"/>
    <m/>
    <n v="676"/>
    <s v="Credit Card"/>
    <s v="2025-04"/>
    <d v="2025-04-05T00:00:00"/>
    <x v="0"/>
    <m/>
    <m/>
    <m/>
    <m/>
  </r>
  <r>
    <n v="1027"/>
    <x v="101"/>
    <d v="2024-07-15T00:00:00"/>
    <x v="3"/>
    <x v="3"/>
    <m/>
    <n v="881"/>
    <s v="Credit Card"/>
    <s v="2024-07"/>
    <d v="2025-06-23T00:00:00"/>
    <x v="0"/>
    <m/>
    <m/>
    <m/>
    <m/>
  </r>
  <r>
    <n v="1250"/>
    <x v="54"/>
    <d v="2024-03-25T00:00:00"/>
    <x v="4"/>
    <x v="1"/>
    <m/>
    <n v="449"/>
    <s v="Credit Card"/>
    <s v="2024-03"/>
    <d v="2025-02-10T00:00:00"/>
    <x v="1"/>
    <m/>
    <m/>
    <m/>
    <m/>
  </r>
  <r>
    <n v="77"/>
    <x v="101"/>
    <d v="2025-05-18T00:00:00"/>
    <x v="0"/>
    <x v="5"/>
    <m/>
    <n v="700"/>
    <s v="UPI"/>
    <s v="2025-05"/>
    <d v="2025-06-23T00:00:00"/>
    <x v="0"/>
    <m/>
    <m/>
    <m/>
    <m/>
  </r>
  <r>
    <n v="1054"/>
    <x v="113"/>
    <d v="2024-12-27T00:00:00"/>
    <x v="2"/>
    <x v="0"/>
    <m/>
    <n v="1880"/>
    <s v="UPI"/>
    <s v="2024-12"/>
    <d v="2025-03-27T00:00:00"/>
    <x v="0"/>
    <m/>
    <m/>
    <m/>
    <m/>
  </r>
  <r>
    <n v="901"/>
    <x v="111"/>
    <d v="2024-02-28T00:00:00"/>
    <x v="2"/>
    <x v="5"/>
    <m/>
    <n v="2184"/>
    <s v="Bank Transfer"/>
    <s v="2024-02"/>
    <d v="2025-06-07T00:00:00"/>
    <x v="0"/>
    <m/>
    <m/>
    <m/>
    <m/>
  </r>
  <r>
    <n v="372"/>
    <x v="32"/>
    <d v="2024-11-17T00:00:00"/>
    <x v="3"/>
    <x v="2"/>
    <m/>
    <n v="1761"/>
    <s v="Cheque"/>
    <s v="2024-11"/>
    <d v="2025-05-07T00:00:00"/>
    <x v="0"/>
    <m/>
    <m/>
    <m/>
    <m/>
  </r>
  <r>
    <n v="1680"/>
    <x v="112"/>
    <d v="2024-10-12T00:00:00"/>
    <x v="1"/>
    <x v="1"/>
    <m/>
    <n v="1357"/>
    <s v="Cheque"/>
    <s v="2024-10"/>
    <d v="2025-06-04T00:00:00"/>
    <x v="0"/>
    <m/>
    <m/>
    <m/>
    <m/>
  </r>
  <r>
    <n v="1305"/>
    <x v="87"/>
    <d v="2024-06-02T00:00:00"/>
    <x v="4"/>
    <x v="2"/>
    <m/>
    <n v="4585"/>
    <s v="UPI"/>
    <s v="2024-06"/>
    <d v="2025-05-02T00:00:00"/>
    <x v="0"/>
    <m/>
    <m/>
    <m/>
    <m/>
  </r>
  <r>
    <n v="1781"/>
    <x v="15"/>
    <d v="2024-08-09T00:00:00"/>
    <x v="3"/>
    <x v="1"/>
    <m/>
    <n v="1505"/>
    <s v="Cheque"/>
    <s v="2024-08"/>
    <d v="2025-05-15T00:00:00"/>
    <x v="0"/>
    <m/>
    <m/>
    <m/>
    <m/>
  </r>
  <r>
    <n v="942"/>
    <x v="84"/>
    <d v="2025-01-24T00:00:00"/>
    <x v="1"/>
    <x v="1"/>
    <m/>
    <n v="266"/>
    <s v="Credit Card"/>
    <s v="2025-01"/>
    <d v="2025-06-07T00:00:00"/>
    <x v="0"/>
    <m/>
    <m/>
    <m/>
    <m/>
  </r>
  <r>
    <n v="578"/>
    <x v="61"/>
    <d v="2024-09-06T00:00:00"/>
    <x v="3"/>
    <x v="3"/>
    <m/>
    <n v="1260"/>
    <s v="Cheque"/>
    <s v="2024-09"/>
    <d v="2025-05-18T00:00:00"/>
    <x v="0"/>
    <m/>
    <m/>
    <m/>
    <m/>
  </r>
  <r>
    <n v="820"/>
    <x v="14"/>
    <d v="2024-03-13T00:00:00"/>
    <x v="2"/>
    <x v="3"/>
    <m/>
    <n v="880"/>
    <s v="Credit Card"/>
    <s v="2024-03"/>
    <d v="2025-04-16T00:00:00"/>
    <x v="0"/>
    <m/>
    <m/>
    <m/>
    <m/>
  </r>
  <r>
    <n v="1327"/>
    <x v="31"/>
    <d v="2024-11-27T00:00:00"/>
    <x v="5"/>
    <x v="0"/>
    <m/>
    <n v="2141"/>
    <s v="Cheque"/>
    <s v="2024-11"/>
    <d v="2025-05-16T00:00:00"/>
    <x v="0"/>
    <m/>
    <m/>
    <m/>
    <m/>
  </r>
  <r>
    <n v="1346"/>
    <x v="49"/>
    <d v="2025-05-18T00:00:00"/>
    <x v="1"/>
    <x v="2"/>
    <m/>
    <n v="1033"/>
    <s v="Bank Transfer"/>
    <s v="2025-05"/>
    <d v="2025-05-18T00:00:00"/>
    <x v="0"/>
    <m/>
    <m/>
    <m/>
    <m/>
  </r>
  <r>
    <n v="1563"/>
    <x v="1"/>
    <d v="2025-01-12T00:00:00"/>
    <x v="1"/>
    <x v="5"/>
    <m/>
    <n v="579"/>
    <s v="Cash"/>
    <s v="2025-01"/>
    <d v="2025-06-05T00:00:00"/>
    <x v="0"/>
    <m/>
    <m/>
    <m/>
    <m/>
  </r>
  <r>
    <n v="1442"/>
    <x v="7"/>
    <d v="2024-01-01T00:00:00"/>
    <x v="4"/>
    <x v="4"/>
    <m/>
    <n v="847"/>
    <s v="Cash"/>
    <s v="2024-01"/>
    <d v="2025-06-11T00:00:00"/>
    <x v="0"/>
    <m/>
    <m/>
    <m/>
    <m/>
  </r>
  <r>
    <n v="887"/>
    <x v="104"/>
    <d v="2024-10-07T00:00:00"/>
    <x v="4"/>
    <x v="1"/>
    <m/>
    <n v="523"/>
    <s v="UPI"/>
    <s v="2024-10"/>
    <d v="2025-06-07T00:00:00"/>
    <x v="0"/>
    <m/>
    <m/>
    <m/>
    <m/>
  </r>
  <r>
    <n v="969"/>
    <x v="74"/>
    <d v="2025-01-27T00:00:00"/>
    <x v="4"/>
    <x v="0"/>
    <m/>
    <n v="4748"/>
    <s v="UPI"/>
    <s v="2025-01"/>
    <d v="2025-05-11T00:00:00"/>
    <x v="0"/>
    <m/>
    <m/>
    <m/>
    <m/>
  </r>
  <r>
    <n v="786"/>
    <x v="109"/>
    <d v="2024-05-11T00:00:00"/>
    <x v="2"/>
    <x v="1"/>
    <m/>
    <n v="4680"/>
    <s v="Cash"/>
    <s v="2024-05"/>
    <d v="2025-05-15T00:00:00"/>
    <x v="0"/>
    <m/>
    <m/>
    <m/>
    <m/>
  </r>
  <r>
    <n v="1562"/>
    <x v="36"/>
    <d v="2024-02-25T00:00:00"/>
    <x v="0"/>
    <x v="4"/>
    <m/>
    <n v="8784"/>
    <s v="Cheque"/>
    <s v="2024-02"/>
    <d v="2025-06-16T00:00:00"/>
    <x v="0"/>
    <m/>
    <m/>
    <m/>
    <m/>
  </r>
  <r>
    <n v="1486"/>
    <x v="77"/>
    <d v="2024-01-15T00:00:00"/>
    <x v="3"/>
    <x v="3"/>
    <m/>
    <n v="282"/>
    <s v="Credit Card"/>
    <s v="2024-01"/>
    <d v="2025-05-21T00:00:00"/>
    <x v="0"/>
    <m/>
    <m/>
    <m/>
    <m/>
  </r>
  <r>
    <n v="302"/>
    <x v="31"/>
    <d v="2024-01-29T00:00:00"/>
    <x v="1"/>
    <x v="0"/>
    <m/>
    <n v="1538"/>
    <s v="Credit Card"/>
    <s v="2024-01"/>
    <d v="2025-05-16T00:00:00"/>
    <x v="0"/>
    <m/>
    <m/>
    <m/>
    <m/>
  </r>
  <r>
    <n v="690"/>
    <x v="69"/>
    <d v="2025-01-11T00:00:00"/>
    <x v="4"/>
    <x v="1"/>
    <m/>
    <n v="346"/>
    <s v="Cash"/>
    <s v="2025-01"/>
    <d v="2025-03-22T00:00:00"/>
    <x v="1"/>
    <m/>
    <m/>
    <m/>
    <m/>
  </r>
  <r>
    <n v="813"/>
    <x v="33"/>
    <d v="2024-08-15T00:00:00"/>
    <x v="0"/>
    <x v="0"/>
    <m/>
    <n v="4367"/>
    <s v="UPI"/>
    <s v="2024-08"/>
    <d v="2025-03-13T00:00:00"/>
    <x v="1"/>
    <m/>
    <m/>
    <m/>
    <m/>
  </r>
  <r>
    <n v="1062"/>
    <x v="61"/>
    <d v="2024-05-08T00:00:00"/>
    <x v="3"/>
    <x v="4"/>
    <m/>
    <n v="802"/>
    <s v="Credit Card"/>
    <s v="2024-05"/>
    <d v="2025-05-18T00:00:00"/>
    <x v="0"/>
    <m/>
    <m/>
    <m/>
    <m/>
  </r>
  <r>
    <n v="237"/>
    <x v="91"/>
    <d v="2025-02-06T00:00:00"/>
    <x v="2"/>
    <x v="0"/>
    <m/>
    <n v="2074"/>
    <s v="Cheque"/>
    <s v="2025-02"/>
    <d v="2025-05-04T00:00:00"/>
    <x v="0"/>
    <m/>
    <m/>
    <m/>
    <m/>
  </r>
  <r>
    <n v="1116"/>
    <x v="99"/>
    <d v="2024-02-27T00:00:00"/>
    <x v="5"/>
    <x v="5"/>
    <m/>
    <n v="1143"/>
    <s v="Bank Transfer"/>
    <s v="2024-02"/>
    <d v="2025-03-30T00:00:00"/>
    <x v="0"/>
    <m/>
    <m/>
    <m/>
    <m/>
  </r>
  <r>
    <n v="1230"/>
    <x v="45"/>
    <d v="2025-06-18T00:00:00"/>
    <x v="0"/>
    <x v="1"/>
    <m/>
    <n v="4272"/>
    <s v="Bank Transfer"/>
    <s v="2025-06"/>
    <d v="2025-06-18T00:00:00"/>
    <x v="0"/>
    <m/>
    <m/>
    <m/>
    <m/>
  </r>
  <r>
    <n v="500"/>
    <x v="34"/>
    <d v="2025-05-16T00:00:00"/>
    <x v="1"/>
    <x v="1"/>
    <m/>
    <n v="1942"/>
    <s v="UPI"/>
    <s v="2025-05"/>
    <d v="2025-05-16T00:00:00"/>
    <x v="0"/>
    <m/>
    <m/>
    <m/>
    <m/>
  </r>
  <r>
    <n v="1498"/>
    <x v="4"/>
    <d v="2024-03-31T00:00:00"/>
    <x v="3"/>
    <x v="4"/>
    <m/>
    <n v="2000"/>
    <s v="Bank Transfer"/>
    <s v="2024-03"/>
    <d v="2025-05-02T00:00:00"/>
    <x v="0"/>
    <m/>
    <m/>
    <m/>
    <m/>
  </r>
  <r>
    <n v="1080"/>
    <x v="17"/>
    <d v="2024-11-03T00:00:00"/>
    <x v="4"/>
    <x v="5"/>
    <m/>
    <n v="299"/>
    <s v="Cash"/>
    <s v="2024-11"/>
    <d v="2025-05-21T00:00:00"/>
    <x v="0"/>
    <m/>
    <m/>
    <m/>
    <m/>
  </r>
  <r>
    <n v="795"/>
    <x v="94"/>
    <d v="2025-01-28T00:00:00"/>
    <x v="4"/>
    <x v="2"/>
    <m/>
    <n v="957"/>
    <s v="UPI"/>
    <s v="2025-01"/>
    <d v="2025-04-05T00:00:00"/>
    <x v="0"/>
    <m/>
    <m/>
    <m/>
    <m/>
  </r>
  <r>
    <n v="1404"/>
    <x v="64"/>
    <d v="2024-05-07T00:00:00"/>
    <x v="4"/>
    <x v="1"/>
    <m/>
    <n v="1794"/>
    <s v="Cheque"/>
    <s v="2024-05"/>
    <d v="2025-04-28T00:00:00"/>
    <x v="0"/>
    <m/>
    <m/>
    <m/>
    <m/>
  </r>
  <r>
    <n v="991"/>
    <x v="63"/>
    <d v="2025-02-05T00:00:00"/>
    <x v="2"/>
    <x v="4"/>
    <m/>
    <n v="2495"/>
    <s v="Credit Card"/>
    <s v="2025-02"/>
    <d v="2025-06-11T00:00:00"/>
    <x v="0"/>
    <m/>
    <m/>
    <m/>
    <m/>
  </r>
  <r>
    <n v="1243"/>
    <x v="89"/>
    <d v="2024-09-16T00:00:00"/>
    <x v="1"/>
    <x v="5"/>
    <m/>
    <n v="1821"/>
    <s v="UPI"/>
    <s v="2024-09"/>
    <d v="2025-05-10T00:00:00"/>
    <x v="0"/>
    <m/>
    <m/>
    <m/>
    <m/>
  </r>
  <r>
    <n v="935"/>
    <x v="26"/>
    <d v="2024-04-01T00:00:00"/>
    <x v="4"/>
    <x v="2"/>
    <m/>
    <n v="271"/>
    <s v="Cash"/>
    <s v="2024-04"/>
    <d v="2025-06-01T00:00:00"/>
    <x v="0"/>
    <m/>
    <m/>
    <m/>
    <m/>
  </r>
  <r>
    <n v="388"/>
    <x v="114"/>
    <d v="2025-02-18T00:00:00"/>
    <x v="1"/>
    <x v="3"/>
    <m/>
    <n v="802"/>
    <s v="Cheque"/>
    <s v="2025-02"/>
    <d v="2025-05-08T00:00:00"/>
    <x v="0"/>
    <m/>
    <m/>
    <m/>
    <m/>
  </r>
  <r>
    <n v="391"/>
    <x v="22"/>
    <d v="2024-11-01T00:00:00"/>
    <x v="1"/>
    <x v="3"/>
    <m/>
    <n v="11499"/>
    <s v="Credit Card"/>
    <s v="2024-11"/>
    <d v="2025-06-09T00:00:00"/>
    <x v="0"/>
    <m/>
    <m/>
    <m/>
    <m/>
  </r>
  <r>
    <n v="744"/>
    <x v="53"/>
    <d v="2024-10-15T00:00:00"/>
    <x v="4"/>
    <x v="2"/>
    <m/>
    <n v="10252"/>
    <s v="Bank Transfer"/>
    <s v="2024-10"/>
    <d v="2025-06-06T00:00:00"/>
    <x v="0"/>
    <m/>
    <m/>
    <m/>
    <m/>
  </r>
  <r>
    <n v="353"/>
    <x v="108"/>
    <d v="2024-04-02T00:00:00"/>
    <x v="3"/>
    <x v="3"/>
    <m/>
    <n v="1162"/>
    <s v="Credit Card"/>
    <s v="2024-04"/>
    <d v="2025-06-14T00:00:00"/>
    <x v="0"/>
    <m/>
    <m/>
    <m/>
    <m/>
  </r>
  <r>
    <n v="1218"/>
    <x v="20"/>
    <d v="2025-01-09T00:00:00"/>
    <x v="2"/>
    <x v="1"/>
    <m/>
    <n v="330"/>
    <s v="Cheque"/>
    <s v="2025-01"/>
    <d v="2025-06-07T00:00:00"/>
    <x v="0"/>
    <m/>
    <m/>
    <m/>
    <m/>
  </r>
  <r>
    <n v="236"/>
    <x v="5"/>
    <d v="2024-11-17T00:00:00"/>
    <x v="0"/>
    <x v="5"/>
    <m/>
    <n v="2735"/>
    <s v="Cash"/>
    <s v="2024-11"/>
    <d v="2025-05-24T00:00:00"/>
    <x v="0"/>
    <m/>
    <m/>
    <m/>
    <m/>
  </r>
  <r>
    <n v="1569"/>
    <x v="83"/>
    <d v="2024-11-21T00:00:00"/>
    <x v="0"/>
    <x v="1"/>
    <m/>
    <n v="10294"/>
    <s v="Bank Transfer"/>
    <s v="2024-11"/>
    <d v="2025-02-02T00:00:00"/>
    <x v="1"/>
    <m/>
    <m/>
    <m/>
    <m/>
  </r>
  <r>
    <n v="481"/>
    <x v="57"/>
    <d v="2024-02-20T00:00:00"/>
    <x v="0"/>
    <x v="5"/>
    <m/>
    <n v="959"/>
    <s v="Cash"/>
    <s v="2024-02"/>
    <d v="2025-06-08T00:00:00"/>
    <x v="0"/>
    <m/>
    <m/>
    <m/>
    <m/>
  </r>
  <r>
    <n v="568"/>
    <x v="30"/>
    <d v="2025-05-17T00:00:00"/>
    <x v="0"/>
    <x v="1"/>
    <m/>
    <n v="1016"/>
    <s v="UPI"/>
    <s v="2025-05"/>
    <d v="2025-05-17T00:00:00"/>
    <x v="0"/>
    <m/>
    <m/>
    <m/>
    <m/>
  </r>
  <r>
    <n v="1141"/>
    <x v="74"/>
    <d v="2025-02-15T00:00:00"/>
    <x v="2"/>
    <x v="5"/>
    <m/>
    <n v="678"/>
    <s v="UPI"/>
    <s v="2025-02"/>
    <d v="2025-05-11T00:00:00"/>
    <x v="0"/>
    <m/>
    <m/>
    <m/>
    <m/>
  </r>
  <r>
    <n v="1523"/>
    <x v="0"/>
    <d v="2024-06-11T00:00:00"/>
    <x v="4"/>
    <x v="1"/>
    <m/>
    <n v="1421"/>
    <s v="Cheque"/>
    <s v="2024-06"/>
    <d v="2025-05-08T00:00:00"/>
    <x v="0"/>
    <m/>
    <m/>
    <m/>
    <m/>
  </r>
  <r>
    <n v="1681"/>
    <x v="59"/>
    <d v="2024-10-23T00:00:00"/>
    <x v="2"/>
    <x v="0"/>
    <m/>
    <n v="721"/>
    <s v="UPI"/>
    <s v="2024-10"/>
    <d v="2025-06-07T00:00:00"/>
    <x v="0"/>
    <m/>
    <m/>
    <m/>
    <m/>
  </r>
  <r>
    <n v="1413"/>
    <x v="59"/>
    <d v="2025-03-22T00:00:00"/>
    <x v="4"/>
    <x v="4"/>
    <m/>
    <n v="693"/>
    <s v="Cheque"/>
    <s v="2025-03"/>
    <d v="2025-06-07T00:00:00"/>
    <x v="0"/>
    <m/>
    <m/>
    <m/>
    <m/>
  </r>
  <r>
    <n v="121"/>
    <x v="44"/>
    <d v="2024-09-18T00:00:00"/>
    <x v="1"/>
    <x v="3"/>
    <m/>
    <n v="499"/>
    <s v="Cash"/>
    <s v="2024-09"/>
    <d v="2025-04-26T00:00:00"/>
    <x v="0"/>
    <m/>
    <m/>
    <m/>
    <m/>
  </r>
  <r>
    <n v="1559"/>
    <x v="117"/>
    <d v="2024-02-11T00:00:00"/>
    <x v="2"/>
    <x v="4"/>
    <m/>
    <n v="330"/>
    <s v="UPI"/>
    <s v="2024-02"/>
    <d v="2025-06-04T00:00:00"/>
    <x v="0"/>
    <m/>
    <m/>
    <m/>
    <m/>
  </r>
  <r>
    <n v="1025"/>
    <x v="99"/>
    <d v="2024-03-15T00:00:00"/>
    <x v="1"/>
    <x v="0"/>
    <m/>
    <n v="585"/>
    <s v="Bank Transfer"/>
    <s v="2024-03"/>
    <d v="2025-03-30T00:00:00"/>
    <x v="0"/>
    <m/>
    <m/>
    <m/>
    <m/>
  </r>
  <r>
    <n v="1087"/>
    <x v="29"/>
    <d v="2025-02-09T00:00:00"/>
    <x v="5"/>
    <x v="5"/>
    <m/>
    <n v="1746"/>
    <s v="Bank Transfer"/>
    <s v="2025-02"/>
    <d v="2025-04-26T00:00:00"/>
    <x v="0"/>
    <m/>
    <m/>
    <m/>
    <m/>
  </r>
  <r>
    <n v="927"/>
    <x v="112"/>
    <d v="2024-01-12T00:00:00"/>
    <x v="1"/>
    <x v="4"/>
    <m/>
    <n v="8807"/>
    <s v="UPI"/>
    <s v="2024-01"/>
    <d v="2025-06-04T00:00:00"/>
    <x v="0"/>
    <m/>
    <m/>
    <m/>
    <m/>
  </r>
  <r>
    <n v="516"/>
    <x v="110"/>
    <d v="2025-05-24T00:00:00"/>
    <x v="4"/>
    <x v="0"/>
    <m/>
    <n v="2167"/>
    <s v="Credit Card"/>
    <s v="2025-05"/>
    <d v="2025-06-20T00:00:00"/>
    <x v="0"/>
    <m/>
    <m/>
    <m/>
    <m/>
  </r>
  <r>
    <n v="224"/>
    <x v="88"/>
    <d v="2024-12-05T00:00:00"/>
    <x v="2"/>
    <x v="0"/>
    <m/>
    <n v="446"/>
    <s v="Cheque"/>
    <s v="2024-12"/>
    <d v="2025-06-23T00:00:00"/>
    <x v="0"/>
    <m/>
    <m/>
    <m/>
    <m/>
  </r>
  <r>
    <n v="1335"/>
    <x v="7"/>
    <d v="2024-07-23T00:00:00"/>
    <x v="4"/>
    <x v="0"/>
    <m/>
    <n v="918"/>
    <s v="UPI"/>
    <s v="2024-07"/>
    <d v="2025-06-11T00:00:00"/>
    <x v="0"/>
    <m/>
    <m/>
    <m/>
    <m/>
  </r>
  <r>
    <n v="614"/>
    <x v="119"/>
    <d v="2025-03-10T00:00:00"/>
    <x v="0"/>
    <x v="4"/>
    <m/>
    <n v="857"/>
    <s v="Bank Transfer"/>
    <s v="2025-03"/>
    <d v="2025-06-19T00:00:00"/>
    <x v="0"/>
    <m/>
    <m/>
    <m/>
    <m/>
  </r>
  <r>
    <n v="844"/>
    <x v="110"/>
    <d v="2024-08-12T00:00:00"/>
    <x v="0"/>
    <x v="4"/>
    <m/>
    <n v="2146"/>
    <s v="UPI"/>
    <s v="2024-08"/>
    <d v="2025-06-20T00:00:00"/>
    <x v="0"/>
    <m/>
    <m/>
    <m/>
    <m/>
  </r>
  <r>
    <n v="1246"/>
    <x v="78"/>
    <d v="2025-05-24T00:00:00"/>
    <x v="4"/>
    <x v="1"/>
    <m/>
    <n v="1812"/>
    <s v="Cash"/>
    <s v="2025-05"/>
    <d v="2025-06-02T00:00:00"/>
    <x v="0"/>
    <m/>
    <m/>
    <m/>
    <m/>
  </r>
  <r>
    <n v="53"/>
    <x v="93"/>
    <d v="2025-03-14T00:00:00"/>
    <x v="0"/>
    <x v="4"/>
    <m/>
    <n v="452"/>
    <s v="Bank Transfer"/>
    <s v="2025-03"/>
    <d v="2025-06-16T00:00:00"/>
    <x v="0"/>
    <m/>
    <m/>
    <m/>
    <m/>
  </r>
  <r>
    <n v="1663"/>
    <x v="73"/>
    <d v="2024-03-26T00:00:00"/>
    <x v="1"/>
    <x v="2"/>
    <m/>
    <n v="10382"/>
    <s v="Cheque"/>
    <s v="2024-03"/>
    <d v="2025-05-17T00:00:00"/>
    <x v="0"/>
    <m/>
    <m/>
    <m/>
    <m/>
  </r>
  <r>
    <n v="486"/>
    <x v="75"/>
    <d v="2024-01-24T00:00:00"/>
    <x v="4"/>
    <x v="2"/>
    <m/>
    <n v="8848"/>
    <s v="Cheque"/>
    <s v="2024-01"/>
    <d v="2025-06-13T00:00:00"/>
    <x v="0"/>
    <m/>
    <m/>
    <m/>
    <m/>
  </r>
  <r>
    <n v="1725"/>
    <x v="56"/>
    <d v="2025-01-14T00:00:00"/>
    <x v="2"/>
    <x v="2"/>
    <m/>
    <n v="1082"/>
    <s v="Credit Card"/>
    <s v="2025-01"/>
    <d v="2025-04-25T00:00:00"/>
    <x v="0"/>
    <m/>
    <m/>
    <m/>
    <m/>
  </r>
  <r>
    <n v="819"/>
    <x v="49"/>
    <d v="2024-07-13T00:00:00"/>
    <x v="2"/>
    <x v="0"/>
    <m/>
    <n v="4983"/>
    <s v="Cash"/>
    <s v="2024-07"/>
    <d v="2025-05-18T00:00:00"/>
    <x v="0"/>
    <m/>
    <m/>
    <m/>
    <m/>
  </r>
  <r>
    <n v="156"/>
    <x v="55"/>
    <d v="2024-05-26T00:00:00"/>
    <x v="3"/>
    <x v="2"/>
    <m/>
    <n v="244"/>
    <s v="UPI"/>
    <s v="2024-05"/>
    <d v="2025-06-22T00:00:00"/>
    <x v="0"/>
    <m/>
    <m/>
    <m/>
    <m/>
  </r>
  <r>
    <n v="601"/>
    <x v="21"/>
    <d v="2024-03-19T00:00:00"/>
    <x v="4"/>
    <x v="5"/>
    <m/>
    <n v="1079"/>
    <s v="Cash"/>
    <s v="2024-03"/>
    <d v="2025-06-03T00:00:00"/>
    <x v="0"/>
    <m/>
    <m/>
    <m/>
    <m/>
  </r>
  <r>
    <n v="1448"/>
    <x v="63"/>
    <d v="2024-06-09T00:00:00"/>
    <x v="4"/>
    <x v="5"/>
    <m/>
    <n v="820"/>
    <s v="Bank Transfer"/>
    <s v="2024-06"/>
    <d v="2025-06-11T00:00:00"/>
    <x v="0"/>
    <m/>
    <m/>
    <m/>
    <m/>
  </r>
  <r>
    <n v="249"/>
    <x v="103"/>
    <d v="2024-10-31T00:00:00"/>
    <x v="3"/>
    <x v="0"/>
    <m/>
    <n v="1069"/>
    <s v="Bank Transfer"/>
    <s v="2024-10"/>
    <d v="2025-04-19T00:00:00"/>
    <x v="0"/>
    <m/>
    <m/>
    <m/>
    <m/>
  </r>
  <r>
    <n v="762"/>
    <x v="75"/>
    <d v="2025-06-13T00:00:00"/>
    <x v="3"/>
    <x v="4"/>
    <m/>
    <n v="841"/>
    <s v="Cheque"/>
    <s v="2025-06"/>
    <d v="2025-06-13T00:00:00"/>
    <x v="0"/>
    <m/>
    <m/>
    <m/>
    <m/>
  </r>
  <r>
    <n v="1649"/>
    <x v="16"/>
    <d v="2024-03-27T00:00:00"/>
    <x v="3"/>
    <x v="3"/>
    <m/>
    <n v="736"/>
    <s v="Credit Card"/>
    <s v="2024-03"/>
    <d v="2025-05-28T00:00:00"/>
    <x v="0"/>
    <m/>
    <m/>
    <m/>
    <m/>
  </r>
  <r>
    <n v="1131"/>
    <x v="52"/>
    <d v="2024-11-03T00:00:00"/>
    <x v="3"/>
    <x v="2"/>
    <m/>
    <n v="8794"/>
    <s v="Cheque"/>
    <s v="2024-11"/>
    <d v="2025-04-04T00:00:00"/>
    <x v="0"/>
    <m/>
    <m/>
    <m/>
    <m/>
  </r>
  <r>
    <n v="543"/>
    <x v="29"/>
    <d v="2024-04-22T00:00:00"/>
    <x v="1"/>
    <x v="3"/>
    <m/>
    <n v="1945"/>
    <s v="Cheque"/>
    <s v="2024-04"/>
    <d v="2025-04-26T00:00:00"/>
    <x v="0"/>
    <m/>
    <m/>
    <m/>
    <m/>
  </r>
  <r>
    <n v="794"/>
    <x v="82"/>
    <d v="2024-10-21T00:00:00"/>
    <x v="0"/>
    <x v="5"/>
    <m/>
    <n v="2391"/>
    <s v="Credit Card"/>
    <s v="2024-10"/>
    <d v="2025-06-21T00:00:00"/>
    <x v="0"/>
    <m/>
    <m/>
    <m/>
    <m/>
  </r>
  <r>
    <n v="1142"/>
    <x v="32"/>
    <d v="2025-04-29T00:00:00"/>
    <x v="1"/>
    <x v="0"/>
    <m/>
    <n v="4223"/>
    <s v="Credit Card"/>
    <s v="2025-04"/>
    <d v="2025-05-07T00:00:00"/>
    <x v="0"/>
    <m/>
    <m/>
    <m/>
    <m/>
  </r>
  <r>
    <n v="1316"/>
    <x v="96"/>
    <d v="2025-03-29T00:00:00"/>
    <x v="3"/>
    <x v="3"/>
    <m/>
    <n v="870"/>
    <s v="Credit Card"/>
    <s v="2025-03"/>
    <d v="2025-06-07T00:00:00"/>
    <x v="0"/>
    <m/>
    <m/>
    <m/>
    <m/>
  </r>
  <r>
    <n v="629"/>
    <x v="96"/>
    <d v="2024-07-23T00:00:00"/>
    <x v="1"/>
    <x v="3"/>
    <m/>
    <n v="858"/>
    <s v="Bank Transfer"/>
    <s v="2024-07"/>
    <d v="2025-06-07T00:00:00"/>
    <x v="0"/>
    <m/>
    <m/>
    <m/>
    <m/>
  </r>
  <r>
    <n v="151"/>
    <x v="63"/>
    <d v="2025-06-11T00:00:00"/>
    <x v="3"/>
    <x v="1"/>
    <m/>
    <n v="2037"/>
    <s v="Credit Card"/>
    <s v="2025-06"/>
    <d v="2025-06-11T00:00:00"/>
    <x v="0"/>
    <m/>
    <m/>
    <m/>
    <m/>
  </r>
  <r>
    <n v="1483"/>
    <x v="70"/>
    <d v="2024-05-06T00:00:00"/>
    <x v="1"/>
    <x v="5"/>
    <m/>
    <n v="714"/>
    <s v="Cheque"/>
    <s v="2024-05"/>
    <d v="2025-05-26T00:00:00"/>
    <x v="0"/>
    <m/>
    <m/>
    <m/>
    <m/>
  </r>
  <r>
    <n v="292"/>
    <x v="12"/>
    <d v="2024-12-01T00:00:00"/>
    <x v="2"/>
    <x v="2"/>
    <m/>
    <n v="2375"/>
    <s v="Cash"/>
    <s v="2024-12"/>
    <d v="2025-05-28T00:00:00"/>
    <x v="0"/>
    <m/>
    <m/>
    <m/>
    <m/>
  </r>
  <r>
    <n v="382"/>
    <x v="91"/>
    <d v="2024-12-05T00:00:00"/>
    <x v="1"/>
    <x v="4"/>
    <m/>
    <n v="0"/>
    <s v="Cheque"/>
    <s v="2024-12"/>
    <d v="2025-05-04T00:00:00"/>
    <x v="0"/>
    <m/>
    <m/>
    <m/>
    <m/>
  </r>
  <r>
    <n v="687"/>
    <x v="115"/>
    <d v="2024-05-12T00:00:00"/>
    <x v="2"/>
    <x v="2"/>
    <m/>
    <n v="2323"/>
    <s v="UPI"/>
    <s v="2024-05"/>
    <d v="2025-03-09T00:00:00"/>
    <x v="1"/>
    <m/>
    <m/>
    <m/>
    <m/>
  </r>
  <r>
    <n v="1225"/>
    <x v="74"/>
    <d v="2025-01-09T00:00:00"/>
    <x v="2"/>
    <x v="0"/>
    <m/>
    <n v="1257"/>
    <s v="Cash"/>
    <s v="2025-01"/>
    <d v="2025-05-11T00:00:00"/>
    <x v="0"/>
    <m/>
    <m/>
    <m/>
    <m/>
  </r>
  <r>
    <n v="898"/>
    <x v="66"/>
    <d v="2025-06-21T00:00:00"/>
    <x v="1"/>
    <x v="4"/>
    <m/>
    <n v="2708"/>
    <s v="Cheque"/>
    <s v="2025-06"/>
    <d v="2025-06-21T00:00:00"/>
    <x v="0"/>
    <m/>
    <m/>
    <m/>
    <m/>
  </r>
  <r>
    <n v="855"/>
    <x v="56"/>
    <d v="2025-03-20T00:00:00"/>
    <x v="3"/>
    <x v="4"/>
    <m/>
    <n v="0"/>
    <s v="Cheque"/>
    <s v="2025-03"/>
    <d v="2025-04-25T00:00:00"/>
    <x v="0"/>
    <m/>
    <m/>
    <m/>
    <m/>
  </r>
  <r>
    <n v="1072"/>
    <x v="61"/>
    <d v="2024-04-18T00:00:00"/>
    <x v="4"/>
    <x v="2"/>
    <m/>
    <n v="2141"/>
    <s v="Credit Card"/>
    <s v="2024-04"/>
    <d v="2025-05-18T00:00:00"/>
    <x v="0"/>
    <m/>
    <m/>
    <m/>
    <m/>
  </r>
  <r>
    <n v="1800"/>
    <x v="36"/>
    <d v="2024-10-15T00:00:00"/>
    <x v="4"/>
    <x v="5"/>
    <m/>
    <n v="473"/>
    <s v="Credit Card"/>
    <s v="2024-10"/>
    <d v="2025-06-16T00:00:00"/>
    <x v="0"/>
    <m/>
    <m/>
    <m/>
    <m/>
  </r>
  <r>
    <n v="1376"/>
    <x v="67"/>
    <d v="2024-02-19T00:00:00"/>
    <x v="3"/>
    <x v="3"/>
    <m/>
    <n v="9964"/>
    <s v="Cash"/>
    <s v="2024-02"/>
    <d v="2025-06-21T00:00:00"/>
    <x v="0"/>
    <m/>
    <m/>
    <m/>
    <m/>
  </r>
  <r>
    <n v="1528"/>
    <x v="116"/>
    <d v="2024-05-17T00:00:00"/>
    <x v="3"/>
    <x v="2"/>
    <m/>
    <n v="535"/>
    <s v="Bank Transfer"/>
    <s v="2024-05"/>
    <d v="2025-05-20T00:00:00"/>
    <x v="0"/>
    <m/>
    <m/>
    <m/>
    <m/>
  </r>
  <r>
    <n v="892"/>
    <x v="101"/>
    <d v="2025-01-28T00:00:00"/>
    <x v="2"/>
    <x v="4"/>
    <m/>
    <n v="816"/>
    <s v="Credit Card"/>
    <s v="2025-01"/>
    <d v="2025-06-23T00:00:00"/>
    <x v="0"/>
    <m/>
    <m/>
    <m/>
    <m/>
  </r>
  <r>
    <n v="1323"/>
    <x v="51"/>
    <d v="2025-04-20T00:00:00"/>
    <x v="4"/>
    <x v="4"/>
    <m/>
    <n v="726"/>
    <s v="UPI"/>
    <s v="2025-04"/>
    <d v="2025-06-22T00:00:00"/>
    <x v="0"/>
    <m/>
    <m/>
    <m/>
    <m/>
  </r>
  <r>
    <n v="616"/>
    <x v="44"/>
    <d v="2025-01-25T00:00:00"/>
    <x v="3"/>
    <x v="1"/>
    <m/>
    <n v="565"/>
    <s v="Bank Transfer"/>
    <s v="2025-01"/>
    <d v="2025-04-26T00:00:00"/>
    <x v="0"/>
    <m/>
    <m/>
    <m/>
    <m/>
  </r>
  <r>
    <n v="155"/>
    <x v="20"/>
    <d v="2024-12-27T00:00:00"/>
    <x v="0"/>
    <x v="5"/>
    <m/>
    <n v="415"/>
    <s v="Cash"/>
    <s v="2024-12"/>
    <d v="2025-06-07T00:00:00"/>
    <x v="0"/>
    <m/>
    <m/>
    <m/>
    <m/>
  </r>
  <r>
    <n v="1194"/>
    <x v="99"/>
    <d v="2025-01-13T00:00:00"/>
    <x v="1"/>
    <x v="3"/>
    <m/>
    <n v="256"/>
    <s v="UPI"/>
    <s v="2025-01"/>
    <d v="2025-03-30T00:00:00"/>
    <x v="0"/>
    <m/>
    <m/>
    <m/>
    <m/>
  </r>
  <r>
    <n v="1755"/>
    <x v="64"/>
    <d v="2025-02-01T00:00:00"/>
    <x v="3"/>
    <x v="2"/>
    <m/>
    <n v="428"/>
    <s v="Bank Transfer"/>
    <s v="2025-02"/>
    <d v="2025-04-28T00:00:00"/>
    <x v="0"/>
    <m/>
    <m/>
    <m/>
    <m/>
  </r>
  <r>
    <n v="1798"/>
    <x v="97"/>
    <d v="2024-02-10T00:00:00"/>
    <x v="0"/>
    <x v="0"/>
    <m/>
    <n v="1096"/>
    <s v="Cash"/>
    <s v="2024-02"/>
    <d v="2025-06-13T00:00:00"/>
    <x v="0"/>
    <m/>
    <m/>
    <m/>
    <m/>
  </r>
  <r>
    <n v="323"/>
    <x v="61"/>
    <d v="2024-04-12T00:00:00"/>
    <x v="2"/>
    <x v="0"/>
    <m/>
    <n v="1114"/>
    <s v="Cheque"/>
    <s v="2024-04"/>
    <d v="2025-05-18T00:00:00"/>
    <x v="0"/>
    <m/>
    <m/>
    <m/>
    <m/>
  </r>
  <r>
    <n v="1397"/>
    <x v="97"/>
    <d v="2025-04-15T00:00:00"/>
    <x v="1"/>
    <x v="4"/>
    <m/>
    <n v="2606"/>
    <s v="Bank Transfer"/>
    <s v="2025-04"/>
    <d v="2025-06-13T00:00:00"/>
    <x v="0"/>
    <m/>
    <m/>
    <m/>
    <m/>
  </r>
  <r>
    <n v="1283"/>
    <x v="46"/>
    <d v="2024-07-07T00:00:00"/>
    <x v="2"/>
    <x v="4"/>
    <m/>
    <n v="785"/>
    <s v="Cash"/>
    <s v="2024-07"/>
    <d v="2025-06-04T00:00:00"/>
    <x v="0"/>
    <m/>
    <m/>
    <m/>
    <m/>
  </r>
  <r>
    <n v="83"/>
    <x v="100"/>
    <d v="2025-06-04T00:00:00"/>
    <x v="5"/>
    <x v="3"/>
    <m/>
    <n v="2773"/>
    <s v="Cash"/>
    <s v="2025-06"/>
    <d v="2025-06-04T00:00:00"/>
    <x v="0"/>
    <m/>
    <m/>
    <m/>
    <m/>
  </r>
  <r>
    <n v="513"/>
    <x v="44"/>
    <d v="2024-03-07T00:00:00"/>
    <x v="0"/>
    <x v="4"/>
    <m/>
    <n v="1078"/>
    <s v="Bank Transfer"/>
    <s v="2024-03"/>
    <d v="2025-04-26T00:00:00"/>
    <x v="0"/>
    <m/>
    <m/>
    <m/>
    <m/>
  </r>
  <r>
    <n v="1375"/>
    <x v="107"/>
    <d v="2024-04-07T00:00:00"/>
    <x v="4"/>
    <x v="0"/>
    <m/>
    <n v="587"/>
    <s v="Cash"/>
    <s v="2024-04"/>
    <d v="2025-04-12T00:00:00"/>
    <x v="0"/>
    <m/>
    <m/>
    <m/>
    <m/>
  </r>
  <r>
    <n v="930"/>
    <x v="60"/>
    <d v="2024-06-02T00:00:00"/>
    <x v="3"/>
    <x v="1"/>
    <m/>
    <n v="310"/>
    <s v="UPI"/>
    <s v="2024-06"/>
    <d v="2025-05-26T00:00:00"/>
    <x v="0"/>
    <m/>
    <m/>
    <m/>
    <m/>
  </r>
  <r>
    <n v="1474"/>
    <x v="64"/>
    <d v="2024-10-31T00:00:00"/>
    <x v="0"/>
    <x v="3"/>
    <m/>
    <n v="2919"/>
    <s v="Cash"/>
    <s v="2024-10"/>
    <d v="2025-04-28T00:00:00"/>
    <x v="0"/>
    <m/>
    <m/>
    <m/>
    <m/>
  </r>
  <r>
    <n v="11"/>
    <x v="19"/>
    <d v="2025-01-29T00:00:00"/>
    <x v="3"/>
    <x v="1"/>
    <m/>
    <n v="9006"/>
    <s v="Cheque"/>
    <s v="2025-01"/>
    <d v="2025-06-19T00:00:00"/>
    <x v="0"/>
    <m/>
    <m/>
    <m/>
    <m/>
  </r>
  <r>
    <n v="832"/>
    <x v="20"/>
    <d v="2025-01-22T00:00:00"/>
    <x v="2"/>
    <x v="5"/>
    <m/>
    <n v="5613"/>
    <s v="UPI"/>
    <s v="2025-01"/>
    <d v="2025-06-07T00:00:00"/>
    <x v="0"/>
    <m/>
    <m/>
    <m/>
    <m/>
  </r>
  <r>
    <n v="33"/>
    <x v="53"/>
    <d v="2024-05-10T00:00:00"/>
    <x v="1"/>
    <x v="5"/>
    <m/>
    <n v="580"/>
    <s v="Credit Card"/>
    <s v="2024-05"/>
    <d v="2025-06-06T00:00:00"/>
    <x v="0"/>
    <m/>
    <m/>
    <m/>
    <m/>
  </r>
  <r>
    <n v="1367"/>
    <x v="58"/>
    <d v="2025-02-08T00:00:00"/>
    <x v="0"/>
    <x v="4"/>
    <m/>
    <n v="5500"/>
    <s v="UPI"/>
    <s v="2025-02"/>
    <d v="2025-06-15T00:00:00"/>
    <x v="0"/>
    <m/>
    <m/>
    <m/>
    <m/>
  </r>
  <r>
    <n v="414"/>
    <x v="74"/>
    <d v="2024-04-10T00:00:00"/>
    <x v="4"/>
    <x v="5"/>
    <m/>
    <n v="332"/>
    <s v="UPI"/>
    <s v="2024-04"/>
    <d v="2025-05-11T00:00:00"/>
    <x v="0"/>
    <m/>
    <m/>
    <m/>
    <m/>
  </r>
  <r>
    <n v="581"/>
    <x v="49"/>
    <d v="2025-03-04T00:00:00"/>
    <x v="3"/>
    <x v="4"/>
    <m/>
    <n v="1694"/>
    <s v="Cheque"/>
    <s v="2025-03"/>
    <d v="2025-05-18T00:00:00"/>
    <x v="0"/>
    <m/>
    <m/>
    <m/>
    <m/>
  </r>
  <r>
    <n v="1398"/>
    <x v="104"/>
    <d v="2024-03-09T00:00:00"/>
    <x v="1"/>
    <x v="1"/>
    <m/>
    <n v="352"/>
    <s v="Cheque"/>
    <s v="2024-03"/>
    <d v="2025-06-07T00:00:00"/>
    <x v="0"/>
    <m/>
    <m/>
    <m/>
    <m/>
  </r>
  <r>
    <n v="1716"/>
    <x v="95"/>
    <d v="2024-08-19T00:00:00"/>
    <x v="0"/>
    <x v="4"/>
    <m/>
    <n v="8942"/>
    <s v="Cheque"/>
    <s v="2024-08"/>
    <d v="2025-06-08T00:00:00"/>
    <x v="0"/>
    <m/>
    <m/>
    <m/>
    <m/>
  </r>
  <r>
    <n v="615"/>
    <x v="101"/>
    <d v="2025-01-19T00:00:00"/>
    <x v="2"/>
    <x v="1"/>
    <m/>
    <n v="2415"/>
    <s v="Cheque"/>
    <s v="2025-01"/>
    <d v="2025-06-23T00:00:00"/>
    <x v="0"/>
    <m/>
    <m/>
    <m/>
    <m/>
  </r>
  <r>
    <n v="1046"/>
    <x v="61"/>
    <d v="2024-12-10T00:00:00"/>
    <x v="1"/>
    <x v="0"/>
    <m/>
    <n v="2206"/>
    <s v="Bank Transfer"/>
    <s v="2024-12"/>
    <d v="2025-05-18T00:00:00"/>
    <x v="0"/>
    <m/>
    <m/>
    <m/>
    <m/>
  </r>
  <r>
    <n v="1015"/>
    <x v="76"/>
    <d v="2024-01-26T00:00:00"/>
    <x v="3"/>
    <x v="1"/>
    <m/>
    <n v="617"/>
    <s v="UPI"/>
    <s v="2024-01"/>
    <d v="2025-03-18T00:00:00"/>
    <x v="1"/>
    <m/>
    <m/>
    <m/>
    <m/>
  </r>
  <r>
    <n v="90"/>
    <x v="9"/>
    <d v="2024-05-29T00:00:00"/>
    <x v="3"/>
    <x v="1"/>
    <m/>
    <n v="1302"/>
    <s v="UPI"/>
    <s v="2024-05"/>
    <d v="2025-04-29T00:00:00"/>
    <x v="0"/>
    <m/>
    <m/>
    <m/>
    <m/>
  </r>
  <r>
    <n v="1792"/>
    <x v="105"/>
    <d v="2024-07-26T00:00:00"/>
    <x v="0"/>
    <x v="1"/>
    <m/>
    <n v="500"/>
    <s v="Bank Transfer"/>
    <s v="2024-07"/>
    <d v="2025-06-17T00:00:00"/>
    <x v="0"/>
    <m/>
    <m/>
    <m/>
    <m/>
  </r>
  <r>
    <n v="602"/>
    <x v="72"/>
    <d v="2025-03-02T00:00:00"/>
    <x v="3"/>
    <x v="4"/>
    <m/>
    <n v="282"/>
    <s v="Cash"/>
    <s v="2025-03"/>
    <d v="2025-05-21T00:00:00"/>
    <x v="0"/>
    <m/>
    <m/>
    <m/>
    <m/>
  </r>
  <r>
    <n v="1238"/>
    <x v="45"/>
    <d v="2024-12-02T00:00:00"/>
    <x v="1"/>
    <x v="5"/>
    <m/>
    <n v="805"/>
    <s v="Cash"/>
    <s v="2024-12"/>
    <d v="2025-06-18T00:00:00"/>
    <x v="0"/>
    <m/>
    <m/>
    <m/>
    <m/>
  </r>
  <r>
    <n v="134"/>
    <x v="109"/>
    <d v="2024-12-24T00:00:00"/>
    <x v="0"/>
    <x v="4"/>
    <m/>
    <n v="924"/>
    <s v="Cash"/>
    <s v="2024-12"/>
    <d v="2025-05-15T00:00:00"/>
    <x v="0"/>
    <m/>
    <m/>
    <m/>
    <m/>
  </r>
  <r>
    <n v="556"/>
    <x v="65"/>
    <d v="2024-08-03T00:00:00"/>
    <x v="1"/>
    <x v="3"/>
    <m/>
    <n v="2755"/>
    <s v="UPI"/>
    <s v="2024-08"/>
    <d v="2025-06-18T00:00:00"/>
    <x v="0"/>
    <m/>
    <m/>
    <m/>
    <m/>
  </r>
  <r>
    <n v="1032"/>
    <x v="113"/>
    <d v="2024-02-28T00:00:00"/>
    <x v="2"/>
    <x v="0"/>
    <m/>
    <n v="352"/>
    <s v="Bank Transfer"/>
    <s v="2024-02"/>
    <d v="2025-03-27T00:00:00"/>
    <x v="0"/>
    <m/>
    <m/>
    <m/>
    <m/>
  </r>
  <r>
    <n v="1414"/>
    <x v="18"/>
    <d v="2024-06-29T00:00:00"/>
    <x v="3"/>
    <x v="1"/>
    <m/>
    <n v="868"/>
    <s v="Credit Card"/>
    <s v="2024-06"/>
    <d v="2025-05-23T00:00:00"/>
    <x v="0"/>
    <m/>
    <m/>
    <m/>
    <m/>
  </r>
  <r>
    <n v="321"/>
    <x v="76"/>
    <d v="2024-05-31T00:00:00"/>
    <x v="3"/>
    <x v="5"/>
    <m/>
    <n v="5822"/>
    <s v="UPI"/>
    <s v="2024-05"/>
    <d v="2025-03-18T00:00:00"/>
    <x v="1"/>
    <m/>
    <m/>
    <m/>
    <m/>
  </r>
  <r>
    <n v="1599"/>
    <x v="8"/>
    <d v="2025-01-09T00:00:00"/>
    <x v="4"/>
    <x v="1"/>
    <m/>
    <n v="327"/>
    <s v="Cheque"/>
    <s v="2025-01"/>
    <d v="2025-05-11T00:00:00"/>
    <x v="0"/>
    <m/>
    <m/>
    <m/>
    <m/>
  </r>
  <r>
    <n v="1212"/>
    <x v="88"/>
    <d v="2024-06-30T00:00:00"/>
    <x v="2"/>
    <x v="4"/>
    <m/>
    <n v="8623"/>
    <s v="Cash"/>
    <s v="2024-06"/>
    <d v="2025-06-23T00:00:00"/>
    <x v="0"/>
    <m/>
    <m/>
    <m/>
    <m/>
  </r>
  <r>
    <n v="1568"/>
    <x v="22"/>
    <d v="2024-06-17T00:00:00"/>
    <x v="2"/>
    <x v="3"/>
    <m/>
    <n v="1200"/>
    <s v="UPI"/>
    <s v="2024-06"/>
    <d v="2025-06-09T00:00:00"/>
    <x v="0"/>
    <m/>
    <m/>
    <m/>
    <m/>
  </r>
  <r>
    <n v="635"/>
    <x v="5"/>
    <d v="2025-01-11T00:00:00"/>
    <x v="2"/>
    <x v="2"/>
    <m/>
    <n v="321"/>
    <s v="Cash"/>
    <s v="2025-01"/>
    <d v="2025-05-24T00:00:00"/>
    <x v="0"/>
    <m/>
    <m/>
    <m/>
    <m/>
  </r>
  <r>
    <n v="553"/>
    <x v="26"/>
    <d v="2025-06-01T00:00:00"/>
    <x v="1"/>
    <x v="5"/>
    <m/>
    <n v="1569"/>
    <s v="Bank Transfer"/>
    <s v="2025-06"/>
    <d v="2025-06-01T00:00:00"/>
    <x v="0"/>
    <m/>
    <m/>
    <m/>
    <m/>
  </r>
  <r>
    <n v="1056"/>
    <x v="77"/>
    <d v="2025-01-18T00:00:00"/>
    <x v="1"/>
    <x v="0"/>
    <m/>
    <n v="432"/>
    <s v="UPI"/>
    <s v="2025-01"/>
    <d v="2025-05-21T00:00:00"/>
    <x v="0"/>
    <m/>
    <m/>
    <m/>
    <m/>
  </r>
  <r>
    <n v="1407"/>
    <x v="54"/>
    <d v="2024-12-16T00:00:00"/>
    <x v="2"/>
    <x v="1"/>
    <m/>
    <n v="10463"/>
    <s v="Cash"/>
    <s v="2024-12"/>
    <d v="2025-02-10T00:00:00"/>
    <x v="1"/>
    <m/>
    <m/>
    <m/>
    <m/>
  </r>
  <r>
    <n v="797"/>
    <x v="4"/>
    <d v="2024-04-17T00:00:00"/>
    <x v="1"/>
    <x v="1"/>
    <m/>
    <n v="260"/>
    <s v="Credit Card"/>
    <s v="2024-04"/>
    <d v="2025-05-02T00:00:00"/>
    <x v="0"/>
    <m/>
    <m/>
    <m/>
    <m/>
  </r>
  <r>
    <n v="1509"/>
    <x v="7"/>
    <d v="2024-05-19T00:00:00"/>
    <x v="4"/>
    <x v="3"/>
    <m/>
    <n v="747"/>
    <s v="Credit Card"/>
    <s v="2024-05"/>
    <d v="2025-06-11T00:00:00"/>
    <x v="0"/>
    <m/>
    <m/>
    <m/>
    <m/>
  </r>
  <r>
    <n v="1265"/>
    <x v="80"/>
    <d v="2024-01-29T00:00:00"/>
    <x v="3"/>
    <x v="0"/>
    <m/>
    <n v="5719"/>
    <s v="Credit Card"/>
    <s v="2024-01"/>
    <d v="2025-02-25T00:00:00"/>
    <x v="1"/>
    <m/>
    <m/>
    <m/>
    <m/>
  </r>
  <r>
    <n v="1546"/>
    <x v="14"/>
    <d v="2024-05-19T00:00:00"/>
    <x v="2"/>
    <x v="4"/>
    <m/>
    <n v="2116"/>
    <s v="Cheque"/>
    <s v="2024-05"/>
    <d v="2025-04-16T00:00:00"/>
    <x v="0"/>
    <m/>
    <m/>
    <m/>
    <m/>
  </r>
  <r>
    <n v="175"/>
    <x v="83"/>
    <d v="2024-05-01T00:00:00"/>
    <x v="2"/>
    <x v="1"/>
    <m/>
    <n v="5590"/>
    <s v="Bank Transfer"/>
    <s v="2024-05"/>
    <d v="2025-02-02T00:00:00"/>
    <x v="1"/>
    <m/>
    <m/>
    <m/>
    <m/>
  </r>
  <r>
    <n v="767"/>
    <x v="20"/>
    <d v="2024-12-09T00:00:00"/>
    <x v="1"/>
    <x v="1"/>
    <m/>
    <n v="4325"/>
    <s v="Cash"/>
    <s v="2024-12"/>
    <d v="2025-06-07T00:00:00"/>
    <x v="0"/>
    <m/>
    <m/>
    <m/>
    <m/>
  </r>
  <r>
    <n v="246"/>
    <x v="63"/>
    <d v="2025-03-18T00:00:00"/>
    <x v="2"/>
    <x v="2"/>
    <m/>
    <n v="1960"/>
    <s v="Cash"/>
    <s v="2025-03"/>
    <d v="2025-06-11T00:00:00"/>
    <x v="0"/>
    <m/>
    <m/>
    <m/>
    <m/>
  </r>
  <r>
    <n v="1081"/>
    <x v="45"/>
    <d v="2024-10-21T00:00:00"/>
    <x v="0"/>
    <x v="5"/>
    <m/>
    <n v="2130"/>
    <s v="UPI"/>
    <s v="2024-10"/>
    <d v="2025-06-18T00:00:00"/>
    <x v="0"/>
    <m/>
    <m/>
    <m/>
    <m/>
  </r>
  <r>
    <n v="1567"/>
    <x v="89"/>
    <d v="2024-11-17T00:00:00"/>
    <x v="5"/>
    <x v="4"/>
    <m/>
    <n v="5832"/>
    <s v="Cash"/>
    <s v="2024-11"/>
    <d v="2025-05-10T00:00:00"/>
    <x v="0"/>
    <m/>
    <m/>
    <m/>
    <m/>
  </r>
  <r>
    <n v="146"/>
    <x v="23"/>
    <d v="2025-05-26T00:00:00"/>
    <x v="3"/>
    <x v="3"/>
    <m/>
    <n v="10300"/>
    <s v="Credit Card"/>
    <s v="2025-05"/>
    <d v="2025-06-21T00:00:00"/>
    <x v="0"/>
    <m/>
    <m/>
    <m/>
    <m/>
  </r>
  <r>
    <n v="91"/>
    <x v="118"/>
    <d v="2024-05-26T00:00:00"/>
    <x v="0"/>
    <x v="2"/>
    <m/>
    <n v="2460"/>
    <s v="UPI"/>
    <s v="2024-05"/>
    <d v="2025-05-25T00:00:00"/>
    <x v="0"/>
    <m/>
    <m/>
    <m/>
    <m/>
  </r>
  <r>
    <n v="683"/>
    <x v="70"/>
    <d v="2024-07-27T00:00:00"/>
    <x v="1"/>
    <x v="4"/>
    <m/>
    <n v="1650"/>
    <s v="Bank Transfer"/>
    <s v="2024-07"/>
    <d v="2025-05-26T00:00:00"/>
    <x v="0"/>
    <m/>
    <m/>
    <m/>
    <m/>
  </r>
  <r>
    <n v="311"/>
    <x v="13"/>
    <d v="2025-05-05T00:00:00"/>
    <x v="3"/>
    <x v="2"/>
    <m/>
    <n v="1730"/>
    <s v="UPI"/>
    <s v="2025-05"/>
    <d v="2025-05-11T00:00:00"/>
    <x v="0"/>
    <m/>
    <m/>
    <m/>
    <m/>
  </r>
  <r>
    <n v="94"/>
    <x v="94"/>
    <d v="2024-02-20T00:00:00"/>
    <x v="3"/>
    <x v="2"/>
    <m/>
    <n v="340"/>
    <s v="Bank Transfer"/>
    <s v="2024-02"/>
    <d v="2025-04-05T00:00:00"/>
    <x v="0"/>
    <m/>
    <m/>
    <m/>
    <m/>
  </r>
  <r>
    <n v="1750"/>
    <x v="51"/>
    <d v="2025-03-15T00:00:00"/>
    <x v="4"/>
    <x v="0"/>
    <m/>
    <n v="8876"/>
    <s v="Bank Transfer"/>
    <s v="2025-03"/>
    <d v="2025-06-22T00:00:00"/>
    <x v="0"/>
    <m/>
    <m/>
    <m/>
    <m/>
  </r>
  <r>
    <n v="925"/>
    <x v="86"/>
    <d v="2024-03-20T00:00:00"/>
    <x v="0"/>
    <x v="1"/>
    <m/>
    <n v="5305"/>
    <s v="Cash"/>
    <s v="2024-03"/>
    <d v="2025-06-15T00:00:00"/>
    <x v="0"/>
    <m/>
    <m/>
    <m/>
    <m/>
  </r>
  <r>
    <n v="1527"/>
    <x v="40"/>
    <d v="2024-01-24T00:00:00"/>
    <x v="4"/>
    <x v="2"/>
    <m/>
    <n v="947"/>
    <s v="Cheque"/>
    <s v="2024-01"/>
    <d v="2025-05-30T00:00:00"/>
    <x v="0"/>
    <m/>
    <m/>
    <m/>
    <m/>
  </r>
  <r>
    <n v="1036"/>
    <x v="72"/>
    <d v="2025-01-23T00:00:00"/>
    <x v="2"/>
    <x v="0"/>
    <m/>
    <n v="246"/>
    <s v="Cash"/>
    <s v="2025-01"/>
    <d v="2025-05-21T00:00:00"/>
    <x v="0"/>
    <m/>
    <m/>
    <m/>
    <m/>
  </r>
  <r>
    <n v="244"/>
    <x v="25"/>
    <d v="2025-03-24T00:00:00"/>
    <x v="0"/>
    <x v="5"/>
    <m/>
    <n v="920"/>
    <s v="UPI"/>
    <s v="2025-03"/>
    <d v="2025-03-24T00:00:00"/>
    <x v="1"/>
    <m/>
    <m/>
    <m/>
    <m/>
  </r>
  <r>
    <n v="1112"/>
    <x v="19"/>
    <d v="2024-07-14T00:00:00"/>
    <x v="1"/>
    <x v="4"/>
    <m/>
    <n v="439"/>
    <s v="Bank Transfer"/>
    <s v="2024-07"/>
    <d v="2025-06-19T00:00:00"/>
    <x v="0"/>
    <m/>
    <m/>
    <m/>
    <m/>
  </r>
  <r>
    <n v="215"/>
    <x v="106"/>
    <d v="2025-04-25T00:00:00"/>
    <x v="1"/>
    <x v="4"/>
    <m/>
    <n v="4626"/>
    <s v="UPI"/>
    <s v="2025-04"/>
    <d v="2025-06-20T00:00:00"/>
    <x v="0"/>
    <m/>
    <m/>
    <m/>
    <m/>
  </r>
  <r>
    <n v="1198"/>
    <x v="93"/>
    <d v="2024-01-24T00:00:00"/>
    <x v="2"/>
    <x v="2"/>
    <m/>
    <n v="728"/>
    <s v="Cash"/>
    <s v="2024-01"/>
    <d v="2025-06-16T00:00:00"/>
    <x v="0"/>
    <m/>
    <m/>
    <m/>
    <m/>
  </r>
  <r>
    <n v="999"/>
    <x v="59"/>
    <d v="2024-04-20T00:00:00"/>
    <x v="3"/>
    <x v="1"/>
    <m/>
    <n v="8700"/>
    <s v="Bank Transfer"/>
    <s v="2024-04"/>
    <d v="2025-06-07T00:00:00"/>
    <x v="0"/>
    <m/>
    <m/>
    <m/>
    <m/>
  </r>
  <r>
    <n v="854"/>
    <x v="1"/>
    <d v="2025-06-05T00:00:00"/>
    <x v="2"/>
    <x v="0"/>
    <m/>
    <n v="273"/>
    <s v="UPI"/>
    <s v="2025-06"/>
    <d v="2025-06-05T00:00:00"/>
    <x v="0"/>
    <m/>
    <m/>
    <m/>
    <m/>
  </r>
  <r>
    <n v="426"/>
    <x v="88"/>
    <d v="2025-01-21T00:00:00"/>
    <x v="0"/>
    <x v="4"/>
    <m/>
    <n v="5922"/>
    <s v="Cash"/>
    <s v="2025-01"/>
    <d v="2025-06-23T00:00:00"/>
    <x v="0"/>
    <m/>
    <m/>
    <m/>
    <m/>
  </r>
  <r>
    <n v="1703"/>
    <x v="91"/>
    <d v="2024-09-16T00:00:00"/>
    <x v="1"/>
    <x v="3"/>
    <m/>
    <n v="535"/>
    <s v="Cash"/>
    <s v="2024-09"/>
    <d v="2025-05-04T00:00:00"/>
    <x v="0"/>
    <m/>
    <m/>
    <m/>
    <m/>
  </r>
  <r>
    <n v="1143"/>
    <x v="49"/>
    <d v="2024-06-02T00:00:00"/>
    <x v="1"/>
    <x v="2"/>
    <m/>
    <n v="2198"/>
    <s v="Cheque"/>
    <s v="2024-06"/>
    <d v="2025-05-18T00:00:00"/>
    <x v="0"/>
    <m/>
    <m/>
    <m/>
    <m/>
  </r>
  <r>
    <n v="1144"/>
    <x v="70"/>
    <d v="2024-05-04T00:00:00"/>
    <x v="0"/>
    <x v="1"/>
    <m/>
    <n v="4100"/>
    <s v="Cheque"/>
    <s v="2024-05"/>
    <d v="2025-05-26T00:00:00"/>
    <x v="0"/>
    <m/>
    <m/>
    <m/>
    <m/>
  </r>
  <r>
    <n v="227"/>
    <x v="50"/>
    <d v="2024-12-20T00:00:00"/>
    <x v="2"/>
    <x v="1"/>
    <m/>
    <n v="2271"/>
    <s v="Bank Transfer"/>
    <s v="2024-12"/>
    <d v="2025-06-21T00:00:00"/>
    <x v="0"/>
    <m/>
    <m/>
    <m/>
    <m/>
  </r>
  <r>
    <n v="1471"/>
    <x v="14"/>
    <d v="2024-11-03T00:00:00"/>
    <x v="2"/>
    <x v="3"/>
    <m/>
    <n v="2328"/>
    <s v="UPI"/>
    <s v="2024-11"/>
    <d v="2025-04-16T00:00:00"/>
    <x v="0"/>
    <m/>
    <m/>
    <m/>
    <m/>
  </r>
  <r>
    <n v="1"/>
    <x v="60"/>
    <d v="2024-04-24T00:00:00"/>
    <x v="1"/>
    <x v="4"/>
    <m/>
    <n v="1712"/>
    <s v="UPI"/>
    <s v="2024-04"/>
    <d v="2025-05-26T00:00:00"/>
    <x v="0"/>
    <m/>
    <m/>
    <m/>
    <m/>
  </r>
  <r>
    <n v="402"/>
    <x v="24"/>
    <d v="2025-01-04T00:00:00"/>
    <x v="0"/>
    <x v="1"/>
    <m/>
    <n v="408"/>
    <s v="Bank Transfer"/>
    <s v="2025-01"/>
    <d v="2025-06-18T00:00:00"/>
    <x v="0"/>
    <m/>
    <m/>
    <m/>
    <m/>
  </r>
  <r>
    <n v="1104"/>
    <x v="47"/>
    <d v="2024-08-19T00:00:00"/>
    <x v="2"/>
    <x v="4"/>
    <m/>
    <n v="2284"/>
    <s v="Cash"/>
    <s v="2024-08"/>
    <d v="2025-05-11T00:00:00"/>
    <x v="0"/>
    <m/>
    <m/>
    <m/>
    <m/>
  </r>
  <r>
    <n v="85"/>
    <x v="90"/>
    <d v="2025-04-11T00:00:00"/>
    <x v="1"/>
    <x v="4"/>
    <m/>
    <n v="2057"/>
    <s v="Credit Card"/>
    <s v="2025-04"/>
    <d v="2025-06-19T00:00:00"/>
    <x v="0"/>
    <m/>
    <m/>
    <m/>
    <m/>
  </r>
  <r>
    <n v="163"/>
    <x v="83"/>
    <d v="2024-03-16T00:00:00"/>
    <x v="1"/>
    <x v="2"/>
    <m/>
    <n v="980"/>
    <s v="Cheque"/>
    <s v="2024-03"/>
    <d v="2025-02-02T00:00:00"/>
    <x v="1"/>
    <m/>
    <m/>
    <m/>
    <m/>
  </r>
  <r>
    <n v="115"/>
    <x v="87"/>
    <d v="2025-01-11T00:00:00"/>
    <x v="1"/>
    <x v="0"/>
    <m/>
    <n v="2246"/>
    <s v="Cheque"/>
    <s v="2025-01"/>
    <d v="2025-05-02T00:00:00"/>
    <x v="0"/>
    <m/>
    <m/>
    <m/>
    <m/>
  </r>
  <r>
    <n v="671"/>
    <x v="23"/>
    <d v="2025-03-15T00:00:00"/>
    <x v="1"/>
    <x v="4"/>
    <m/>
    <n v="1183"/>
    <s v="Credit Card"/>
    <s v="2025-03"/>
    <d v="2025-06-21T00:00:00"/>
    <x v="0"/>
    <m/>
    <m/>
    <m/>
    <m/>
  </r>
  <r>
    <n v="1175"/>
    <x v="82"/>
    <d v="2025-05-11T00:00:00"/>
    <x v="4"/>
    <x v="0"/>
    <m/>
    <n v="261"/>
    <s v="Cash"/>
    <s v="2025-05"/>
    <d v="2025-06-21T00:00:00"/>
    <x v="0"/>
    <m/>
    <m/>
    <m/>
    <m/>
  </r>
  <r>
    <n v="1377"/>
    <x v="72"/>
    <d v="2024-04-22T00:00:00"/>
    <x v="4"/>
    <x v="3"/>
    <m/>
    <n v="1986"/>
    <s v="Credit Card"/>
    <s v="2024-04"/>
    <d v="2025-05-21T00:00:00"/>
    <x v="0"/>
    <m/>
    <m/>
    <m/>
    <m/>
  </r>
  <r>
    <n v="890"/>
    <x v="59"/>
    <d v="2025-04-28T00:00:00"/>
    <x v="5"/>
    <x v="3"/>
    <m/>
    <n v="655"/>
    <s v="Cash"/>
    <s v="2025-04"/>
    <d v="2025-06-07T00:00:00"/>
    <x v="0"/>
    <m/>
    <m/>
    <m/>
    <m/>
  </r>
  <r>
    <n v="626"/>
    <x v="60"/>
    <d v="2024-11-07T00:00:00"/>
    <x v="2"/>
    <x v="4"/>
    <m/>
    <n v="1714"/>
    <s v="Credit Card"/>
    <s v="2024-11"/>
    <d v="2025-05-26T00:00:00"/>
    <x v="0"/>
    <m/>
    <m/>
    <m/>
    <m/>
  </r>
  <r>
    <n v="1767"/>
    <x v="32"/>
    <d v="2024-05-08T00:00:00"/>
    <x v="4"/>
    <x v="2"/>
    <m/>
    <n v="2056"/>
    <s v="Bank Transfer"/>
    <s v="2024-05"/>
    <d v="2025-05-07T00:00:00"/>
    <x v="0"/>
    <m/>
    <m/>
    <m/>
    <m/>
  </r>
  <r>
    <n v="953"/>
    <x v="105"/>
    <d v="2025-04-25T00:00:00"/>
    <x v="1"/>
    <x v="1"/>
    <m/>
    <n v="872"/>
    <s v="Cash"/>
    <s v="2025-04"/>
    <d v="2025-06-17T00:00:00"/>
    <x v="0"/>
    <m/>
    <m/>
    <m/>
    <m/>
  </r>
  <r>
    <n v="808"/>
    <x v="22"/>
    <d v="2025-02-01T00:00:00"/>
    <x v="5"/>
    <x v="5"/>
    <m/>
    <n v="1581"/>
    <s v="Bank Transfer"/>
    <s v="2025-02"/>
    <d v="2025-06-09T00:00:00"/>
    <x v="0"/>
    <m/>
    <m/>
    <m/>
    <m/>
  </r>
  <r>
    <n v="259"/>
    <x v="9"/>
    <d v="2024-05-15T00:00:00"/>
    <x v="4"/>
    <x v="2"/>
    <m/>
    <n v="5657"/>
    <s v="Cash"/>
    <s v="2024-05"/>
    <d v="2025-04-29T00:00:00"/>
    <x v="0"/>
    <m/>
    <m/>
    <m/>
    <m/>
  </r>
  <r>
    <n v="625"/>
    <x v="30"/>
    <d v="2024-01-18T00:00:00"/>
    <x v="1"/>
    <x v="5"/>
    <m/>
    <n v="4278"/>
    <s v="Cash"/>
    <s v="2024-01"/>
    <d v="2025-05-17T00:00:00"/>
    <x v="0"/>
    <m/>
    <m/>
    <m/>
    <m/>
  </r>
  <r>
    <n v="827"/>
    <x v="92"/>
    <d v="2024-07-21T00:00:00"/>
    <x v="4"/>
    <x v="0"/>
    <m/>
    <n v="980"/>
    <s v="Credit Card"/>
    <s v="2024-07"/>
    <d v="2025-04-20T00:00:00"/>
    <x v="0"/>
    <m/>
    <m/>
    <m/>
    <m/>
  </r>
  <r>
    <n v="235"/>
    <x v="80"/>
    <d v="2025-01-24T00:00:00"/>
    <x v="1"/>
    <x v="1"/>
    <m/>
    <n v="4861"/>
    <s v="Cheque"/>
    <s v="2025-01"/>
    <d v="2025-02-25T00:00:00"/>
    <x v="1"/>
    <m/>
    <m/>
    <m/>
    <m/>
  </r>
  <r>
    <n v="136"/>
    <x v="93"/>
    <d v="2024-08-19T00:00:00"/>
    <x v="4"/>
    <x v="3"/>
    <m/>
    <n v="2844"/>
    <s v="UPI"/>
    <s v="2024-08"/>
    <d v="2025-06-16T00:00:00"/>
    <x v="0"/>
    <m/>
    <m/>
    <m/>
    <m/>
  </r>
  <r>
    <n v="617"/>
    <x v="28"/>
    <d v="2024-01-28T00:00:00"/>
    <x v="2"/>
    <x v="4"/>
    <m/>
    <n v="2300"/>
    <s v="Cash"/>
    <s v="2024-01"/>
    <d v="2025-04-29T00:00:00"/>
    <x v="0"/>
    <m/>
    <m/>
    <m/>
    <m/>
  </r>
  <r>
    <n v="1768"/>
    <x v="49"/>
    <d v="2024-01-22T00:00:00"/>
    <x v="0"/>
    <x v="1"/>
    <m/>
    <n v="285"/>
    <s v="Credit Card"/>
    <s v="2024-01"/>
    <d v="2025-05-18T00:00:00"/>
    <x v="0"/>
    <m/>
    <m/>
    <m/>
    <m/>
  </r>
  <r>
    <n v="837"/>
    <x v="56"/>
    <d v="2024-03-30T00:00:00"/>
    <x v="3"/>
    <x v="1"/>
    <m/>
    <n v="1738"/>
    <s v="UPI"/>
    <s v="2024-03"/>
    <d v="2025-04-25T00:00:00"/>
    <x v="0"/>
    <m/>
    <m/>
    <m/>
    <m/>
  </r>
  <r>
    <n v="843"/>
    <x v="58"/>
    <d v="2024-05-09T00:00:00"/>
    <x v="3"/>
    <x v="0"/>
    <m/>
    <n v="1685"/>
    <s v="UPI"/>
    <s v="2024-05"/>
    <d v="2025-06-15T00:00:00"/>
    <x v="0"/>
    <m/>
    <m/>
    <m/>
    <m/>
  </r>
  <r>
    <n v="960"/>
    <x v="25"/>
    <d v="2024-09-08T00:00:00"/>
    <x v="0"/>
    <x v="5"/>
    <m/>
    <n v="455"/>
    <s v="Credit Card"/>
    <s v="2024-09"/>
    <d v="2025-03-24T00:00:00"/>
    <x v="1"/>
    <m/>
    <m/>
    <m/>
    <m/>
  </r>
  <r>
    <n v="593"/>
    <x v="82"/>
    <d v="2024-09-01T00:00:00"/>
    <x v="2"/>
    <x v="3"/>
    <m/>
    <n v="320"/>
    <s v="Credit Card"/>
    <s v="2024-09"/>
    <d v="2025-06-21T00:00:00"/>
    <x v="0"/>
    <m/>
    <m/>
    <m/>
    <m/>
  </r>
  <r>
    <n v="1315"/>
    <x v="77"/>
    <d v="2024-07-16T00:00:00"/>
    <x v="4"/>
    <x v="2"/>
    <m/>
    <n v="313"/>
    <s v="Credit Card"/>
    <s v="2024-07"/>
    <d v="2025-05-21T00:00:00"/>
    <x v="0"/>
    <m/>
    <m/>
    <m/>
    <m/>
  </r>
  <r>
    <n v="1292"/>
    <x v="114"/>
    <d v="2024-01-22T00:00:00"/>
    <x v="1"/>
    <x v="4"/>
    <m/>
    <n v="492"/>
    <s v="Cheque"/>
    <s v="2024-01"/>
    <d v="2025-05-08T00:00:00"/>
    <x v="0"/>
    <m/>
    <m/>
    <m/>
    <m/>
  </r>
  <r>
    <n v="344"/>
    <x v="97"/>
    <d v="2024-02-08T00:00:00"/>
    <x v="5"/>
    <x v="2"/>
    <m/>
    <n v="0"/>
    <s v="Bank Transfer"/>
    <s v="2024-02"/>
    <d v="2025-06-13T00:00:00"/>
    <x v="0"/>
    <m/>
    <m/>
    <m/>
    <m/>
  </r>
  <r>
    <n v="1492"/>
    <x v="64"/>
    <d v="2024-12-31T00:00:00"/>
    <x v="0"/>
    <x v="1"/>
    <m/>
    <n v="2312"/>
    <s v="Bank Transfer"/>
    <s v="2024-12"/>
    <d v="2025-04-28T00:00:00"/>
    <x v="0"/>
    <m/>
    <m/>
    <m/>
    <m/>
  </r>
  <r>
    <n v="294"/>
    <x v="83"/>
    <d v="2024-08-15T00:00:00"/>
    <x v="4"/>
    <x v="1"/>
    <m/>
    <n v="5373"/>
    <s v="UPI"/>
    <s v="2024-08"/>
    <d v="2025-02-02T00:00:00"/>
    <x v="1"/>
    <m/>
    <m/>
    <m/>
    <m/>
  </r>
  <r>
    <n v="365"/>
    <x v="86"/>
    <d v="2024-02-25T00:00:00"/>
    <x v="4"/>
    <x v="1"/>
    <m/>
    <n v="5120"/>
    <s v="Cheque"/>
    <s v="2024-02"/>
    <d v="2025-06-15T00:00:00"/>
    <x v="0"/>
    <m/>
    <m/>
    <m/>
    <m/>
  </r>
  <r>
    <n v="179"/>
    <x v="23"/>
    <d v="2024-01-28T00:00:00"/>
    <x v="0"/>
    <x v="5"/>
    <m/>
    <n v="2177"/>
    <s v="Cheque"/>
    <s v="2024-01"/>
    <d v="2025-06-21T00:00:00"/>
    <x v="0"/>
    <m/>
    <m/>
    <m/>
    <m/>
  </r>
  <r>
    <n v="660"/>
    <x v="90"/>
    <d v="2024-08-29T00:00:00"/>
    <x v="0"/>
    <x v="4"/>
    <m/>
    <n v="1264"/>
    <s v="Credit Card"/>
    <s v="2024-08"/>
    <d v="2025-06-19T00:00:00"/>
    <x v="0"/>
    <m/>
    <m/>
    <m/>
    <m/>
  </r>
  <r>
    <n v="997"/>
    <x v="108"/>
    <d v="2025-06-14T00:00:00"/>
    <x v="3"/>
    <x v="1"/>
    <m/>
    <n v="908"/>
    <s v="Cheque"/>
    <s v="2025-06"/>
    <d v="2025-06-14T00:00:00"/>
    <x v="0"/>
    <m/>
    <m/>
    <m/>
    <m/>
  </r>
  <r>
    <n v="15"/>
    <x v="46"/>
    <d v="2024-03-21T00:00:00"/>
    <x v="0"/>
    <x v="3"/>
    <m/>
    <n v="11063"/>
    <s v="Credit Card"/>
    <s v="2024-03"/>
    <d v="2025-06-04T00:00:00"/>
    <x v="0"/>
    <m/>
    <m/>
    <m/>
    <m/>
  </r>
  <r>
    <n v="1111"/>
    <x v="27"/>
    <d v="2025-03-21T00:00:00"/>
    <x v="1"/>
    <x v="4"/>
    <m/>
    <n v="573"/>
    <s v="Cash"/>
    <s v="2025-03"/>
    <d v="2025-05-13T00:00:00"/>
    <x v="0"/>
    <m/>
    <m/>
    <m/>
    <m/>
  </r>
  <r>
    <n v="1395"/>
    <x v="104"/>
    <d v="2024-10-29T00:00:00"/>
    <x v="1"/>
    <x v="2"/>
    <m/>
    <n v="10212"/>
    <s v="Credit Card"/>
    <s v="2024-10"/>
    <d v="2025-06-07T00:00:00"/>
    <x v="0"/>
    <m/>
    <m/>
    <m/>
    <m/>
  </r>
  <r>
    <n v="166"/>
    <x v="95"/>
    <d v="2024-06-21T00:00:00"/>
    <x v="3"/>
    <x v="4"/>
    <m/>
    <n v="1595"/>
    <s v="Cheque"/>
    <s v="2024-06"/>
    <d v="2025-06-08T00:00:00"/>
    <x v="0"/>
    <m/>
    <m/>
    <m/>
    <m/>
  </r>
  <r>
    <n v="1696"/>
    <x v="34"/>
    <d v="2025-05-04T00:00:00"/>
    <x v="0"/>
    <x v="5"/>
    <m/>
    <n v="640"/>
    <s v="Bank Transfer"/>
    <s v="2025-05"/>
    <d v="2025-05-16T00:00:00"/>
    <x v="0"/>
    <m/>
    <m/>
    <m/>
    <m/>
  </r>
  <r>
    <n v="1360"/>
    <x v="70"/>
    <d v="2024-02-15T00:00:00"/>
    <x v="3"/>
    <x v="1"/>
    <m/>
    <n v="11809"/>
    <s v="Cash"/>
    <s v="2024-02"/>
    <d v="2025-05-26T00:00:00"/>
    <x v="0"/>
    <m/>
    <m/>
    <m/>
    <m/>
  </r>
  <r>
    <n v="60"/>
    <x v="116"/>
    <d v="2025-05-10T00:00:00"/>
    <x v="0"/>
    <x v="2"/>
    <m/>
    <n v="2322"/>
    <s v="Credit Card"/>
    <s v="2025-05"/>
    <d v="2025-05-20T00:00:00"/>
    <x v="0"/>
    <m/>
    <m/>
    <m/>
    <m/>
  </r>
  <r>
    <n v="710"/>
    <x v="61"/>
    <d v="2024-02-21T00:00:00"/>
    <x v="0"/>
    <x v="1"/>
    <m/>
    <n v="1190"/>
    <s v="Cheque"/>
    <s v="2024-02"/>
    <d v="2025-05-18T00:00:00"/>
    <x v="0"/>
    <m/>
    <m/>
    <m/>
    <m/>
  </r>
  <r>
    <n v="677"/>
    <x v="56"/>
    <d v="2025-01-25T00:00:00"/>
    <x v="0"/>
    <x v="2"/>
    <m/>
    <n v="4264"/>
    <s v="Cheque"/>
    <s v="2025-01"/>
    <d v="2025-04-25T00:00:00"/>
    <x v="0"/>
    <m/>
    <m/>
    <m/>
    <m/>
  </r>
  <r>
    <n v="1379"/>
    <x v="64"/>
    <d v="2024-04-28T00:00:00"/>
    <x v="4"/>
    <x v="4"/>
    <m/>
    <n v="1644"/>
    <s v="Cheque"/>
    <s v="2024-04"/>
    <d v="2025-04-28T00:00:00"/>
    <x v="0"/>
    <m/>
    <m/>
    <m/>
    <m/>
  </r>
  <r>
    <n v="781"/>
    <x v="17"/>
    <d v="2024-10-28T00:00:00"/>
    <x v="3"/>
    <x v="0"/>
    <m/>
    <n v="10575"/>
    <s v="Bank Transfer"/>
    <s v="2024-10"/>
    <d v="2025-05-21T00:00:00"/>
    <x v="0"/>
    <m/>
    <m/>
    <m/>
    <m/>
  </r>
  <r>
    <n v="425"/>
    <x v="4"/>
    <d v="2024-03-15T00:00:00"/>
    <x v="1"/>
    <x v="5"/>
    <m/>
    <n v="1121"/>
    <s v="Bank Transfer"/>
    <s v="2024-03"/>
    <d v="2025-05-02T00:00:00"/>
    <x v="0"/>
    <m/>
    <m/>
    <m/>
    <m/>
  </r>
  <r>
    <n v="293"/>
    <x v="35"/>
    <d v="2024-02-01T00:00:00"/>
    <x v="0"/>
    <x v="0"/>
    <m/>
    <n v="8999"/>
    <s v="Cash"/>
    <s v="2024-02"/>
    <d v="2025-06-13T00:00:00"/>
    <x v="0"/>
    <m/>
    <m/>
    <m/>
    <m/>
  </r>
  <r>
    <n v="1066"/>
    <x v="81"/>
    <d v="2024-12-10T00:00:00"/>
    <x v="1"/>
    <x v="0"/>
    <m/>
    <n v="1198"/>
    <s v="UPI"/>
    <s v="2024-12"/>
    <d v="2025-06-20T00:00:00"/>
    <x v="0"/>
    <m/>
    <m/>
    <m/>
    <m/>
  </r>
  <r>
    <n v="1619"/>
    <x v="73"/>
    <d v="2024-05-27T00:00:00"/>
    <x v="4"/>
    <x v="5"/>
    <m/>
    <n v="5405"/>
    <s v="Credit Card"/>
    <s v="2024-05"/>
    <d v="2025-05-17T00:00:00"/>
    <x v="0"/>
    <m/>
    <m/>
    <m/>
    <m/>
  </r>
  <r>
    <n v="330"/>
    <x v="95"/>
    <d v="2025-04-30T00:00:00"/>
    <x v="3"/>
    <x v="5"/>
    <m/>
    <n v="4327"/>
    <s v="Bank Transfer"/>
    <s v="2025-04"/>
    <d v="2025-06-08T00:00:00"/>
    <x v="0"/>
    <m/>
    <m/>
    <m/>
    <m/>
  </r>
  <r>
    <n v="430"/>
    <x v="6"/>
    <d v="2024-12-30T00:00:00"/>
    <x v="2"/>
    <x v="3"/>
    <m/>
    <n v="1070"/>
    <s v="Cash"/>
    <s v="2024-12"/>
    <d v="2025-05-31T00:00:00"/>
    <x v="0"/>
    <m/>
    <m/>
    <m/>
    <m/>
  </r>
  <r>
    <n v="1013"/>
    <x v="58"/>
    <d v="2024-07-28T00:00:00"/>
    <x v="5"/>
    <x v="0"/>
    <m/>
    <n v="256"/>
    <s v="Credit Card"/>
    <s v="2024-07"/>
    <d v="2025-06-15T00:00:00"/>
    <x v="0"/>
    <m/>
    <m/>
    <m/>
    <m/>
  </r>
  <r>
    <n v="80"/>
    <x v="3"/>
    <d v="2024-07-27T00:00:00"/>
    <x v="3"/>
    <x v="4"/>
    <m/>
    <n v="2438"/>
    <s v="Cash"/>
    <s v="2024-07"/>
    <d v="2025-06-15T00:00:00"/>
    <x v="0"/>
    <m/>
    <m/>
    <m/>
    <m/>
  </r>
  <r>
    <n v="1053"/>
    <x v="96"/>
    <d v="2024-02-09T00:00:00"/>
    <x v="3"/>
    <x v="1"/>
    <m/>
    <n v="4084"/>
    <s v="Credit Card"/>
    <s v="2024-02"/>
    <d v="2025-06-07T00:00:00"/>
    <x v="0"/>
    <m/>
    <m/>
    <m/>
    <m/>
  </r>
  <r>
    <n v="938"/>
    <x v="10"/>
    <d v="2024-02-28T00:00:00"/>
    <x v="4"/>
    <x v="2"/>
    <m/>
    <n v="8032"/>
    <s v="UPI"/>
    <s v="2024-02"/>
    <d v="2025-05-17T00:00:00"/>
    <x v="0"/>
    <m/>
    <m/>
    <m/>
    <m/>
  </r>
  <r>
    <n v="835"/>
    <x v="33"/>
    <d v="2024-08-27T00:00:00"/>
    <x v="0"/>
    <x v="1"/>
    <m/>
    <n v="939"/>
    <s v="Cash"/>
    <s v="2024-08"/>
    <d v="2025-03-13T00:00:00"/>
    <x v="1"/>
    <m/>
    <m/>
    <m/>
    <m/>
  </r>
  <r>
    <n v="750"/>
    <x v="72"/>
    <d v="2024-10-14T00:00:00"/>
    <x v="1"/>
    <x v="4"/>
    <m/>
    <n v="1127"/>
    <s v="Bank Transfer"/>
    <s v="2024-10"/>
    <d v="2025-05-21T00:00:00"/>
    <x v="0"/>
    <m/>
    <m/>
    <m/>
    <m/>
  </r>
  <r>
    <n v="891"/>
    <x v="75"/>
    <d v="2024-05-13T00:00:00"/>
    <x v="1"/>
    <x v="2"/>
    <m/>
    <n v="5486"/>
    <s v="Cheque"/>
    <s v="2024-05"/>
    <d v="2025-06-13T00:00:00"/>
    <x v="0"/>
    <m/>
    <m/>
    <m/>
    <m/>
  </r>
  <r>
    <n v="255"/>
    <x v="113"/>
    <d v="2025-03-27T00:00:00"/>
    <x v="4"/>
    <x v="1"/>
    <m/>
    <n v="1094"/>
    <s v="Credit Card"/>
    <s v="2025-03"/>
    <d v="2025-03-27T00:00:00"/>
    <x v="0"/>
    <m/>
    <m/>
    <m/>
    <m/>
  </r>
  <r>
    <n v="1565"/>
    <x v="100"/>
    <d v="2024-04-04T00:00:00"/>
    <x v="0"/>
    <x v="2"/>
    <m/>
    <n v="351"/>
    <s v="UPI"/>
    <s v="2024-04"/>
    <d v="2025-06-04T00:00:00"/>
    <x v="0"/>
    <m/>
    <m/>
    <m/>
    <m/>
  </r>
  <r>
    <n v="1766"/>
    <x v="113"/>
    <d v="2024-03-16T00:00:00"/>
    <x v="0"/>
    <x v="2"/>
    <m/>
    <n v="297"/>
    <s v="UPI"/>
    <s v="2024-03"/>
    <d v="2025-03-27T00:00:00"/>
    <x v="0"/>
    <m/>
    <m/>
    <m/>
    <m/>
  </r>
  <r>
    <n v="1338"/>
    <x v="31"/>
    <d v="2024-07-21T00:00:00"/>
    <x v="3"/>
    <x v="1"/>
    <m/>
    <n v="2163"/>
    <s v="Credit Card"/>
    <s v="2024-07"/>
    <d v="2025-05-16T00:00:00"/>
    <x v="0"/>
    <m/>
    <m/>
    <m/>
    <m/>
  </r>
  <r>
    <n v="1109"/>
    <x v="48"/>
    <d v="2024-09-03T00:00:00"/>
    <x v="0"/>
    <x v="1"/>
    <m/>
    <n v="812"/>
    <s v="Bank Transfer"/>
    <s v="2024-09"/>
    <d v="2025-04-13T00:00:00"/>
    <x v="0"/>
    <m/>
    <m/>
    <m/>
    <m/>
  </r>
  <r>
    <n v="137"/>
    <x v="85"/>
    <d v="2024-12-10T00:00:00"/>
    <x v="3"/>
    <x v="4"/>
    <m/>
    <n v="646"/>
    <s v="Credit Card"/>
    <s v="2024-12"/>
    <d v="2025-04-17T00:00:00"/>
    <x v="0"/>
    <m/>
    <m/>
    <m/>
    <m/>
  </r>
  <r>
    <n v="1136"/>
    <x v="97"/>
    <d v="2025-02-07T00:00:00"/>
    <x v="2"/>
    <x v="5"/>
    <m/>
    <n v="320"/>
    <s v="Cheque"/>
    <s v="2025-02"/>
    <d v="2025-06-13T00:00:00"/>
    <x v="0"/>
    <m/>
    <m/>
    <m/>
    <m/>
  </r>
  <r>
    <n v="1219"/>
    <x v="39"/>
    <d v="2024-08-18T00:00:00"/>
    <x v="2"/>
    <x v="2"/>
    <m/>
    <n v="1087"/>
    <s v="Bank Transfer"/>
    <s v="2024-08"/>
    <d v="2025-06-22T00:00:00"/>
    <x v="0"/>
    <m/>
    <m/>
    <m/>
    <m/>
  </r>
  <r>
    <n v="853"/>
    <x v="108"/>
    <d v="2024-04-01T00:00:00"/>
    <x v="0"/>
    <x v="2"/>
    <m/>
    <n v="683"/>
    <s v="Cash"/>
    <s v="2024-04"/>
    <d v="2025-06-14T00:00:00"/>
    <x v="0"/>
    <m/>
    <m/>
    <m/>
    <m/>
  </r>
  <r>
    <n v="1203"/>
    <x v="0"/>
    <d v="2025-02-03T00:00:00"/>
    <x v="2"/>
    <x v="4"/>
    <m/>
    <n v="4854"/>
    <s v="Bank Transfer"/>
    <s v="2025-02"/>
    <d v="2025-05-08T00:00:00"/>
    <x v="0"/>
    <m/>
    <m/>
    <m/>
    <m/>
  </r>
  <r>
    <n v="724"/>
    <x v="36"/>
    <d v="2025-01-04T00:00:00"/>
    <x v="2"/>
    <x v="4"/>
    <m/>
    <n v="849"/>
    <s v="UPI"/>
    <s v="2025-01"/>
    <d v="2025-06-16T00:00:00"/>
    <x v="0"/>
    <m/>
    <m/>
    <m/>
    <m/>
  </r>
  <r>
    <n v="860"/>
    <x v="62"/>
    <d v="2025-06-06T00:00:00"/>
    <x v="2"/>
    <x v="2"/>
    <m/>
    <n v="447"/>
    <s v="Credit Card"/>
    <s v="2025-06"/>
    <d v="2025-06-06T00:00:00"/>
    <x v="0"/>
    <m/>
    <m/>
    <m/>
    <m/>
  </r>
  <r>
    <n v="970"/>
    <x v="44"/>
    <d v="2025-02-23T00:00:00"/>
    <x v="3"/>
    <x v="2"/>
    <m/>
    <n v="9409"/>
    <s v="UPI"/>
    <s v="2025-02"/>
    <d v="2025-04-26T00:00:00"/>
    <x v="0"/>
    <m/>
    <m/>
    <m/>
    <m/>
  </r>
  <r>
    <n v="497"/>
    <x v="33"/>
    <d v="2024-09-30T00:00:00"/>
    <x v="3"/>
    <x v="0"/>
    <m/>
    <n v="2077"/>
    <s v="Credit Card"/>
    <s v="2024-09"/>
    <d v="2025-03-13T00:00:00"/>
    <x v="1"/>
    <m/>
    <m/>
    <m/>
    <m/>
  </r>
  <r>
    <n v="951"/>
    <x v="78"/>
    <d v="2025-03-23T00:00:00"/>
    <x v="1"/>
    <x v="2"/>
    <m/>
    <n v="1198"/>
    <s v="UPI"/>
    <s v="2025-03"/>
    <d v="2025-06-02T00:00:00"/>
    <x v="0"/>
    <m/>
    <m/>
    <m/>
    <m/>
  </r>
  <r>
    <n v="806"/>
    <x v="107"/>
    <d v="2024-11-19T00:00:00"/>
    <x v="0"/>
    <x v="4"/>
    <m/>
    <n v="266"/>
    <s v="Bank Transfer"/>
    <s v="2024-11"/>
    <d v="2025-04-12T00:00:00"/>
    <x v="0"/>
    <m/>
    <m/>
    <m/>
    <m/>
  </r>
  <r>
    <n v="130"/>
    <x v="116"/>
    <d v="2025-01-28T00:00:00"/>
    <x v="3"/>
    <x v="0"/>
    <m/>
    <n v="490"/>
    <s v="Cheque"/>
    <s v="2025-01"/>
    <d v="2025-05-20T00:00:00"/>
    <x v="0"/>
    <m/>
    <m/>
    <m/>
    <m/>
  </r>
  <r>
    <n v="338"/>
    <x v="44"/>
    <d v="2024-07-04T00:00:00"/>
    <x v="2"/>
    <x v="1"/>
    <m/>
    <n v="1645"/>
    <s v="Cheque"/>
    <s v="2024-07"/>
    <d v="2025-04-26T00:00:00"/>
    <x v="0"/>
    <m/>
    <m/>
    <m/>
    <m/>
  </r>
  <r>
    <n v="1799"/>
    <x v="39"/>
    <d v="2024-03-27T00:00:00"/>
    <x v="3"/>
    <x v="0"/>
    <m/>
    <n v="679"/>
    <s v="Credit Card"/>
    <s v="2024-03"/>
    <d v="2025-06-22T00:00:00"/>
    <x v="0"/>
    <m/>
    <m/>
    <m/>
    <m/>
  </r>
  <r>
    <n v="609"/>
    <x v="112"/>
    <d v="2024-10-23T00:00:00"/>
    <x v="3"/>
    <x v="2"/>
    <m/>
    <n v="1680"/>
    <s v="Cash"/>
    <s v="2024-10"/>
    <d v="2025-06-04T00:00:00"/>
    <x v="0"/>
    <m/>
    <m/>
    <m/>
    <m/>
  </r>
  <r>
    <n v="1149"/>
    <x v="17"/>
    <d v="2024-03-22T00:00:00"/>
    <x v="0"/>
    <x v="3"/>
    <m/>
    <n v="2057"/>
    <s v="Bank Transfer"/>
    <s v="2024-03"/>
    <d v="2025-05-21T00:00:00"/>
    <x v="0"/>
    <m/>
    <m/>
    <m/>
    <m/>
  </r>
  <r>
    <n v="196"/>
    <x v="45"/>
    <d v="2025-01-17T00:00:00"/>
    <x v="3"/>
    <x v="1"/>
    <m/>
    <n v="11208"/>
    <s v="Credit Card"/>
    <s v="2025-01"/>
    <d v="2025-06-18T00:00:00"/>
    <x v="0"/>
    <m/>
    <m/>
    <m/>
    <m/>
  </r>
  <r>
    <n v="1251"/>
    <x v="9"/>
    <d v="2024-08-12T00:00:00"/>
    <x v="4"/>
    <x v="1"/>
    <m/>
    <n v="1716"/>
    <s v="Bank Transfer"/>
    <s v="2024-08"/>
    <d v="2025-04-29T00:00:00"/>
    <x v="0"/>
    <m/>
    <m/>
    <m/>
    <m/>
  </r>
  <r>
    <n v="1293"/>
    <x v="35"/>
    <d v="2024-08-01T00:00:00"/>
    <x v="0"/>
    <x v="1"/>
    <m/>
    <n v="328"/>
    <s v="Cash"/>
    <s v="2024-08"/>
    <d v="2025-06-13T00:00:00"/>
    <x v="0"/>
    <m/>
    <m/>
    <m/>
    <m/>
  </r>
  <r>
    <n v="1783"/>
    <x v="20"/>
    <d v="2024-08-06T00:00:00"/>
    <x v="1"/>
    <x v="0"/>
    <m/>
    <n v="1575"/>
    <s v="Credit Card"/>
    <s v="2024-08"/>
    <d v="2025-06-07T00:00:00"/>
    <x v="0"/>
    <m/>
    <m/>
    <m/>
    <m/>
  </r>
  <r>
    <n v="910"/>
    <x v="89"/>
    <d v="2024-05-30T00:00:00"/>
    <x v="1"/>
    <x v="4"/>
    <m/>
    <n v="806"/>
    <s v="UPI"/>
    <s v="2024-05"/>
    <d v="2025-05-10T00:00:00"/>
    <x v="0"/>
    <m/>
    <m/>
    <m/>
    <m/>
  </r>
  <r>
    <n v="585"/>
    <x v="25"/>
    <d v="2024-08-28T00:00:00"/>
    <x v="0"/>
    <x v="0"/>
    <m/>
    <n v="4838"/>
    <s v="Bank Transfer"/>
    <s v="2024-08"/>
    <d v="2025-03-24T00:00:00"/>
    <x v="1"/>
    <m/>
    <m/>
    <m/>
    <m/>
  </r>
  <r>
    <n v="104"/>
    <x v="105"/>
    <d v="2024-07-13T00:00:00"/>
    <x v="0"/>
    <x v="3"/>
    <m/>
    <n v="2113"/>
    <s v="Cheque"/>
    <s v="2024-07"/>
    <d v="2025-06-17T00:00:00"/>
    <x v="0"/>
    <m/>
    <m/>
    <m/>
    <m/>
  </r>
  <r>
    <n v="1670"/>
    <x v="66"/>
    <d v="2024-04-30T00:00:00"/>
    <x v="2"/>
    <x v="0"/>
    <m/>
    <n v="634"/>
    <s v="Cash"/>
    <s v="2024-04"/>
    <d v="2025-06-21T00:00:00"/>
    <x v="0"/>
    <m/>
    <m/>
    <m/>
    <m/>
  </r>
  <r>
    <n v="1685"/>
    <x v="68"/>
    <d v="2024-09-11T00:00:00"/>
    <x v="3"/>
    <x v="1"/>
    <m/>
    <n v="9761"/>
    <s v="Cheque"/>
    <s v="2024-09"/>
    <d v="2025-04-25T00:00:00"/>
    <x v="0"/>
    <m/>
    <m/>
    <m/>
    <m/>
  </r>
  <r>
    <n v="720"/>
    <x v="115"/>
    <d v="2024-10-17T00:00:00"/>
    <x v="2"/>
    <x v="0"/>
    <m/>
    <n v="9249"/>
    <s v="Bank Transfer"/>
    <s v="2024-10"/>
    <d v="2025-03-09T00:00:00"/>
    <x v="1"/>
    <m/>
    <m/>
    <m/>
    <m/>
  </r>
  <r>
    <n v="885"/>
    <x v="96"/>
    <d v="2025-06-07T00:00:00"/>
    <x v="4"/>
    <x v="5"/>
    <m/>
    <n v="1146"/>
    <s v="Credit Card"/>
    <s v="2025-06"/>
    <d v="2025-06-07T00:00:00"/>
    <x v="0"/>
    <m/>
    <m/>
    <m/>
    <m/>
  </r>
  <r>
    <n v="777"/>
    <x v="77"/>
    <d v="2025-05-21T00:00:00"/>
    <x v="1"/>
    <x v="0"/>
    <m/>
    <n v="791"/>
    <s v="Cheque"/>
    <s v="2025-05"/>
    <d v="2025-05-21T00:00:00"/>
    <x v="0"/>
    <m/>
    <m/>
    <m/>
    <m/>
  </r>
  <r>
    <n v="850"/>
    <x v="25"/>
    <d v="2025-01-05T00:00:00"/>
    <x v="3"/>
    <x v="3"/>
    <m/>
    <n v="1426"/>
    <s v="Cash"/>
    <s v="2025-01"/>
    <d v="2025-03-24T00:00:00"/>
    <x v="1"/>
    <m/>
    <m/>
    <m/>
    <m/>
  </r>
  <r>
    <n v="895"/>
    <x v="23"/>
    <d v="2024-06-19T00:00:00"/>
    <x v="1"/>
    <x v="2"/>
    <m/>
    <n v="1374"/>
    <s v="Cheque"/>
    <s v="2024-06"/>
    <d v="2025-06-21T00:00:00"/>
    <x v="0"/>
    <m/>
    <m/>
    <m/>
    <m/>
  </r>
  <r>
    <n v="228"/>
    <x v="60"/>
    <d v="2024-11-30T00:00:00"/>
    <x v="1"/>
    <x v="1"/>
    <m/>
    <n v="267"/>
    <s v="Cheque"/>
    <s v="2024-11"/>
    <d v="2025-05-26T00:00:00"/>
    <x v="0"/>
    <m/>
    <m/>
    <m/>
    <m/>
  </r>
  <r>
    <n v="1698"/>
    <x v="21"/>
    <d v="2024-01-16T00:00:00"/>
    <x v="0"/>
    <x v="0"/>
    <m/>
    <n v="11928"/>
    <s v="Cash"/>
    <s v="2024-01"/>
    <d v="2025-06-03T00:00:00"/>
    <x v="0"/>
    <m/>
    <m/>
    <m/>
    <m/>
  </r>
  <r>
    <n v="1326"/>
    <x v="92"/>
    <d v="2024-07-13T00:00:00"/>
    <x v="3"/>
    <x v="2"/>
    <m/>
    <n v="292"/>
    <s v="Credit Card"/>
    <s v="2024-07"/>
    <d v="2025-04-20T00:00:00"/>
    <x v="0"/>
    <m/>
    <m/>
    <m/>
    <m/>
  </r>
  <r>
    <n v="1300"/>
    <x v="115"/>
    <d v="2024-06-03T00:00:00"/>
    <x v="1"/>
    <x v="3"/>
    <m/>
    <n v="5246"/>
    <s v="Bank Transfer"/>
    <s v="2024-06"/>
    <d v="2025-03-09T00:00:00"/>
    <x v="1"/>
    <m/>
    <m/>
    <m/>
    <m/>
  </r>
  <r>
    <n v="127"/>
    <x v="116"/>
    <d v="2025-05-20T00:00:00"/>
    <x v="3"/>
    <x v="0"/>
    <m/>
    <n v="322"/>
    <s v="Cheque"/>
    <s v="2025-05"/>
    <d v="2025-05-20T00:00:00"/>
    <x v="0"/>
    <m/>
    <m/>
    <m/>
    <m/>
  </r>
  <r>
    <n v="406"/>
    <x v="39"/>
    <d v="2024-05-01T00:00:00"/>
    <x v="4"/>
    <x v="1"/>
    <m/>
    <n v="5441"/>
    <s v="Cash"/>
    <s v="2024-05"/>
    <d v="2025-06-22T00:00:00"/>
    <x v="0"/>
    <m/>
    <m/>
    <m/>
    <m/>
  </r>
  <r>
    <n v="776"/>
    <x v="112"/>
    <d v="2025-02-01T00:00:00"/>
    <x v="3"/>
    <x v="5"/>
    <m/>
    <n v="302"/>
    <s v="Credit Card"/>
    <s v="2025-02"/>
    <d v="2025-06-04T00:00:00"/>
    <x v="0"/>
    <m/>
    <m/>
    <m/>
    <m/>
  </r>
  <r>
    <n v="822"/>
    <x v="111"/>
    <d v="2025-01-05T00:00:00"/>
    <x v="2"/>
    <x v="2"/>
    <m/>
    <n v="1357"/>
    <s v="Cash"/>
    <s v="2025-01"/>
    <d v="2025-06-07T00:00:00"/>
    <x v="0"/>
    <m/>
    <m/>
    <m/>
    <m/>
  </r>
  <r>
    <n v="712"/>
    <x v="6"/>
    <d v="2024-04-11T00:00:00"/>
    <x v="1"/>
    <x v="5"/>
    <m/>
    <n v="1274"/>
    <s v="Credit Card"/>
    <s v="2024-04"/>
    <d v="2025-05-31T00:00:00"/>
    <x v="0"/>
    <m/>
    <m/>
    <m/>
    <m/>
  </r>
  <r>
    <n v="1705"/>
    <x v="72"/>
    <d v="2025-05-18T00:00:00"/>
    <x v="3"/>
    <x v="2"/>
    <m/>
    <n v="980"/>
    <s v="Cash"/>
    <s v="2025-05"/>
    <d v="2025-05-21T00:00:00"/>
    <x v="0"/>
    <m/>
    <m/>
    <m/>
    <m/>
  </r>
  <r>
    <n v="1061"/>
    <x v="89"/>
    <d v="2024-03-22T00:00:00"/>
    <x v="3"/>
    <x v="0"/>
    <m/>
    <n v="1166"/>
    <s v="Cash"/>
    <s v="2024-03"/>
    <d v="2025-05-10T00:00:00"/>
    <x v="0"/>
    <m/>
    <m/>
    <m/>
    <m/>
  </r>
  <r>
    <n v="1164"/>
    <x v="15"/>
    <d v="2024-10-27T00:00:00"/>
    <x v="2"/>
    <x v="4"/>
    <m/>
    <n v="295"/>
    <s v="Cheque"/>
    <s v="2024-10"/>
    <d v="2025-05-15T00:00:00"/>
    <x v="0"/>
    <m/>
    <m/>
    <m/>
    <m/>
  </r>
  <r>
    <n v="304"/>
    <x v="98"/>
    <d v="2024-05-13T00:00:00"/>
    <x v="4"/>
    <x v="5"/>
    <m/>
    <n v="404"/>
    <s v="Cheque"/>
    <s v="2024-05"/>
    <d v="2025-05-05T00:00:00"/>
    <x v="0"/>
    <m/>
    <m/>
    <m/>
    <m/>
  </r>
  <r>
    <n v="268"/>
    <x v="15"/>
    <d v="2024-05-26T00:00:00"/>
    <x v="3"/>
    <x v="0"/>
    <m/>
    <n v="522"/>
    <s v="Credit Card"/>
    <s v="2024-05"/>
    <d v="2025-05-15T00:00:00"/>
    <x v="0"/>
    <m/>
    <m/>
    <m/>
    <m/>
  </r>
  <r>
    <n v="546"/>
    <x v="29"/>
    <d v="2025-03-01T00:00:00"/>
    <x v="0"/>
    <x v="2"/>
    <m/>
    <n v="787"/>
    <s v="Cash"/>
    <s v="2025-03"/>
    <d v="2025-04-26T00:00:00"/>
    <x v="0"/>
    <m/>
    <m/>
    <m/>
    <m/>
  </r>
  <r>
    <n v="213"/>
    <x v="10"/>
    <d v="2024-07-13T00:00:00"/>
    <x v="2"/>
    <x v="2"/>
    <m/>
    <n v="350"/>
    <s v="Cheque"/>
    <s v="2024-07"/>
    <d v="2025-05-17T00:00:00"/>
    <x v="0"/>
    <m/>
    <m/>
    <m/>
    <m/>
  </r>
  <r>
    <n v="897"/>
    <x v="49"/>
    <d v="2024-07-07T00:00:00"/>
    <x v="4"/>
    <x v="0"/>
    <m/>
    <n v="2074"/>
    <s v="UPI"/>
    <s v="2024-07"/>
    <d v="2025-05-18T00:00:00"/>
    <x v="0"/>
    <m/>
    <m/>
    <m/>
    <m/>
  </r>
  <r>
    <n v="1223"/>
    <x v="36"/>
    <d v="2024-08-07T00:00:00"/>
    <x v="3"/>
    <x v="5"/>
    <m/>
    <n v="9759"/>
    <s v="Bank Transfer"/>
    <s v="2024-08"/>
    <d v="2025-06-16T00:00:00"/>
    <x v="0"/>
    <m/>
    <m/>
    <m/>
    <m/>
  </r>
  <r>
    <n v="917"/>
    <x v="71"/>
    <d v="2025-03-07T00:00:00"/>
    <x v="3"/>
    <x v="2"/>
    <m/>
    <n v="2162"/>
    <s v="Credit Card"/>
    <s v="2025-03"/>
    <d v="2025-05-16T00:00:00"/>
    <x v="0"/>
    <m/>
    <m/>
    <m/>
    <m/>
  </r>
  <r>
    <n v="676"/>
    <x v="90"/>
    <d v="2024-12-06T00:00:00"/>
    <x v="4"/>
    <x v="1"/>
    <m/>
    <n v="0"/>
    <s v="Cheque"/>
    <s v="2024-12"/>
    <d v="2025-06-19T00:00:00"/>
    <x v="0"/>
    <m/>
    <m/>
    <m/>
    <m/>
  </r>
  <r>
    <n v="1290"/>
    <x v="94"/>
    <d v="2025-04-05T00:00:00"/>
    <x v="4"/>
    <x v="2"/>
    <m/>
    <n v="314"/>
    <s v="Bank Transfer"/>
    <s v="2025-04"/>
    <d v="2025-04-05T00:00:00"/>
    <x v="0"/>
    <m/>
    <m/>
    <m/>
    <m/>
  </r>
  <r>
    <n v="815"/>
    <x v="9"/>
    <d v="2024-07-21T00:00:00"/>
    <x v="0"/>
    <x v="4"/>
    <m/>
    <n v="1842"/>
    <s v="Cheque"/>
    <s v="2024-07"/>
    <d v="2025-04-29T00:00:00"/>
    <x v="0"/>
    <m/>
    <m/>
    <m/>
    <m/>
  </r>
  <r>
    <n v="1266"/>
    <x v="64"/>
    <d v="2024-12-19T00:00:00"/>
    <x v="4"/>
    <x v="0"/>
    <m/>
    <n v="5148"/>
    <s v="Cash"/>
    <s v="2024-12"/>
    <d v="2025-04-28T00:00:00"/>
    <x v="0"/>
    <m/>
    <m/>
    <m/>
    <m/>
  </r>
  <r>
    <n v="343"/>
    <x v="65"/>
    <d v="2024-06-21T00:00:00"/>
    <x v="4"/>
    <x v="1"/>
    <m/>
    <n v="852"/>
    <s v="Cash"/>
    <s v="2024-06"/>
    <d v="2025-06-18T00:00:00"/>
    <x v="0"/>
    <m/>
    <m/>
    <m/>
    <m/>
  </r>
  <r>
    <n v="550"/>
    <x v="20"/>
    <d v="2024-11-15T00:00:00"/>
    <x v="2"/>
    <x v="5"/>
    <m/>
    <n v="11114"/>
    <s v="Cash"/>
    <s v="2024-11"/>
    <d v="2025-06-07T00:00:00"/>
    <x v="0"/>
    <m/>
    <m/>
    <m/>
    <m/>
  </r>
  <r>
    <n v="1411"/>
    <x v="117"/>
    <d v="2024-08-12T00:00:00"/>
    <x v="3"/>
    <x v="2"/>
    <m/>
    <n v="10396"/>
    <s v="Credit Card"/>
    <s v="2024-08"/>
    <d v="2025-06-04T00:00:00"/>
    <x v="0"/>
    <m/>
    <m/>
    <m/>
    <m/>
  </r>
  <r>
    <n v="1215"/>
    <x v="13"/>
    <d v="2024-01-30T00:00:00"/>
    <x v="2"/>
    <x v="5"/>
    <m/>
    <n v="578"/>
    <s v="UPI"/>
    <s v="2024-01"/>
    <d v="2025-05-11T00:00:00"/>
    <x v="0"/>
    <m/>
    <m/>
    <m/>
    <m/>
  </r>
  <r>
    <n v="967"/>
    <x v="69"/>
    <d v="2025-03-22T00:00:00"/>
    <x v="0"/>
    <x v="4"/>
    <m/>
    <n v="2173"/>
    <s v="Bank Transfer"/>
    <s v="2025-03"/>
    <d v="2025-03-22T00:00:00"/>
    <x v="1"/>
    <m/>
    <m/>
    <m/>
    <m/>
  </r>
  <r>
    <n v="1231"/>
    <x v="84"/>
    <d v="2024-03-09T00:00:00"/>
    <x v="0"/>
    <x v="4"/>
    <m/>
    <n v="1489"/>
    <s v="Credit Card"/>
    <s v="2024-03"/>
    <d v="2025-06-07T00:00:00"/>
    <x v="0"/>
    <m/>
    <m/>
    <m/>
    <m/>
  </r>
  <r>
    <n v="296"/>
    <x v="7"/>
    <d v="2025-03-19T00:00:00"/>
    <x v="0"/>
    <x v="1"/>
    <m/>
    <n v="477"/>
    <s v="Cash"/>
    <s v="2025-03"/>
    <d v="2025-06-11T00:00:00"/>
    <x v="0"/>
    <m/>
    <m/>
    <m/>
    <m/>
  </r>
  <r>
    <n v="696"/>
    <x v="98"/>
    <d v="2024-09-28T00:00:00"/>
    <x v="5"/>
    <x v="4"/>
    <m/>
    <n v="1247"/>
    <s v="Cheque"/>
    <s v="2024-09"/>
    <d v="2025-05-05T00:00:00"/>
    <x v="0"/>
    <m/>
    <m/>
    <m/>
    <m/>
  </r>
  <r>
    <n v="1453"/>
    <x v="114"/>
    <d v="2024-07-20T00:00:00"/>
    <x v="2"/>
    <x v="1"/>
    <m/>
    <n v="9161"/>
    <s v="Cash"/>
    <s v="2024-07"/>
    <d v="2025-05-08T00:00:00"/>
    <x v="0"/>
    <m/>
    <m/>
    <m/>
    <m/>
  </r>
  <r>
    <n v="74"/>
    <x v="99"/>
    <d v="2024-10-22T00:00:00"/>
    <x v="2"/>
    <x v="1"/>
    <m/>
    <n v="2700"/>
    <s v="Bank Transfer"/>
    <s v="2024-10"/>
    <d v="2025-03-30T00:00:00"/>
    <x v="0"/>
    <m/>
    <m/>
    <m/>
    <m/>
  </r>
  <r>
    <n v="606"/>
    <x v="102"/>
    <d v="2024-06-06T00:00:00"/>
    <x v="4"/>
    <x v="3"/>
    <m/>
    <n v="599"/>
    <s v="Cheque"/>
    <s v="2024-06"/>
    <d v="2025-04-05T00:00:00"/>
    <x v="0"/>
    <m/>
    <m/>
    <m/>
    <m/>
  </r>
  <r>
    <n v="105"/>
    <x v="15"/>
    <d v="2024-07-29T00:00:00"/>
    <x v="5"/>
    <x v="4"/>
    <m/>
    <n v="2250"/>
    <s v="Credit Card"/>
    <s v="2024-07"/>
    <d v="2025-05-15T00:00:00"/>
    <x v="0"/>
    <m/>
    <m/>
    <m/>
    <m/>
  </r>
  <r>
    <n v="646"/>
    <x v="94"/>
    <d v="2024-03-27T00:00:00"/>
    <x v="2"/>
    <x v="5"/>
    <m/>
    <n v="935"/>
    <s v="UPI"/>
    <s v="2024-03"/>
    <d v="2025-04-05T00:00:00"/>
    <x v="0"/>
    <m/>
    <m/>
    <m/>
    <m/>
  </r>
  <r>
    <n v="1405"/>
    <x v="38"/>
    <d v="2024-09-01T00:00:00"/>
    <x v="1"/>
    <x v="1"/>
    <m/>
    <n v="734"/>
    <s v="Credit Card"/>
    <s v="2024-09"/>
    <d v="2025-05-29T00:00:00"/>
    <x v="0"/>
    <m/>
    <m/>
    <m/>
    <m/>
  </r>
  <r>
    <n v="1771"/>
    <x v="15"/>
    <d v="2024-04-07T00:00:00"/>
    <x v="2"/>
    <x v="2"/>
    <m/>
    <n v="514"/>
    <s v="Cash"/>
    <s v="2024-04"/>
    <d v="2025-05-15T00:00:00"/>
    <x v="0"/>
    <m/>
    <m/>
    <m/>
    <m/>
  </r>
  <r>
    <n v="1041"/>
    <x v="108"/>
    <d v="2025-01-10T00:00:00"/>
    <x v="3"/>
    <x v="5"/>
    <m/>
    <n v="2021"/>
    <s v="Bank Transfer"/>
    <s v="2025-01"/>
    <d v="2025-06-14T00:00:00"/>
    <x v="0"/>
    <m/>
    <m/>
    <m/>
    <m/>
  </r>
  <r>
    <n v="440"/>
    <x v="19"/>
    <d v="2024-03-21T00:00:00"/>
    <x v="3"/>
    <x v="5"/>
    <m/>
    <n v="316"/>
    <s v="Credit Card"/>
    <s v="2024-03"/>
    <d v="2025-06-19T00:00:00"/>
    <x v="0"/>
    <m/>
    <m/>
    <m/>
    <m/>
  </r>
  <r>
    <n v="1020"/>
    <x v="89"/>
    <d v="2024-06-11T00:00:00"/>
    <x v="3"/>
    <x v="0"/>
    <m/>
    <n v="1879"/>
    <s v="Cheque"/>
    <s v="2024-06"/>
    <d v="2025-05-10T00:00:00"/>
    <x v="0"/>
    <m/>
    <m/>
    <m/>
    <m/>
  </r>
  <r>
    <n v="92"/>
    <x v="99"/>
    <d v="2024-03-16T00:00:00"/>
    <x v="1"/>
    <x v="0"/>
    <m/>
    <n v="2639"/>
    <s v="Cash"/>
    <s v="2024-03"/>
    <d v="2025-03-30T00:00:00"/>
    <x v="0"/>
    <m/>
    <m/>
    <m/>
    <m/>
  </r>
  <r>
    <n v="1113"/>
    <x v="103"/>
    <d v="2025-01-12T00:00:00"/>
    <x v="1"/>
    <x v="0"/>
    <m/>
    <n v="521"/>
    <s v="UPI"/>
    <s v="2025-01"/>
    <d v="2025-04-19T00:00:00"/>
    <x v="0"/>
    <m/>
    <m/>
    <m/>
    <m/>
  </r>
  <r>
    <n v="1586"/>
    <x v="20"/>
    <d v="2025-05-21T00:00:00"/>
    <x v="3"/>
    <x v="1"/>
    <m/>
    <n v="763"/>
    <s v="Cheque"/>
    <s v="2025-05"/>
    <d v="2025-06-07T00:00:00"/>
    <x v="0"/>
    <m/>
    <m/>
    <m/>
    <m/>
  </r>
  <r>
    <n v="909"/>
    <x v="21"/>
    <d v="2024-02-15T00:00:00"/>
    <x v="3"/>
    <x v="5"/>
    <m/>
    <n v="1005"/>
    <s v="Cash"/>
    <s v="2024-02"/>
    <d v="2025-06-03T00:00:00"/>
    <x v="0"/>
    <m/>
    <m/>
    <m/>
    <m/>
  </r>
  <r>
    <n v="1475"/>
    <x v="95"/>
    <d v="2024-04-06T00:00:00"/>
    <x v="2"/>
    <x v="3"/>
    <m/>
    <n v="245"/>
    <s v="Bank Transfer"/>
    <s v="2024-04"/>
    <d v="2025-06-08T00:00:00"/>
    <x v="0"/>
    <m/>
    <m/>
    <m/>
    <m/>
  </r>
  <r>
    <n v="103"/>
    <x v="99"/>
    <d v="2025-03-30T00:00:00"/>
    <x v="4"/>
    <x v="5"/>
    <m/>
    <n v="1192"/>
    <s v="Bank Transfer"/>
    <s v="2025-03"/>
    <d v="2025-03-30T00:00:00"/>
    <x v="0"/>
    <m/>
    <m/>
    <m/>
    <m/>
  </r>
  <r>
    <n v="239"/>
    <x v="32"/>
    <d v="2024-06-06T00:00:00"/>
    <x v="0"/>
    <x v="1"/>
    <m/>
    <n v="980"/>
    <s v="Cheque"/>
    <s v="2024-06"/>
    <d v="2025-05-07T00:00:00"/>
    <x v="0"/>
    <m/>
    <m/>
    <m/>
    <m/>
  </r>
  <r>
    <n v="1736"/>
    <x v="72"/>
    <d v="2024-12-20T00:00:00"/>
    <x v="1"/>
    <x v="5"/>
    <m/>
    <n v="340"/>
    <s v="UPI"/>
    <s v="2024-12"/>
    <d v="2025-05-21T00:00:00"/>
    <x v="0"/>
    <m/>
    <m/>
    <m/>
    <m/>
  </r>
  <r>
    <n v="943"/>
    <x v="46"/>
    <d v="2024-06-29T00:00:00"/>
    <x v="4"/>
    <x v="3"/>
    <m/>
    <n v="2405"/>
    <s v="Bank Transfer"/>
    <s v="2024-06"/>
    <d v="2025-06-04T00:00:00"/>
    <x v="0"/>
    <m/>
    <m/>
    <m/>
    <m/>
  </r>
  <r>
    <n v="1271"/>
    <x v="88"/>
    <d v="2025-06-23T00:00:00"/>
    <x v="3"/>
    <x v="2"/>
    <m/>
    <n v="10087"/>
    <s v="Cheque"/>
    <s v="2025-06"/>
    <d v="2025-06-23T00:00:00"/>
    <x v="0"/>
    <m/>
    <m/>
    <m/>
    <m/>
  </r>
  <r>
    <n v="939"/>
    <x v="70"/>
    <d v="2025-02-01T00:00:00"/>
    <x v="0"/>
    <x v="2"/>
    <m/>
    <n v="940"/>
    <s v="Cash"/>
    <s v="2025-02"/>
    <d v="2025-05-26T00:00:00"/>
    <x v="0"/>
    <m/>
    <m/>
    <m/>
    <m/>
  </r>
  <r>
    <n v="1534"/>
    <x v="95"/>
    <d v="2024-01-31T00:00:00"/>
    <x v="2"/>
    <x v="5"/>
    <m/>
    <n v="0"/>
    <s v="Credit Card"/>
    <s v="2024-01"/>
    <d v="2025-06-08T00:00:00"/>
    <x v="0"/>
    <m/>
    <m/>
    <m/>
    <m/>
  </r>
  <r>
    <n v="1182"/>
    <x v="88"/>
    <d v="2024-11-03T00:00:00"/>
    <x v="2"/>
    <x v="0"/>
    <m/>
    <n v="858"/>
    <s v="UPI"/>
    <s v="2024-11"/>
    <d v="2025-06-23T00:00:00"/>
    <x v="0"/>
    <m/>
    <m/>
    <m/>
    <m/>
  </r>
  <r>
    <n v="1504"/>
    <x v="52"/>
    <d v="2024-12-03T00:00:00"/>
    <x v="0"/>
    <x v="4"/>
    <m/>
    <n v="10642"/>
    <s v="Credit Card"/>
    <s v="2024-12"/>
    <d v="2025-04-04T00:00:00"/>
    <x v="0"/>
    <m/>
    <m/>
    <m/>
    <m/>
  </r>
  <r>
    <n v="6"/>
    <x v="59"/>
    <d v="2025-01-24T00:00:00"/>
    <x v="0"/>
    <x v="2"/>
    <m/>
    <n v="4325"/>
    <s v="Bank Transfer"/>
    <s v="2025-01"/>
    <d v="2025-06-07T00:00:00"/>
    <x v="0"/>
    <m/>
    <m/>
    <m/>
    <m/>
  </r>
  <r>
    <n v="1641"/>
    <x v="20"/>
    <d v="2025-01-05T00:00:00"/>
    <x v="4"/>
    <x v="1"/>
    <m/>
    <n v="2046"/>
    <s v="Bank Transfer"/>
    <s v="2025-01"/>
    <d v="2025-06-07T00:00:00"/>
    <x v="0"/>
    <m/>
    <m/>
    <m/>
    <m/>
  </r>
  <r>
    <n v="966"/>
    <x v="3"/>
    <d v="2024-05-09T00:00:00"/>
    <x v="1"/>
    <x v="1"/>
    <m/>
    <n v="2363"/>
    <s v="Bank Transfer"/>
    <s v="2024-05"/>
    <d v="2025-06-15T00:00:00"/>
    <x v="0"/>
    <m/>
    <m/>
    <m/>
    <m/>
  </r>
  <r>
    <n v="19"/>
    <x v="9"/>
    <d v="2025-04-29T00:00:00"/>
    <x v="0"/>
    <x v="1"/>
    <m/>
    <n v="1675"/>
    <s v="Cash"/>
    <s v="2025-04"/>
    <d v="2025-04-29T00:00:00"/>
    <x v="0"/>
    <m/>
    <m/>
    <m/>
    <m/>
  </r>
  <r>
    <n v="1431"/>
    <x v="102"/>
    <d v="2024-03-08T00:00:00"/>
    <x v="2"/>
    <x v="5"/>
    <m/>
    <n v="334"/>
    <s v="Credit Card"/>
    <s v="2024-03"/>
    <d v="2025-04-05T00:00:00"/>
    <x v="0"/>
    <m/>
    <m/>
    <m/>
    <m/>
  </r>
  <r>
    <n v="122"/>
    <x v="26"/>
    <d v="2024-12-28T00:00:00"/>
    <x v="0"/>
    <x v="2"/>
    <m/>
    <n v="487"/>
    <s v="Cash"/>
    <s v="2024-12"/>
    <d v="2025-06-01T00:00:00"/>
    <x v="0"/>
    <m/>
    <m/>
    <m/>
    <m/>
  </r>
  <r>
    <n v="662"/>
    <x v="91"/>
    <d v="2024-05-28T00:00:00"/>
    <x v="0"/>
    <x v="2"/>
    <m/>
    <n v="5643"/>
    <s v="UPI"/>
    <s v="2024-05"/>
    <d v="2025-05-04T00:00:00"/>
    <x v="0"/>
    <m/>
    <m/>
    <m/>
    <m/>
  </r>
  <r>
    <n v="1526"/>
    <x v="77"/>
    <d v="2024-03-27T00:00:00"/>
    <x v="0"/>
    <x v="5"/>
    <m/>
    <n v="838"/>
    <s v="Bank Transfer"/>
    <s v="2024-03"/>
    <d v="2025-05-21T00:00:00"/>
    <x v="0"/>
    <m/>
    <m/>
    <m/>
    <m/>
  </r>
  <r>
    <n v="275"/>
    <x v="46"/>
    <d v="2025-02-15T00:00:00"/>
    <x v="3"/>
    <x v="0"/>
    <m/>
    <n v="1366"/>
    <s v="Bank Transfer"/>
    <s v="2025-02"/>
    <d v="2025-06-04T00:00:00"/>
    <x v="0"/>
    <m/>
    <m/>
    <m/>
    <m/>
  </r>
  <r>
    <n v="434"/>
    <x v="96"/>
    <d v="2024-09-22T00:00:00"/>
    <x v="3"/>
    <x v="5"/>
    <m/>
    <n v="1816"/>
    <s v="Cheque"/>
    <s v="2024-09"/>
    <d v="2025-06-07T00:00:00"/>
    <x v="0"/>
    <m/>
    <m/>
    <m/>
    <m/>
  </r>
  <r>
    <n v="812"/>
    <x v="112"/>
    <d v="2024-10-22T00:00:00"/>
    <x v="2"/>
    <x v="4"/>
    <m/>
    <n v="4685"/>
    <s v="Credit Card"/>
    <s v="2024-10"/>
    <d v="2025-06-04T00:00:00"/>
    <x v="0"/>
    <m/>
    <m/>
    <m/>
    <m/>
  </r>
  <r>
    <n v="1301"/>
    <x v="56"/>
    <d v="2024-10-23T00:00:00"/>
    <x v="2"/>
    <x v="0"/>
    <m/>
    <n v="1740"/>
    <s v="Credit Card"/>
    <s v="2024-10"/>
    <d v="2025-04-25T00:00:00"/>
    <x v="0"/>
    <m/>
    <m/>
    <m/>
    <m/>
  </r>
  <r>
    <n v="1336"/>
    <x v="74"/>
    <d v="2025-01-20T00:00:00"/>
    <x v="2"/>
    <x v="5"/>
    <m/>
    <n v="2204"/>
    <s v="Bank Transfer"/>
    <s v="2025-01"/>
    <d v="2025-05-11T00:00:00"/>
    <x v="0"/>
    <m/>
    <m/>
    <m/>
    <m/>
  </r>
  <r>
    <n v="1687"/>
    <x v="91"/>
    <d v="2025-05-04T00:00:00"/>
    <x v="4"/>
    <x v="2"/>
    <m/>
    <n v="867"/>
    <s v="UPI"/>
    <s v="2025-05"/>
    <d v="2025-05-04T00:00:00"/>
    <x v="0"/>
    <m/>
    <m/>
    <m/>
    <m/>
  </r>
  <r>
    <n v="1706"/>
    <x v="92"/>
    <d v="2024-06-19T00:00:00"/>
    <x v="4"/>
    <x v="3"/>
    <m/>
    <n v="2294"/>
    <s v="Cheque"/>
    <s v="2024-06"/>
    <d v="2025-04-20T00:00:00"/>
    <x v="0"/>
    <m/>
    <m/>
    <m/>
    <m/>
  </r>
  <r>
    <n v="182"/>
    <x v="36"/>
    <d v="2024-06-26T00:00:00"/>
    <x v="3"/>
    <x v="5"/>
    <m/>
    <n v="9417"/>
    <s v="Bank Transfer"/>
    <s v="2024-06"/>
    <d v="2025-06-16T00:00:00"/>
    <x v="0"/>
    <m/>
    <m/>
    <m/>
    <m/>
  </r>
  <r>
    <n v="185"/>
    <x v="32"/>
    <d v="2024-10-21T00:00:00"/>
    <x v="2"/>
    <x v="5"/>
    <m/>
    <n v="319"/>
    <s v="Cash"/>
    <s v="2024-10"/>
    <d v="2025-05-07T00:00:00"/>
    <x v="0"/>
    <m/>
    <m/>
    <m/>
    <m/>
  </r>
  <r>
    <n v="407"/>
    <x v="0"/>
    <d v="2025-02-24T00:00:00"/>
    <x v="4"/>
    <x v="3"/>
    <m/>
    <n v="1544"/>
    <s v="Credit Card"/>
    <s v="2025-02"/>
    <d v="2025-05-08T00:00:00"/>
    <x v="0"/>
    <m/>
    <m/>
    <m/>
    <m/>
  </r>
  <r>
    <n v="866"/>
    <x v="95"/>
    <d v="2024-11-09T00:00:00"/>
    <x v="0"/>
    <x v="3"/>
    <m/>
    <n v="9396"/>
    <s v="Cheque"/>
    <s v="2024-11"/>
    <d v="2025-06-08T00:00:00"/>
    <x v="0"/>
    <m/>
    <m/>
    <m/>
    <m/>
  </r>
  <r>
    <n v="521"/>
    <x v="48"/>
    <d v="2024-11-19T00:00:00"/>
    <x v="3"/>
    <x v="3"/>
    <m/>
    <n v="2062"/>
    <s v="Bank Transfer"/>
    <s v="2024-11"/>
    <d v="2025-04-13T00:00:00"/>
    <x v="0"/>
    <m/>
    <m/>
    <m/>
    <m/>
  </r>
  <r>
    <n v="1004"/>
    <x v="38"/>
    <d v="2025-05-29T00:00:00"/>
    <x v="3"/>
    <x v="4"/>
    <m/>
    <n v="1085"/>
    <s v="Credit Card"/>
    <s v="2025-05"/>
    <d v="2025-05-29T00:00:00"/>
    <x v="0"/>
    <m/>
    <m/>
    <m/>
    <m/>
  </r>
  <r>
    <n v="381"/>
    <x v="58"/>
    <d v="2024-07-07T00:00:00"/>
    <x v="2"/>
    <x v="0"/>
    <m/>
    <n v="1450"/>
    <s v="Cheque"/>
    <s v="2024-07"/>
    <d v="2025-06-15T00:00:00"/>
    <x v="0"/>
    <m/>
    <m/>
    <m/>
    <m/>
  </r>
  <r>
    <n v="1435"/>
    <x v="48"/>
    <d v="2024-05-31T00:00:00"/>
    <x v="4"/>
    <x v="4"/>
    <m/>
    <n v="1971"/>
    <s v="Credit Card"/>
    <s v="2024-05"/>
    <d v="2025-04-13T00:00:00"/>
    <x v="0"/>
    <m/>
    <m/>
    <m/>
    <m/>
  </r>
  <r>
    <n v="1394"/>
    <x v="58"/>
    <d v="2024-12-09T00:00:00"/>
    <x v="0"/>
    <x v="5"/>
    <m/>
    <n v="2598"/>
    <s v="Credit Card"/>
    <s v="2024-12"/>
    <d v="2025-06-15T00:00:00"/>
    <x v="0"/>
    <m/>
    <m/>
    <m/>
    <m/>
  </r>
  <r>
    <n v="1425"/>
    <x v="57"/>
    <d v="2025-06-08T00:00:00"/>
    <x v="0"/>
    <x v="3"/>
    <m/>
    <n v="248"/>
    <s v="Bank Transfer"/>
    <s v="2025-06"/>
    <d v="2025-06-08T00:00:00"/>
    <x v="0"/>
    <m/>
    <m/>
    <m/>
    <m/>
  </r>
  <r>
    <n v="428"/>
    <x v="9"/>
    <d v="2024-09-26T00:00:00"/>
    <x v="1"/>
    <x v="3"/>
    <m/>
    <n v="802"/>
    <s v="Bank Transfer"/>
    <s v="2024-09"/>
    <d v="2025-04-29T00:00:00"/>
    <x v="0"/>
    <m/>
    <m/>
    <m/>
    <m/>
  </r>
  <r>
    <n v="79"/>
    <x v="39"/>
    <d v="2024-01-02T00:00:00"/>
    <x v="3"/>
    <x v="1"/>
    <m/>
    <n v="616"/>
    <s v="Cheque"/>
    <s v="2024-01"/>
    <d v="2025-06-22T00:00:00"/>
    <x v="0"/>
    <m/>
    <m/>
    <m/>
    <m/>
  </r>
  <r>
    <n v="1010"/>
    <x v="41"/>
    <d v="2025-06-08T00:00:00"/>
    <x v="4"/>
    <x v="0"/>
    <m/>
    <n v="11600"/>
    <s v="Bank Transfer"/>
    <s v="2025-06"/>
    <d v="2025-06-08T00:00:00"/>
    <x v="0"/>
    <m/>
    <m/>
    <m/>
    <m/>
  </r>
  <r>
    <n v="1779"/>
    <x v="75"/>
    <d v="2025-01-15T00:00:00"/>
    <x v="3"/>
    <x v="0"/>
    <m/>
    <n v="1092"/>
    <s v="Bank Transfer"/>
    <s v="2025-01"/>
    <d v="2025-06-13T00:00:00"/>
    <x v="0"/>
    <m/>
    <m/>
    <m/>
    <m/>
  </r>
  <r>
    <n v="608"/>
    <x v="40"/>
    <d v="2025-05-26T00:00:00"/>
    <x v="4"/>
    <x v="1"/>
    <m/>
    <n v="4312"/>
    <s v="Cheque"/>
    <s v="2025-05"/>
    <d v="2025-05-30T00:00:00"/>
    <x v="0"/>
    <m/>
    <m/>
    <m/>
    <m/>
  </r>
  <r>
    <n v="1613"/>
    <x v="47"/>
    <d v="2025-04-19T00:00:00"/>
    <x v="2"/>
    <x v="0"/>
    <m/>
    <n v="1660"/>
    <s v="Cash"/>
    <s v="2025-04"/>
    <d v="2025-05-11T00:00:00"/>
    <x v="0"/>
    <m/>
    <m/>
    <m/>
    <m/>
  </r>
  <r>
    <n v="1796"/>
    <x v="24"/>
    <d v="2024-06-21T00:00:00"/>
    <x v="4"/>
    <x v="1"/>
    <m/>
    <n v="835"/>
    <s v="Credit Card"/>
    <s v="2024-06"/>
    <d v="2025-06-18T00:00:00"/>
    <x v="0"/>
    <m/>
    <m/>
    <m/>
    <m/>
  </r>
  <r>
    <n v="1668"/>
    <x v="106"/>
    <d v="2024-04-03T00:00:00"/>
    <x v="2"/>
    <x v="4"/>
    <m/>
    <n v="11564"/>
    <s v="Cheque"/>
    <s v="2024-04"/>
    <d v="2025-06-20T00:00:00"/>
    <x v="0"/>
    <m/>
    <m/>
    <m/>
    <m/>
  </r>
  <r>
    <n v="1058"/>
    <x v="19"/>
    <d v="2024-06-02T00:00:00"/>
    <x v="2"/>
    <x v="3"/>
    <m/>
    <n v="2052"/>
    <s v="Cheque"/>
    <s v="2024-06"/>
    <d v="2025-06-19T00:00:00"/>
    <x v="0"/>
    <m/>
    <m/>
    <m/>
    <m/>
  </r>
  <r>
    <n v="1441"/>
    <x v="38"/>
    <d v="2024-12-31T00:00:00"/>
    <x v="3"/>
    <x v="3"/>
    <m/>
    <n v="433"/>
    <s v="Bank Transfer"/>
    <s v="2024-12"/>
    <d v="2025-05-29T00:00:00"/>
    <x v="0"/>
    <m/>
    <m/>
    <m/>
    <m/>
  </r>
  <r>
    <n v="1515"/>
    <x v="4"/>
    <d v="2024-10-22T00:00:00"/>
    <x v="3"/>
    <x v="3"/>
    <m/>
    <n v="4759"/>
    <s v="UPI"/>
    <s v="2024-10"/>
    <d v="2025-05-02T00:00:00"/>
    <x v="0"/>
    <m/>
    <m/>
    <m/>
    <m/>
  </r>
  <r>
    <n v="1092"/>
    <x v="19"/>
    <d v="2025-04-27T00:00:00"/>
    <x v="1"/>
    <x v="1"/>
    <m/>
    <n v="889"/>
    <s v="Cash"/>
    <s v="2025-04"/>
    <d v="2025-06-19T00:00:00"/>
    <x v="0"/>
    <m/>
    <m/>
    <m/>
    <m/>
  </r>
  <r>
    <n v="1102"/>
    <x v="37"/>
    <d v="2024-05-18T00:00:00"/>
    <x v="5"/>
    <x v="2"/>
    <m/>
    <n v="241"/>
    <s v="Cash"/>
    <s v="2024-05"/>
    <d v="2025-06-21T00:00:00"/>
    <x v="0"/>
    <m/>
    <m/>
    <m/>
    <m/>
  </r>
  <r>
    <n v="1130"/>
    <x v="106"/>
    <d v="2024-08-27T00:00:00"/>
    <x v="3"/>
    <x v="3"/>
    <m/>
    <n v="728"/>
    <s v="Bank Transfer"/>
    <s v="2024-08"/>
    <d v="2025-06-20T00:00:00"/>
    <x v="0"/>
    <m/>
    <m/>
    <m/>
    <m/>
  </r>
  <r>
    <n v="1236"/>
    <x v="106"/>
    <d v="2025-05-13T00:00:00"/>
    <x v="1"/>
    <x v="4"/>
    <m/>
    <n v="8412"/>
    <s v="Cheque"/>
    <s v="2025-05"/>
    <d v="2025-06-20T00:00:00"/>
    <x v="0"/>
    <m/>
    <m/>
    <m/>
    <m/>
  </r>
  <r>
    <n v="1596"/>
    <x v="49"/>
    <d v="2024-08-17T00:00:00"/>
    <x v="4"/>
    <x v="5"/>
    <m/>
    <n v="1151"/>
    <s v="Cheque"/>
    <s v="2024-08"/>
    <d v="2025-05-18T00:00:00"/>
    <x v="0"/>
    <m/>
    <m/>
    <m/>
    <m/>
  </r>
  <r>
    <n v="959"/>
    <x v="65"/>
    <d v="2024-03-21T00:00:00"/>
    <x v="0"/>
    <x v="3"/>
    <m/>
    <n v="1790"/>
    <s v="Bank Transfer"/>
    <s v="2024-03"/>
    <d v="2025-06-18T00:00:00"/>
    <x v="0"/>
    <m/>
    <m/>
    <m/>
    <m/>
  </r>
  <r>
    <n v="560"/>
    <x v="43"/>
    <d v="2024-07-03T00:00:00"/>
    <x v="3"/>
    <x v="3"/>
    <m/>
    <n v="566"/>
    <s v="UPI"/>
    <s v="2024-07"/>
    <d v="2025-06-13T00:00:00"/>
    <x v="0"/>
    <m/>
    <m/>
    <m/>
    <m/>
  </r>
  <r>
    <n v="847"/>
    <x v="98"/>
    <d v="2025-02-05T00:00:00"/>
    <x v="0"/>
    <x v="2"/>
    <m/>
    <n v="359"/>
    <s v="Cash"/>
    <s v="2025-02"/>
    <d v="2025-05-05T00:00:00"/>
    <x v="0"/>
    <m/>
    <m/>
    <m/>
    <m/>
  </r>
  <r>
    <n v="691"/>
    <x v="20"/>
    <d v="2025-01-12T00:00:00"/>
    <x v="4"/>
    <x v="1"/>
    <m/>
    <n v="628"/>
    <s v="Cheque"/>
    <s v="2025-01"/>
    <d v="2025-06-07T00:00:00"/>
    <x v="0"/>
    <m/>
    <m/>
    <m/>
    <m/>
  </r>
  <r>
    <n v="1520"/>
    <x v="76"/>
    <d v="2024-09-15T00:00:00"/>
    <x v="3"/>
    <x v="3"/>
    <m/>
    <n v="11661"/>
    <s v="UPI"/>
    <s v="2024-09"/>
    <d v="2025-03-18T00:00:00"/>
    <x v="1"/>
    <m/>
    <m/>
    <m/>
    <m/>
  </r>
  <r>
    <n v="1748"/>
    <x v="1"/>
    <d v="2025-02-16T00:00:00"/>
    <x v="4"/>
    <x v="3"/>
    <m/>
    <n v="347"/>
    <s v="Credit Card"/>
    <s v="2025-02"/>
    <d v="2025-06-05T00:00:00"/>
    <x v="0"/>
    <m/>
    <m/>
    <m/>
    <m/>
  </r>
  <r>
    <n v="1684"/>
    <x v="17"/>
    <d v="2024-08-19T00:00:00"/>
    <x v="1"/>
    <x v="0"/>
    <m/>
    <n v="1751"/>
    <s v="Cash"/>
    <s v="2024-08"/>
    <d v="2025-05-21T00:00:00"/>
    <x v="0"/>
    <m/>
    <m/>
    <m/>
    <m/>
  </r>
  <r>
    <n v="437"/>
    <x v="97"/>
    <d v="2025-06-13T00:00:00"/>
    <x v="1"/>
    <x v="1"/>
    <m/>
    <n v="2251"/>
    <s v="Cheque"/>
    <s v="2025-06"/>
    <d v="2025-06-13T00:00:00"/>
    <x v="0"/>
    <m/>
    <m/>
    <m/>
    <m/>
  </r>
  <r>
    <n v="491"/>
    <x v="89"/>
    <d v="2024-12-26T00:00:00"/>
    <x v="1"/>
    <x v="4"/>
    <m/>
    <n v="9104"/>
    <s v="UPI"/>
    <s v="2024-12"/>
    <d v="2025-05-10T00:00:00"/>
    <x v="0"/>
    <m/>
    <m/>
    <m/>
    <m/>
  </r>
  <r>
    <n v="1463"/>
    <x v="25"/>
    <d v="2024-09-13T00:00:00"/>
    <x v="2"/>
    <x v="0"/>
    <m/>
    <n v="1197"/>
    <s v="Credit Card"/>
    <s v="2024-09"/>
    <d v="2025-03-24T00:00:00"/>
    <x v="1"/>
    <m/>
    <m/>
    <m/>
    <m/>
  </r>
  <r>
    <n v="1660"/>
    <x v="114"/>
    <d v="2024-11-26T00:00:00"/>
    <x v="4"/>
    <x v="4"/>
    <m/>
    <n v="10679"/>
    <s v="Cheque"/>
    <s v="2024-11"/>
    <d v="2025-05-08T00:00:00"/>
    <x v="0"/>
    <m/>
    <m/>
    <m/>
    <m/>
  </r>
  <r>
    <n v="1388"/>
    <x v="63"/>
    <d v="2025-01-17T00:00:00"/>
    <x v="0"/>
    <x v="0"/>
    <m/>
    <n v="2199"/>
    <s v="Credit Card"/>
    <s v="2025-01"/>
    <d v="2025-06-11T00:00:00"/>
    <x v="0"/>
    <m/>
    <m/>
    <m/>
    <m/>
  </r>
  <r>
    <n v="70"/>
    <x v="19"/>
    <d v="2025-06-19T00:00:00"/>
    <x v="0"/>
    <x v="1"/>
    <m/>
    <n v="2860"/>
    <s v="Cash"/>
    <s v="2025-06"/>
    <d v="2025-06-19T00:00:00"/>
    <x v="0"/>
    <m/>
    <m/>
    <m/>
    <m/>
  </r>
  <r>
    <n v="809"/>
    <x v="19"/>
    <d v="2025-04-04T00:00:00"/>
    <x v="3"/>
    <x v="2"/>
    <m/>
    <n v="2003"/>
    <s v="UPI"/>
    <s v="2025-04"/>
    <d v="2025-06-19T00:00:00"/>
    <x v="0"/>
    <m/>
    <m/>
    <m/>
    <m/>
  </r>
  <r>
    <n v="1185"/>
    <x v="92"/>
    <d v="2024-07-05T00:00:00"/>
    <x v="2"/>
    <x v="5"/>
    <m/>
    <n v="9882"/>
    <s v="Credit Card"/>
    <s v="2024-07"/>
    <d v="2025-04-20T00:00:00"/>
    <x v="0"/>
    <m/>
    <m/>
    <m/>
    <m/>
  </r>
  <r>
    <n v="12"/>
    <x v="40"/>
    <d v="2024-09-30T00:00:00"/>
    <x v="1"/>
    <x v="3"/>
    <m/>
    <n v="2435"/>
    <s v="Cash"/>
    <s v="2024-09"/>
    <d v="2025-05-30T00:00:00"/>
    <x v="0"/>
    <m/>
    <m/>
    <m/>
    <m/>
  </r>
  <r>
    <n v="145"/>
    <x v="108"/>
    <d v="2024-04-23T00:00:00"/>
    <x v="1"/>
    <x v="4"/>
    <m/>
    <n v="2122"/>
    <s v="Credit Card"/>
    <s v="2024-04"/>
    <d v="2025-06-14T00:00:00"/>
    <x v="0"/>
    <m/>
    <m/>
    <m/>
    <m/>
  </r>
  <r>
    <n v="918"/>
    <x v="93"/>
    <d v="2025-04-30T00:00:00"/>
    <x v="2"/>
    <x v="3"/>
    <m/>
    <n v="4722"/>
    <s v="Credit Card"/>
    <s v="2025-04"/>
    <d v="2025-06-16T00:00:00"/>
    <x v="0"/>
    <m/>
    <m/>
    <m/>
    <m/>
  </r>
  <r>
    <n v="1542"/>
    <x v="52"/>
    <d v="2025-02-11T00:00:00"/>
    <x v="3"/>
    <x v="3"/>
    <m/>
    <n v="477"/>
    <s v="Cash"/>
    <s v="2025-02"/>
    <d v="2025-04-04T00:00:00"/>
    <x v="0"/>
    <m/>
    <m/>
    <m/>
    <m/>
  </r>
  <r>
    <n v="1452"/>
    <x v="16"/>
    <d v="2025-05-28T00:00:00"/>
    <x v="4"/>
    <x v="4"/>
    <m/>
    <n v="5361"/>
    <s v="Cheque"/>
    <s v="2025-05"/>
    <d v="2025-05-28T00:00:00"/>
    <x v="0"/>
    <m/>
    <m/>
    <m/>
    <m/>
  </r>
  <r>
    <n v="640"/>
    <x v="39"/>
    <d v="2024-03-19T00:00:00"/>
    <x v="3"/>
    <x v="1"/>
    <m/>
    <n v="264"/>
    <s v="Cash"/>
    <s v="2024-03"/>
    <d v="2025-06-22T00:00:00"/>
    <x v="0"/>
    <m/>
    <m/>
    <m/>
    <m/>
  </r>
  <r>
    <n v="177"/>
    <x v="54"/>
    <d v="2024-05-23T00:00:00"/>
    <x v="3"/>
    <x v="5"/>
    <m/>
    <n v="1436"/>
    <s v="Cheque"/>
    <s v="2024-05"/>
    <d v="2025-02-10T00:00:00"/>
    <x v="1"/>
    <m/>
    <m/>
    <m/>
    <m/>
  </r>
  <r>
    <n v="995"/>
    <x v="76"/>
    <d v="2024-10-24T00:00:00"/>
    <x v="4"/>
    <x v="0"/>
    <m/>
    <n v="8669"/>
    <s v="Credit Card"/>
    <s v="2024-10"/>
    <d v="2025-03-18T00:00:00"/>
    <x v="1"/>
    <m/>
    <m/>
    <m/>
    <m/>
  </r>
  <r>
    <n v="441"/>
    <x v="55"/>
    <d v="2025-02-18T00:00:00"/>
    <x v="2"/>
    <x v="3"/>
    <m/>
    <n v="1406"/>
    <s v="Bank Transfer"/>
    <s v="2025-02"/>
    <d v="2025-06-22T00:00:00"/>
    <x v="0"/>
    <m/>
    <m/>
    <m/>
    <m/>
  </r>
  <r>
    <n v="522"/>
    <x v="17"/>
    <d v="2024-10-14T00:00:00"/>
    <x v="2"/>
    <x v="5"/>
    <m/>
    <n v="788"/>
    <s v="Credit Card"/>
    <s v="2024-10"/>
    <d v="2025-05-21T00:00:00"/>
    <x v="0"/>
    <m/>
    <m/>
    <m/>
    <m/>
  </r>
  <r>
    <n v="1786"/>
    <x v="1"/>
    <d v="2024-06-01T00:00:00"/>
    <x v="4"/>
    <x v="4"/>
    <m/>
    <n v="300"/>
    <s v="Credit Card"/>
    <s v="2024-06"/>
    <d v="2025-06-05T00:00:00"/>
    <x v="0"/>
    <m/>
    <m/>
    <m/>
    <m/>
  </r>
  <r>
    <n v="1752"/>
    <x v="31"/>
    <d v="2024-10-10T00:00:00"/>
    <x v="2"/>
    <x v="1"/>
    <m/>
    <n v="4898"/>
    <s v="Bank Transfer"/>
    <s v="2024-10"/>
    <d v="2025-05-16T00:00:00"/>
    <x v="0"/>
    <m/>
    <m/>
    <m/>
    <m/>
  </r>
  <r>
    <n v="1005"/>
    <x v="2"/>
    <d v="2024-08-12T00:00:00"/>
    <x v="0"/>
    <x v="5"/>
    <m/>
    <n v="2249"/>
    <s v="Cash"/>
    <s v="2024-08"/>
    <d v="2025-06-10T00:00:00"/>
    <x v="0"/>
    <m/>
    <m/>
    <m/>
    <m/>
  </r>
  <r>
    <n v="1256"/>
    <x v="95"/>
    <d v="2025-05-24T00:00:00"/>
    <x v="0"/>
    <x v="3"/>
    <m/>
    <n v="1213"/>
    <s v="Cash"/>
    <s v="2025-05"/>
    <d v="2025-06-08T00:00:00"/>
    <x v="0"/>
    <m/>
    <m/>
    <m/>
    <m/>
  </r>
  <r>
    <n v="1235"/>
    <x v="85"/>
    <d v="2024-03-13T00:00:00"/>
    <x v="1"/>
    <x v="5"/>
    <m/>
    <n v="476"/>
    <s v="Bank Transfer"/>
    <s v="2024-03"/>
    <d v="2025-04-17T00:00:00"/>
    <x v="0"/>
    <m/>
    <m/>
    <m/>
    <m/>
  </r>
  <r>
    <n v="144"/>
    <x v="51"/>
    <d v="2025-04-25T00:00:00"/>
    <x v="3"/>
    <x v="3"/>
    <m/>
    <n v="808"/>
    <s v="Credit Card"/>
    <s v="2025-04"/>
    <d v="2025-06-22T00:00:00"/>
    <x v="0"/>
    <m/>
    <m/>
    <m/>
    <m/>
  </r>
  <r>
    <n v="754"/>
    <x v="82"/>
    <d v="2025-03-13T00:00:00"/>
    <x v="2"/>
    <x v="5"/>
    <m/>
    <n v="853"/>
    <s v="Cash"/>
    <s v="2025-03"/>
    <d v="2025-06-21T00:00:00"/>
    <x v="0"/>
    <m/>
    <m/>
    <m/>
    <m/>
  </r>
  <r>
    <n v="520"/>
    <x v="81"/>
    <d v="2025-04-16T00:00:00"/>
    <x v="3"/>
    <x v="5"/>
    <m/>
    <n v="334"/>
    <s v="Cash"/>
    <s v="2025-04"/>
    <d v="2025-06-20T00:00:00"/>
    <x v="0"/>
    <m/>
    <m/>
    <m/>
    <m/>
  </r>
  <r>
    <n v="823"/>
    <x v="107"/>
    <d v="2024-06-14T00:00:00"/>
    <x v="2"/>
    <x v="3"/>
    <m/>
    <n v="719"/>
    <s v="Cheque"/>
    <s v="2024-06"/>
    <d v="2025-04-12T00:00:00"/>
    <x v="0"/>
    <m/>
    <m/>
    <m/>
    <m/>
  </r>
  <r>
    <n v="429"/>
    <x v="96"/>
    <d v="2024-10-02T00:00:00"/>
    <x v="4"/>
    <x v="1"/>
    <m/>
    <n v="1788"/>
    <s v="Credit Card"/>
    <s v="2024-10"/>
    <d v="2025-06-07T00:00:00"/>
    <x v="0"/>
    <m/>
    <m/>
    <m/>
    <m/>
  </r>
  <r>
    <n v="1506"/>
    <x v="70"/>
    <d v="2024-04-03T00:00:00"/>
    <x v="3"/>
    <x v="3"/>
    <m/>
    <n v="1740"/>
    <s v="Credit Card"/>
    <s v="2024-04"/>
    <d v="2025-05-26T00:00:00"/>
    <x v="0"/>
    <m/>
    <m/>
    <m/>
    <m/>
  </r>
  <r>
    <n v="1033"/>
    <x v="93"/>
    <d v="2024-03-01T00:00:00"/>
    <x v="4"/>
    <x v="0"/>
    <m/>
    <n v="5848"/>
    <s v="UPI"/>
    <s v="2024-03"/>
    <d v="2025-06-16T00:00:00"/>
    <x v="0"/>
    <m/>
    <m/>
    <m/>
    <m/>
  </r>
  <r>
    <n v="157"/>
    <x v="33"/>
    <d v="2024-02-03T00:00:00"/>
    <x v="4"/>
    <x v="2"/>
    <m/>
    <n v="354"/>
    <s v="Bank Transfer"/>
    <s v="2024-02"/>
    <d v="2025-03-13T00:00:00"/>
    <x v="1"/>
    <m/>
    <m/>
    <m/>
    <m/>
  </r>
  <r>
    <n v="540"/>
    <x v="112"/>
    <d v="2024-01-01T00:00:00"/>
    <x v="4"/>
    <x v="2"/>
    <m/>
    <n v="1472"/>
    <s v="Bank Transfer"/>
    <s v="2024-01"/>
    <d v="2025-06-04T00:00:00"/>
    <x v="0"/>
    <m/>
    <m/>
    <m/>
    <m/>
  </r>
  <r>
    <n v="1531"/>
    <x v="33"/>
    <d v="2024-02-19T00:00:00"/>
    <x v="4"/>
    <x v="4"/>
    <m/>
    <n v="1052"/>
    <s v="Credit Card"/>
    <s v="2024-02"/>
    <d v="2025-03-13T00:00:00"/>
    <x v="1"/>
    <m/>
    <m/>
    <m/>
    <m/>
  </r>
  <r>
    <n v="1461"/>
    <x v="73"/>
    <d v="2024-01-04T00:00:00"/>
    <x v="2"/>
    <x v="5"/>
    <m/>
    <n v="1268"/>
    <s v="Cash"/>
    <s v="2024-01"/>
    <d v="2025-05-17T00:00:00"/>
    <x v="0"/>
    <m/>
    <m/>
    <m/>
    <m/>
  </r>
  <r>
    <n v="1291"/>
    <x v="97"/>
    <d v="2025-04-10T00:00:00"/>
    <x v="1"/>
    <x v="4"/>
    <m/>
    <n v="1372"/>
    <s v="Credit Card"/>
    <s v="2025-04"/>
    <d v="2025-06-13T00:00:00"/>
    <x v="0"/>
    <m/>
    <m/>
    <m/>
    <m/>
  </r>
  <r>
    <n v="462"/>
    <x v="48"/>
    <d v="2025-03-24T00:00:00"/>
    <x v="1"/>
    <x v="0"/>
    <m/>
    <n v="263"/>
    <s v="Credit Card"/>
    <s v="2025-03"/>
    <d v="2025-04-13T00:00:00"/>
    <x v="0"/>
    <m/>
    <m/>
    <m/>
    <m/>
  </r>
  <r>
    <n v="577"/>
    <x v="95"/>
    <d v="2024-02-16T00:00:00"/>
    <x v="4"/>
    <x v="5"/>
    <m/>
    <n v="848"/>
    <s v="Credit Card"/>
    <s v="2024-02"/>
    <d v="2025-06-08T00:00:00"/>
    <x v="0"/>
    <m/>
    <m/>
    <m/>
    <m/>
  </r>
  <r>
    <n v="1363"/>
    <x v="91"/>
    <d v="2025-02-21T00:00:00"/>
    <x v="0"/>
    <x v="3"/>
    <m/>
    <n v="2885"/>
    <s v="Bank Transfer"/>
    <s v="2025-02"/>
    <d v="2025-05-04T00:00:00"/>
    <x v="0"/>
    <m/>
    <m/>
    <m/>
    <m/>
  </r>
  <r>
    <n v="256"/>
    <x v="99"/>
    <d v="2024-03-30T00:00:00"/>
    <x v="2"/>
    <x v="4"/>
    <m/>
    <n v="2249"/>
    <s v="Cheque"/>
    <s v="2024-03"/>
    <d v="2025-03-30T00:00:00"/>
    <x v="0"/>
    <m/>
    <m/>
    <m/>
    <m/>
  </r>
  <r>
    <n v="980"/>
    <x v="3"/>
    <d v="2025-01-23T00:00:00"/>
    <x v="4"/>
    <x v="4"/>
    <m/>
    <n v="254"/>
    <s v="Bank Transfer"/>
    <s v="2025-01"/>
    <d v="2025-06-15T00:00:00"/>
    <x v="0"/>
    <m/>
    <m/>
    <m/>
    <m/>
  </r>
  <r>
    <n v="1186"/>
    <x v="98"/>
    <d v="2025-03-29T00:00:00"/>
    <x v="3"/>
    <x v="4"/>
    <m/>
    <n v="2223"/>
    <s v="Credit Card"/>
    <s v="2025-03"/>
    <d v="2025-05-05T00:00:00"/>
    <x v="0"/>
    <m/>
    <m/>
    <m/>
    <m/>
  </r>
  <r>
    <n v="1007"/>
    <x v="57"/>
    <d v="2025-03-02T00:00:00"/>
    <x v="4"/>
    <x v="5"/>
    <m/>
    <n v="2086"/>
    <s v="Cheque"/>
    <s v="2025-03"/>
    <d v="2025-06-08T00:00:00"/>
    <x v="0"/>
    <m/>
    <m/>
    <m/>
    <m/>
  </r>
  <r>
    <n v="1522"/>
    <x v="12"/>
    <d v="2024-03-08T00:00:00"/>
    <x v="0"/>
    <x v="0"/>
    <m/>
    <n v="2726"/>
    <s v="Cheque"/>
    <s v="2024-03"/>
    <d v="2025-05-28T00:00:00"/>
    <x v="0"/>
    <m/>
    <m/>
    <m/>
    <m/>
  </r>
  <r>
    <n v="561"/>
    <x v="67"/>
    <d v="2024-10-17T00:00:00"/>
    <x v="4"/>
    <x v="3"/>
    <m/>
    <n v="524"/>
    <s v="UPI"/>
    <s v="2024-10"/>
    <d v="2025-06-21T00:00:00"/>
    <x v="0"/>
    <m/>
    <m/>
    <m/>
    <m/>
  </r>
  <r>
    <n v="209"/>
    <x v="14"/>
    <d v="2025-03-02T00:00:00"/>
    <x v="4"/>
    <x v="5"/>
    <m/>
    <n v="655"/>
    <s v="Cheque"/>
    <s v="2025-03"/>
    <d v="2025-04-16T00:00:00"/>
    <x v="0"/>
    <m/>
    <m/>
    <m/>
    <m/>
  </r>
  <r>
    <n v="911"/>
    <x v="89"/>
    <d v="2024-10-15T00:00:00"/>
    <x v="2"/>
    <x v="0"/>
    <m/>
    <n v="4237"/>
    <s v="UPI"/>
    <s v="2024-10"/>
    <d v="2025-05-10T00:00:00"/>
    <x v="0"/>
    <m/>
    <m/>
    <m/>
    <m/>
  </r>
  <r>
    <n v="1312"/>
    <x v="108"/>
    <d v="2024-08-30T00:00:00"/>
    <x v="2"/>
    <x v="3"/>
    <m/>
    <n v="545"/>
    <s v="Bank Transfer"/>
    <s v="2024-08"/>
    <d v="2025-06-14T00:00:00"/>
    <x v="0"/>
    <m/>
    <m/>
    <m/>
    <m/>
  </r>
  <r>
    <n v="2"/>
    <x v="101"/>
    <d v="2024-01-31T00:00:00"/>
    <x v="4"/>
    <x v="4"/>
    <m/>
    <n v="10408"/>
    <s v="Cheque"/>
    <s v="2024-01"/>
    <d v="2025-06-23T00:00:00"/>
    <x v="0"/>
    <m/>
    <m/>
    <m/>
    <m/>
  </r>
  <r>
    <n v="1366"/>
    <x v="67"/>
    <d v="2024-01-05T00:00:00"/>
    <x v="3"/>
    <x v="2"/>
    <m/>
    <n v="1644"/>
    <s v="Bank Transfer"/>
    <s v="2024-01"/>
    <d v="2025-06-21T00:00:00"/>
    <x v="0"/>
    <m/>
    <m/>
    <m/>
    <m/>
  </r>
  <r>
    <n v="270"/>
    <x v="28"/>
    <d v="2024-11-18T00:00:00"/>
    <x v="4"/>
    <x v="4"/>
    <m/>
    <n v="2645"/>
    <s v="Credit Card"/>
    <s v="2024-11"/>
    <d v="2025-04-29T00:00:00"/>
    <x v="0"/>
    <m/>
    <m/>
    <m/>
    <m/>
  </r>
  <r>
    <n v="266"/>
    <x v="58"/>
    <d v="2024-08-19T00:00:00"/>
    <x v="0"/>
    <x v="3"/>
    <m/>
    <n v="539"/>
    <s v="UPI"/>
    <s v="2024-08"/>
    <d v="2025-06-15T00:00:00"/>
    <x v="0"/>
    <m/>
    <m/>
    <m/>
    <m/>
  </r>
  <r>
    <n v="915"/>
    <x v="43"/>
    <d v="2024-12-27T00:00:00"/>
    <x v="0"/>
    <x v="1"/>
    <m/>
    <n v="323"/>
    <s v="Cash"/>
    <s v="2024-12"/>
    <d v="2025-06-13T00:00:00"/>
    <x v="0"/>
    <m/>
    <m/>
    <m/>
    <m/>
  </r>
  <r>
    <n v="231"/>
    <x v="51"/>
    <d v="2025-03-17T00:00:00"/>
    <x v="3"/>
    <x v="0"/>
    <m/>
    <n v="9632"/>
    <s v="UPI"/>
    <s v="2025-03"/>
    <d v="2025-06-22T00:00:00"/>
    <x v="0"/>
    <m/>
    <m/>
    <m/>
    <m/>
  </r>
  <r>
    <n v="1782"/>
    <x v="29"/>
    <d v="2024-11-14T00:00:00"/>
    <x v="2"/>
    <x v="2"/>
    <m/>
    <n v="1198"/>
    <s v="Credit Card"/>
    <s v="2024-11"/>
    <d v="2025-04-26T00:00:00"/>
    <x v="0"/>
    <m/>
    <m/>
    <m/>
    <m/>
  </r>
  <r>
    <n v="1120"/>
    <x v="103"/>
    <d v="2024-04-29T00:00:00"/>
    <x v="5"/>
    <x v="4"/>
    <m/>
    <n v="874"/>
    <s v="Cheque"/>
    <s v="2024-04"/>
    <d v="2025-04-19T00:00:00"/>
    <x v="0"/>
    <m/>
    <m/>
    <m/>
    <m/>
  </r>
  <r>
    <n v="1777"/>
    <x v="96"/>
    <d v="2024-01-07T00:00:00"/>
    <x v="4"/>
    <x v="1"/>
    <m/>
    <n v="1259"/>
    <s v="Cheque"/>
    <s v="2024-01"/>
    <d v="2025-06-07T00:00:00"/>
    <x v="0"/>
    <m/>
    <m/>
    <m/>
    <m/>
  </r>
  <r>
    <n v="865"/>
    <x v="12"/>
    <d v="2024-10-06T00:00:00"/>
    <x v="4"/>
    <x v="5"/>
    <m/>
    <n v="420"/>
    <s v="Credit Card"/>
    <s v="2024-10"/>
    <d v="2025-05-28T00:00:00"/>
    <x v="0"/>
    <m/>
    <m/>
    <m/>
    <m/>
  </r>
  <r>
    <n v="1067"/>
    <x v="10"/>
    <d v="2025-04-05T00:00:00"/>
    <x v="0"/>
    <x v="5"/>
    <m/>
    <n v="324"/>
    <s v="Credit Card"/>
    <s v="2025-04"/>
    <d v="2025-05-17T00:00:00"/>
    <x v="0"/>
    <m/>
    <m/>
    <m/>
    <m/>
  </r>
  <r>
    <n v="874"/>
    <x v="33"/>
    <d v="2024-02-13T00:00:00"/>
    <x v="0"/>
    <x v="4"/>
    <m/>
    <n v="11615"/>
    <s v="Credit Card"/>
    <s v="2024-02"/>
    <d v="2025-03-13T00:00:00"/>
    <x v="1"/>
    <m/>
    <m/>
    <m/>
    <m/>
  </r>
  <r>
    <n v="1623"/>
    <x v="106"/>
    <d v="2025-04-24T00:00:00"/>
    <x v="3"/>
    <x v="1"/>
    <m/>
    <n v="886"/>
    <s v="Bank Transfer"/>
    <s v="2025-04"/>
    <d v="2025-06-20T00:00:00"/>
    <x v="0"/>
    <m/>
    <m/>
    <m/>
    <m/>
  </r>
  <r>
    <n v="399"/>
    <x v="1"/>
    <d v="2025-02-05T00:00:00"/>
    <x v="3"/>
    <x v="2"/>
    <m/>
    <n v="2134"/>
    <s v="Cheque"/>
    <s v="2025-02"/>
    <d v="2025-06-05T00:00:00"/>
    <x v="0"/>
    <m/>
    <m/>
    <m/>
    <m/>
  </r>
  <r>
    <n v="1650"/>
    <x v="91"/>
    <d v="2024-10-21T00:00:00"/>
    <x v="3"/>
    <x v="5"/>
    <m/>
    <n v="276"/>
    <s v="Cash"/>
    <s v="2024-10"/>
    <d v="2025-05-04T00:00:00"/>
    <x v="0"/>
    <m/>
    <m/>
    <m/>
    <m/>
  </r>
  <r>
    <n v="46"/>
    <x v="5"/>
    <d v="2024-08-12T00:00:00"/>
    <x v="3"/>
    <x v="1"/>
    <m/>
    <n v="511"/>
    <s v="UPI"/>
    <s v="2024-08"/>
    <d v="2025-05-24T00:00:00"/>
    <x v="0"/>
    <m/>
    <m/>
    <m/>
    <m/>
  </r>
  <r>
    <n v="162"/>
    <x v="116"/>
    <d v="2025-01-12T00:00:00"/>
    <x v="3"/>
    <x v="4"/>
    <m/>
    <n v="826"/>
    <s v="Cash"/>
    <s v="2025-01"/>
    <d v="2025-05-20T00:00:00"/>
    <x v="0"/>
    <m/>
    <m/>
    <m/>
    <m/>
  </r>
  <r>
    <n v="992"/>
    <x v="64"/>
    <d v="2024-01-04T00:00:00"/>
    <x v="4"/>
    <x v="0"/>
    <m/>
    <n v="329"/>
    <s v="Credit Card"/>
    <s v="2024-01"/>
    <d v="2025-04-28T00:00:00"/>
    <x v="0"/>
    <m/>
    <m/>
    <m/>
    <m/>
  </r>
  <r>
    <n v="728"/>
    <x v="87"/>
    <d v="2025-02-22T00:00:00"/>
    <x v="2"/>
    <x v="5"/>
    <m/>
    <n v="2040"/>
    <s v="Credit Card"/>
    <s v="2025-02"/>
    <d v="2025-05-02T00:00:00"/>
    <x v="0"/>
    <m/>
    <m/>
    <m/>
    <m/>
  </r>
  <r>
    <n v="630"/>
    <x v="4"/>
    <d v="2024-09-04T00:00:00"/>
    <x v="3"/>
    <x v="3"/>
    <m/>
    <n v="1128"/>
    <s v="UPI"/>
    <s v="2024-09"/>
    <d v="2025-05-02T00:00:00"/>
    <x v="0"/>
    <m/>
    <m/>
    <m/>
    <m/>
  </r>
  <r>
    <n v="289"/>
    <x v="61"/>
    <d v="2024-11-18T00:00:00"/>
    <x v="0"/>
    <x v="2"/>
    <m/>
    <n v="4636"/>
    <s v="Bank Transfer"/>
    <s v="2024-11"/>
    <d v="2025-05-18T00:00:00"/>
    <x v="0"/>
    <m/>
    <m/>
    <m/>
    <m/>
  </r>
  <r>
    <n v="1614"/>
    <x v="30"/>
    <d v="2024-12-24T00:00:00"/>
    <x v="0"/>
    <x v="5"/>
    <m/>
    <n v="2747"/>
    <s v="Bank Transfer"/>
    <s v="2024-12"/>
    <d v="2025-05-17T00:00:00"/>
    <x v="0"/>
    <m/>
    <m/>
    <m/>
    <m/>
  </r>
  <r>
    <n v="1060"/>
    <x v="80"/>
    <d v="2024-09-05T00:00:00"/>
    <x v="1"/>
    <x v="4"/>
    <m/>
    <n v="278"/>
    <s v="UPI"/>
    <s v="2024-09"/>
    <d v="2025-02-25T00:00:00"/>
    <x v="1"/>
    <m/>
    <m/>
    <m/>
    <m/>
  </r>
  <r>
    <n v="1763"/>
    <x v="15"/>
    <d v="2024-10-18T00:00:00"/>
    <x v="2"/>
    <x v="0"/>
    <m/>
    <n v="2627"/>
    <s v="UPI"/>
    <s v="2024-10"/>
    <d v="2025-05-15T00:00:00"/>
    <x v="0"/>
    <m/>
    <m/>
    <m/>
    <m/>
  </r>
  <r>
    <n v="576"/>
    <x v="74"/>
    <d v="2024-07-26T00:00:00"/>
    <x v="1"/>
    <x v="2"/>
    <m/>
    <n v="697"/>
    <s v="Cheque"/>
    <s v="2024-07"/>
    <d v="2025-05-11T00:00:00"/>
    <x v="0"/>
    <m/>
    <m/>
    <m/>
    <m/>
  </r>
  <r>
    <n v="851"/>
    <x v="5"/>
    <d v="2025-04-30T00:00:00"/>
    <x v="2"/>
    <x v="3"/>
    <m/>
    <n v="10600"/>
    <s v="Cheque"/>
    <s v="2025-04"/>
    <d v="2025-05-24T00:00:00"/>
    <x v="0"/>
    <m/>
    <m/>
    <m/>
    <m/>
  </r>
  <r>
    <n v="1340"/>
    <x v="82"/>
    <d v="2024-02-05T00:00:00"/>
    <x v="1"/>
    <x v="5"/>
    <m/>
    <n v="577"/>
    <s v="UPI"/>
    <s v="2024-02"/>
    <d v="2025-06-21T00:00:00"/>
    <x v="0"/>
    <m/>
    <m/>
    <m/>
    <m/>
  </r>
  <r>
    <n v="912"/>
    <x v="22"/>
    <d v="2024-07-04T00:00:00"/>
    <x v="0"/>
    <x v="4"/>
    <m/>
    <n v="2625"/>
    <s v="Bank Transfer"/>
    <s v="2024-07"/>
    <d v="2025-06-09T00:00:00"/>
    <x v="0"/>
    <m/>
    <m/>
    <m/>
    <m/>
  </r>
  <r>
    <n v="1255"/>
    <x v="25"/>
    <d v="2024-08-21T00:00:00"/>
    <x v="1"/>
    <x v="2"/>
    <m/>
    <n v="11284"/>
    <s v="Credit Card"/>
    <s v="2024-08"/>
    <d v="2025-03-24T00:00:00"/>
    <x v="1"/>
    <m/>
    <m/>
    <m/>
    <m/>
  </r>
  <r>
    <n v="1643"/>
    <x v="43"/>
    <d v="2024-12-16T00:00:00"/>
    <x v="1"/>
    <x v="4"/>
    <m/>
    <n v="0"/>
    <s v="Bank Transfer"/>
    <s v="2024-12"/>
    <d v="2025-06-13T00:00:00"/>
    <x v="0"/>
    <m/>
    <m/>
    <m/>
    <m/>
  </r>
  <r>
    <n v="933"/>
    <x v="73"/>
    <d v="2025-01-31T00:00:00"/>
    <x v="4"/>
    <x v="0"/>
    <m/>
    <n v="1183"/>
    <s v="Cheque"/>
    <s v="2025-01"/>
    <d v="2025-05-17T00:00:00"/>
    <x v="0"/>
    <m/>
    <m/>
    <m/>
    <m/>
  </r>
  <r>
    <n v="1101"/>
    <x v="80"/>
    <d v="2024-07-28T00:00:00"/>
    <x v="3"/>
    <x v="2"/>
    <m/>
    <n v="5039"/>
    <s v="Bank Transfer"/>
    <s v="2024-07"/>
    <d v="2025-02-25T00:00:00"/>
    <x v="1"/>
    <m/>
    <m/>
    <m/>
    <m/>
  </r>
  <r>
    <n v="1208"/>
    <x v="101"/>
    <d v="2024-05-07T00:00:00"/>
    <x v="4"/>
    <x v="0"/>
    <m/>
    <n v="8487"/>
    <s v="Credit Card"/>
    <s v="2024-05"/>
    <d v="2025-06-23T00:00:00"/>
    <x v="0"/>
    <m/>
    <m/>
    <m/>
    <m/>
  </r>
  <r>
    <n v="248"/>
    <x v="23"/>
    <d v="2024-11-16T00:00:00"/>
    <x v="0"/>
    <x v="0"/>
    <m/>
    <n v="776"/>
    <s v="Bank Transfer"/>
    <s v="2024-11"/>
    <d v="2025-06-21T00:00:00"/>
    <x v="0"/>
    <m/>
    <m/>
    <m/>
    <m/>
  </r>
  <r>
    <n v="477"/>
    <x v="28"/>
    <d v="2024-11-28T00:00:00"/>
    <x v="0"/>
    <x v="4"/>
    <m/>
    <n v="339"/>
    <s v="Cheque"/>
    <s v="2024-11"/>
    <d v="2025-04-29T00:00:00"/>
    <x v="0"/>
    <m/>
    <m/>
    <m/>
    <m/>
  </r>
  <r>
    <n v="86"/>
    <x v="24"/>
    <d v="2025-01-25T00:00:00"/>
    <x v="4"/>
    <x v="1"/>
    <m/>
    <n v="425"/>
    <s v="Cheque"/>
    <s v="2025-01"/>
    <d v="2025-06-18T00:00:00"/>
    <x v="0"/>
    <m/>
    <m/>
    <m/>
    <m/>
  </r>
  <r>
    <n v="470"/>
    <x v="39"/>
    <d v="2025-06-22T00:00:00"/>
    <x v="4"/>
    <x v="0"/>
    <m/>
    <n v="1535"/>
    <s v="Cheque"/>
    <s v="2025-06"/>
    <d v="2025-06-22T00:00:00"/>
    <x v="0"/>
    <m/>
    <m/>
    <m/>
    <m/>
  </r>
  <r>
    <n v="226"/>
    <x v="22"/>
    <d v="2025-02-02T00:00:00"/>
    <x v="3"/>
    <x v="5"/>
    <m/>
    <n v="827"/>
    <s v="Credit Card"/>
    <s v="2025-02"/>
    <d v="2025-06-09T00:00:00"/>
    <x v="0"/>
    <m/>
    <m/>
    <m/>
    <m/>
  </r>
  <r>
    <n v="775"/>
    <x v="55"/>
    <d v="2024-05-09T00:00:00"/>
    <x v="3"/>
    <x v="0"/>
    <m/>
    <n v="265"/>
    <s v="UPI"/>
    <s v="2024-05"/>
    <d v="2025-06-22T00:00:00"/>
    <x v="0"/>
    <m/>
    <m/>
    <m/>
    <m/>
  </r>
  <r>
    <n v="332"/>
    <x v="77"/>
    <d v="2024-01-10T00:00:00"/>
    <x v="4"/>
    <x v="2"/>
    <m/>
    <n v="1561"/>
    <s v="UPI"/>
    <s v="2024-01"/>
    <d v="2025-05-21T00:00:00"/>
    <x v="0"/>
    <m/>
    <m/>
    <m/>
    <m/>
  </r>
  <r>
    <n v="234"/>
    <x v="91"/>
    <d v="2024-03-19T00:00:00"/>
    <x v="1"/>
    <x v="4"/>
    <m/>
    <n v="0"/>
    <s v="Credit Card"/>
    <s v="2024-03"/>
    <d v="2025-05-04T00:00:00"/>
    <x v="0"/>
    <m/>
    <m/>
    <m/>
    <m/>
  </r>
  <r>
    <n v="589"/>
    <x v="65"/>
    <d v="2024-06-23T00:00:00"/>
    <x v="3"/>
    <x v="4"/>
    <m/>
    <n v="965"/>
    <s v="Cheque"/>
    <s v="2024-06"/>
    <d v="2025-06-18T00:00:00"/>
    <x v="0"/>
    <m/>
    <m/>
    <m/>
    <m/>
  </r>
  <r>
    <n v="476"/>
    <x v="52"/>
    <d v="2025-01-10T00:00:00"/>
    <x v="3"/>
    <x v="4"/>
    <m/>
    <n v="1805"/>
    <s v="Bank Transfer"/>
    <s v="2025-01"/>
    <d v="2025-04-04T00:00:00"/>
    <x v="0"/>
    <m/>
    <m/>
    <m/>
    <m/>
  </r>
  <r>
    <n v="1285"/>
    <x v="116"/>
    <d v="2024-12-24T00:00:00"/>
    <x v="4"/>
    <x v="2"/>
    <m/>
    <n v="478"/>
    <s v="Credit Card"/>
    <s v="2024-12"/>
    <d v="2025-05-20T00:00:00"/>
    <x v="0"/>
    <m/>
    <m/>
    <m/>
    <m/>
  </r>
  <r>
    <n v="600"/>
    <x v="51"/>
    <d v="2024-10-26T00:00:00"/>
    <x v="3"/>
    <x v="5"/>
    <m/>
    <n v="875"/>
    <s v="Cash"/>
    <s v="2024-10"/>
    <d v="2025-06-22T00:00:00"/>
    <x v="0"/>
    <m/>
    <m/>
    <m/>
    <m/>
  </r>
  <r>
    <n v="422"/>
    <x v="20"/>
    <d v="2024-08-25T00:00:00"/>
    <x v="4"/>
    <x v="2"/>
    <m/>
    <n v="472"/>
    <s v="UPI"/>
    <s v="2024-08"/>
    <d v="2025-06-07T00:00:00"/>
    <x v="0"/>
    <m/>
    <m/>
    <m/>
    <m/>
  </r>
  <r>
    <n v="183"/>
    <x v="56"/>
    <d v="2024-08-18T00:00:00"/>
    <x v="1"/>
    <x v="2"/>
    <m/>
    <n v="2152"/>
    <s v="Cash"/>
    <s v="2024-08"/>
    <d v="2025-04-25T00:00:00"/>
    <x v="0"/>
    <m/>
    <m/>
    <m/>
    <m/>
  </r>
  <r>
    <n v="989"/>
    <x v="5"/>
    <d v="2025-02-16T00:00:00"/>
    <x v="3"/>
    <x v="5"/>
    <m/>
    <n v="10430"/>
    <s v="Cheque"/>
    <s v="2025-02"/>
    <d v="2025-05-24T00:00:00"/>
    <x v="0"/>
    <m/>
    <m/>
    <m/>
    <m/>
  </r>
  <r>
    <n v="1001"/>
    <x v="18"/>
    <d v="2024-12-21T00:00:00"/>
    <x v="2"/>
    <x v="3"/>
    <m/>
    <n v="351"/>
    <s v="Credit Card"/>
    <s v="2024-12"/>
    <d v="2025-05-23T00:00:00"/>
    <x v="0"/>
    <m/>
    <m/>
    <m/>
    <m/>
  </r>
  <r>
    <n v="1642"/>
    <x v="114"/>
    <d v="2024-03-28T00:00:00"/>
    <x v="0"/>
    <x v="0"/>
    <m/>
    <n v="482"/>
    <s v="Credit Card"/>
    <s v="2024-03"/>
    <d v="2025-05-08T00:00:00"/>
    <x v="0"/>
    <m/>
    <m/>
    <m/>
    <m/>
  </r>
  <r>
    <n v="1357"/>
    <x v="3"/>
    <d v="2024-10-06T00:00:00"/>
    <x v="2"/>
    <x v="2"/>
    <m/>
    <n v="248"/>
    <s v="Credit Card"/>
    <s v="2024-10"/>
    <d v="2025-06-15T00:00:00"/>
    <x v="0"/>
    <m/>
    <m/>
    <m/>
    <m/>
  </r>
  <r>
    <n v="50"/>
    <x v="76"/>
    <d v="2024-07-30T00:00:00"/>
    <x v="0"/>
    <x v="1"/>
    <m/>
    <n v="571"/>
    <s v="Cheque"/>
    <s v="2024-07"/>
    <d v="2025-03-18T00:00:00"/>
    <x v="1"/>
    <m/>
    <m/>
    <m/>
    <m/>
  </r>
  <r>
    <n v="1693"/>
    <x v="1"/>
    <d v="2024-11-22T00:00:00"/>
    <x v="4"/>
    <x v="0"/>
    <m/>
    <n v="485"/>
    <s v="Credit Card"/>
    <s v="2024-11"/>
    <d v="2025-06-05T00:00:00"/>
    <x v="0"/>
    <m/>
    <m/>
    <m/>
    <m/>
  </r>
  <r>
    <n v="1030"/>
    <x v="118"/>
    <d v="2025-05-25T00:00:00"/>
    <x v="2"/>
    <x v="0"/>
    <m/>
    <n v="9324"/>
    <s v="Credit Card"/>
    <s v="2025-05"/>
    <d v="2025-05-25T00:00:00"/>
    <x v="0"/>
    <m/>
    <m/>
    <m/>
    <m/>
  </r>
  <r>
    <n v="530"/>
    <x v="65"/>
    <d v="2024-10-17T00:00:00"/>
    <x v="4"/>
    <x v="4"/>
    <m/>
    <n v="925"/>
    <s v="Bank Transfer"/>
    <s v="2024-10"/>
    <d v="2025-06-18T00:00:00"/>
    <x v="0"/>
    <m/>
    <m/>
    <m/>
    <m/>
  </r>
  <r>
    <n v="1259"/>
    <x v="40"/>
    <d v="2024-05-27T00:00:00"/>
    <x v="3"/>
    <x v="2"/>
    <m/>
    <n v="5725"/>
    <s v="Cheque"/>
    <s v="2024-05"/>
    <d v="2025-05-30T00:00:00"/>
    <x v="0"/>
    <m/>
    <m/>
    <m/>
    <m/>
  </r>
  <r>
    <n v="487"/>
    <x v="34"/>
    <d v="2024-05-24T00:00:00"/>
    <x v="2"/>
    <x v="1"/>
    <m/>
    <n v="8174"/>
    <s v="Credit Card"/>
    <s v="2024-05"/>
    <d v="2025-05-16T00:00:00"/>
    <x v="0"/>
    <m/>
    <m/>
    <m/>
    <m/>
  </r>
  <r>
    <n v="1761"/>
    <x v="82"/>
    <d v="2025-01-09T00:00:00"/>
    <x v="2"/>
    <x v="4"/>
    <m/>
    <n v="819"/>
    <s v="Cash"/>
    <s v="2025-01"/>
    <d v="2025-06-21T00:00:00"/>
    <x v="0"/>
    <m/>
    <m/>
    <m/>
    <m/>
  </r>
  <r>
    <n v="498"/>
    <x v="55"/>
    <d v="2025-05-29T00:00:00"/>
    <x v="3"/>
    <x v="1"/>
    <m/>
    <n v="4368"/>
    <s v="Cash"/>
    <s v="2025-05"/>
    <d v="2025-06-22T00:00:00"/>
    <x v="0"/>
    <m/>
    <m/>
    <m/>
    <m/>
  </r>
  <r>
    <n v="1647"/>
    <x v="57"/>
    <d v="2025-02-26T00:00:00"/>
    <x v="5"/>
    <x v="3"/>
    <m/>
    <n v="288"/>
    <s v="UPI"/>
    <s v="2025-02"/>
    <d v="2025-06-08T00:00:00"/>
    <x v="0"/>
    <m/>
    <m/>
    <m/>
    <m/>
  </r>
  <r>
    <n v="107"/>
    <x v="5"/>
    <d v="2024-01-17T00:00:00"/>
    <x v="1"/>
    <x v="3"/>
    <m/>
    <n v="1645"/>
    <s v="Cheque"/>
    <s v="2024-01"/>
    <d v="2025-05-24T00:00:00"/>
    <x v="0"/>
    <m/>
    <m/>
    <m/>
    <m/>
  </r>
  <r>
    <n v="444"/>
    <x v="71"/>
    <d v="2025-02-10T00:00:00"/>
    <x v="2"/>
    <x v="3"/>
    <m/>
    <n v="2618"/>
    <s v="UPI"/>
    <s v="2025-02"/>
    <d v="2025-05-16T00:00:00"/>
    <x v="0"/>
    <m/>
    <m/>
    <m/>
    <m/>
  </r>
  <r>
    <n v="1513"/>
    <x v="25"/>
    <d v="2024-01-27T00:00:00"/>
    <x v="4"/>
    <x v="5"/>
    <m/>
    <n v="4758"/>
    <s v="UPI"/>
    <s v="2024-01"/>
    <d v="2025-03-24T00:00:00"/>
    <x v="1"/>
    <m/>
    <m/>
    <m/>
    <m/>
  </r>
  <r>
    <n v="647"/>
    <x v="11"/>
    <d v="2025-06-11T00:00:00"/>
    <x v="0"/>
    <x v="5"/>
    <m/>
    <n v="539"/>
    <s v="Cheque"/>
    <s v="2025-06"/>
    <d v="2025-06-11T00:00:00"/>
    <x v="0"/>
    <m/>
    <m/>
    <m/>
    <m/>
  </r>
  <r>
    <n v="1037"/>
    <x v="105"/>
    <d v="2025-03-24T00:00:00"/>
    <x v="5"/>
    <x v="5"/>
    <m/>
    <n v="4387"/>
    <s v="Cash"/>
    <s v="2025-03"/>
    <d v="2025-06-17T00:00:00"/>
    <x v="0"/>
    <m/>
    <m/>
    <m/>
    <m/>
  </r>
  <r>
    <n v="727"/>
    <x v="34"/>
    <d v="2024-04-30T00:00:00"/>
    <x v="4"/>
    <x v="1"/>
    <m/>
    <n v="244"/>
    <s v="Credit Card"/>
    <s v="2024-04"/>
    <d v="2025-05-16T00:00:00"/>
    <x v="0"/>
    <m/>
    <m/>
    <m/>
    <m/>
  </r>
  <r>
    <n v="283"/>
    <x v="5"/>
    <d v="2024-02-23T00:00:00"/>
    <x v="4"/>
    <x v="0"/>
    <m/>
    <n v="591"/>
    <s v="UPI"/>
    <s v="2024-02"/>
    <d v="2025-05-24T00:00:00"/>
    <x v="0"/>
    <m/>
    <m/>
    <m/>
    <m/>
  </r>
  <r>
    <n v="30"/>
    <x v="33"/>
    <d v="2024-10-15T00:00:00"/>
    <x v="4"/>
    <x v="2"/>
    <m/>
    <n v="4407"/>
    <s v="Bank Transfer"/>
    <s v="2024-10"/>
    <d v="2025-03-13T00:00:00"/>
    <x v="1"/>
    <m/>
    <m/>
    <m/>
    <m/>
  </r>
  <r>
    <n v="170"/>
    <x v="73"/>
    <d v="2024-11-22T00:00:00"/>
    <x v="0"/>
    <x v="3"/>
    <m/>
    <n v="2450"/>
    <s v="Credit Card"/>
    <s v="2024-11"/>
    <d v="2025-05-17T00:00:00"/>
    <x v="0"/>
    <m/>
    <m/>
    <m/>
    <m/>
  </r>
  <r>
    <n v="1002"/>
    <x v="56"/>
    <d v="2024-06-15T00:00:00"/>
    <x v="0"/>
    <x v="5"/>
    <m/>
    <n v="1120"/>
    <s v="UPI"/>
    <s v="2024-06"/>
    <d v="2025-04-25T00:00:00"/>
    <x v="0"/>
    <m/>
    <m/>
    <m/>
    <m/>
  </r>
  <r>
    <n v="1205"/>
    <x v="108"/>
    <d v="2024-02-10T00:00:00"/>
    <x v="4"/>
    <x v="0"/>
    <m/>
    <n v="5909"/>
    <s v="Bank Transfer"/>
    <s v="2024-02"/>
    <d v="2025-06-14T00:00:00"/>
    <x v="0"/>
    <m/>
    <m/>
    <m/>
    <m/>
  </r>
  <r>
    <n v="101"/>
    <x v="56"/>
    <d v="2024-02-08T00:00:00"/>
    <x v="0"/>
    <x v="3"/>
    <m/>
    <n v="894"/>
    <s v="Cheque"/>
    <s v="2024-02"/>
    <d v="2025-04-25T00:00:00"/>
    <x v="0"/>
    <m/>
    <m/>
    <m/>
    <m/>
  </r>
  <r>
    <n v="198"/>
    <x v="37"/>
    <d v="2024-06-02T00:00:00"/>
    <x v="1"/>
    <x v="0"/>
    <m/>
    <n v="254"/>
    <s v="Credit Card"/>
    <s v="2024-06"/>
    <d v="2025-06-21T00:00:00"/>
    <x v="0"/>
    <m/>
    <m/>
    <m/>
    <m/>
  </r>
  <r>
    <n v="496"/>
    <x v="106"/>
    <d v="2024-01-31T00:00:00"/>
    <x v="1"/>
    <x v="1"/>
    <m/>
    <n v="691"/>
    <s v="Bank Transfer"/>
    <s v="2024-01"/>
    <d v="2025-06-20T00:00:00"/>
    <x v="0"/>
    <m/>
    <m/>
    <m/>
    <m/>
  </r>
  <r>
    <n v="648"/>
    <x v="42"/>
    <d v="2024-04-10T00:00:00"/>
    <x v="0"/>
    <x v="3"/>
    <m/>
    <n v="1869"/>
    <s v="Cheque"/>
    <s v="2024-04"/>
    <d v="2025-05-08T00:00:00"/>
    <x v="0"/>
    <m/>
    <m/>
    <m/>
    <m/>
  </r>
  <r>
    <n v="988"/>
    <x v="75"/>
    <d v="2025-06-04T00:00:00"/>
    <x v="2"/>
    <x v="1"/>
    <m/>
    <n v="2370"/>
    <s v="UPI"/>
    <s v="2025-06"/>
    <d v="2025-06-13T00:00:00"/>
    <x v="0"/>
    <m/>
    <m/>
    <m/>
    <m/>
  </r>
  <r>
    <n v="45"/>
    <x v="32"/>
    <d v="2024-07-18T00:00:00"/>
    <x v="0"/>
    <x v="1"/>
    <m/>
    <n v="673"/>
    <s v="UPI"/>
    <s v="2024-07"/>
    <d v="2025-05-07T00:00:00"/>
    <x v="0"/>
    <m/>
    <m/>
    <m/>
    <m/>
  </r>
  <r>
    <n v="1745"/>
    <x v="118"/>
    <d v="2024-10-27T00:00:00"/>
    <x v="4"/>
    <x v="0"/>
    <m/>
    <n v="9873"/>
    <s v="Cheque"/>
    <s v="2024-10"/>
    <d v="2025-05-25T00:00:00"/>
    <x v="0"/>
    <m/>
    <m/>
    <m/>
    <m/>
  </r>
  <r>
    <n v="711"/>
    <x v="21"/>
    <d v="2025-06-03T00:00:00"/>
    <x v="4"/>
    <x v="2"/>
    <m/>
    <n v="1148"/>
    <s v="Bank Transfer"/>
    <s v="2025-06"/>
    <d v="2025-06-03T00:00:00"/>
    <x v="0"/>
    <m/>
    <m/>
    <m/>
    <m/>
  </r>
  <r>
    <n v="374"/>
    <x v="85"/>
    <d v="2024-10-19T00:00:00"/>
    <x v="0"/>
    <x v="3"/>
    <m/>
    <n v="8426"/>
    <s v="Cash"/>
    <s v="2024-10"/>
    <d v="2025-04-17T00:00:00"/>
    <x v="0"/>
    <m/>
    <m/>
    <m/>
    <m/>
  </r>
  <r>
    <n v="679"/>
    <x v="70"/>
    <d v="2025-05-26T00:00:00"/>
    <x v="1"/>
    <x v="2"/>
    <m/>
    <n v="5852"/>
    <s v="Bank Transfer"/>
    <s v="2025-05"/>
    <d v="2025-05-26T00:00:00"/>
    <x v="0"/>
    <m/>
    <m/>
    <m/>
    <m/>
  </r>
  <r>
    <n v="567"/>
    <x v="6"/>
    <d v="2025-05-24T00:00:00"/>
    <x v="2"/>
    <x v="3"/>
    <m/>
    <n v="680"/>
    <s v="Bank Transfer"/>
    <s v="2025-05"/>
    <d v="2025-05-31T00:00:00"/>
    <x v="0"/>
    <m/>
    <m/>
    <m/>
    <m/>
  </r>
  <r>
    <n v="1673"/>
    <x v="25"/>
    <d v="2024-09-11T00:00:00"/>
    <x v="1"/>
    <x v="0"/>
    <m/>
    <n v="608"/>
    <s v="Cash"/>
    <s v="2024-09"/>
    <d v="2025-03-24T00:00:00"/>
    <x v="1"/>
    <m/>
    <m/>
    <m/>
    <m/>
  </r>
  <r>
    <n v="848"/>
    <x v="68"/>
    <d v="2024-07-18T00:00:00"/>
    <x v="3"/>
    <x v="1"/>
    <m/>
    <n v="852"/>
    <s v="Cheque"/>
    <s v="2024-07"/>
    <d v="2025-04-25T00:00:00"/>
    <x v="0"/>
    <m/>
    <m/>
    <m/>
    <m/>
  </r>
  <r>
    <n v="461"/>
    <x v="42"/>
    <d v="2024-12-21T00:00:00"/>
    <x v="0"/>
    <x v="2"/>
    <m/>
    <n v="1617"/>
    <s v="Cash"/>
    <s v="2024-12"/>
    <d v="2025-05-08T00:00:00"/>
    <x v="0"/>
    <m/>
    <m/>
    <m/>
    <m/>
  </r>
  <r>
    <n v="1438"/>
    <x v="61"/>
    <d v="2025-05-18T00:00:00"/>
    <x v="0"/>
    <x v="0"/>
    <m/>
    <n v="1924"/>
    <s v="Credit Card"/>
    <s v="2025-05"/>
    <d v="2025-05-18T00:00:00"/>
    <x v="0"/>
    <m/>
    <m/>
    <m/>
    <m/>
  </r>
  <r>
    <n v="1156"/>
    <x v="6"/>
    <d v="2024-01-31T00:00:00"/>
    <x v="3"/>
    <x v="0"/>
    <m/>
    <n v="1575"/>
    <s v="Cheque"/>
    <s v="2024-01"/>
    <d v="2025-05-31T00:00:00"/>
    <x v="0"/>
    <m/>
    <m/>
    <m/>
    <m/>
  </r>
  <r>
    <n v="40"/>
    <x v="15"/>
    <d v="2025-03-17T00:00:00"/>
    <x v="1"/>
    <x v="0"/>
    <m/>
    <n v="5327"/>
    <s v="UPI"/>
    <s v="2025-03"/>
    <d v="2025-05-15T00:00:00"/>
    <x v="0"/>
    <m/>
    <m/>
    <m/>
    <m/>
  </r>
  <r>
    <n v="435"/>
    <x v="91"/>
    <d v="2025-01-16T00:00:00"/>
    <x v="0"/>
    <x v="5"/>
    <m/>
    <n v="262"/>
    <s v="Credit Card"/>
    <s v="2025-01"/>
    <d v="2025-05-04T00:00:00"/>
    <x v="0"/>
    <m/>
    <m/>
    <m/>
    <m/>
  </r>
  <r>
    <n v="974"/>
    <x v="45"/>
    <d v="2024-10-08T00:00:00"/>
    <x v="5"/>
    <x v="3"/>
    <m/>
    <n v="261"/>
    <s v="Bank Transfer"/>
    <s v="2024-10"/>
    <d v="2025-06-18T00:00:00"/>
    <x v="0"/>
    <m/>
    <m/>
    <m/>
    <m/>
  </r>
  <r>
    <n v="1240"/>
    <x v="65"/>
    <d v="2024-04-10T00:00:00"/>
    <x v="2"/>
    <x v="3"/>
    <m/>
    <n v="1889"/>
    <s v="Cheque"/>
    <s v="2024-04"/>
    <d v="2025-06-18T00:00:00"/>
    <x v="0"/>
    <m/>
    <m/>
    <m/>
    <m/>
  </r>
  <r>
    <n v="1008"/>
    <x v="64"/>
    <d v="2025-03-23T00:00:00"/>
    <x v="4"/>
    <x v="0"/>
    <m/>
    <n v="323"/>
    <s v="Cheque"/>
    <s v="2025-03"/>
    <d v="2025-04-28T00:00:00"/>
    <x v="0"/>
    <m/>
    <m/>
    <m/>
    <m/>
  </r>
  <r>
    <n v="1580"/>
    <x v="54"/>
    <d v="2024-05-22T00:00:00"/>
    <x v="3"/>
    <x v="1"/>
    <m/>
    <n v="331"/>
    <s v="UPI"/>
    <s v="2024-05"/>
    <d v="2025-02-10T00:00:00"/>
    <x v="1"/>
    <m/>
    <m/>
    <m/>
    <m/>
  </r>
  <r>
    <n v="1591"/>
    <x v="78"/>
    <d v="2024-07-09T00:00:00"/>
    <x v="4"/>
    <x v="2"/>
    <m/>
    <n v="1610"/>
    <s v="Cheque"/>
    <s v="2024-07"/>
    <d v="2025-06-02T00:00:00"/>
    <x v="0"/>
    <m/>
    <m/>
    <m/>
    <m/>
  </r>
  <r>
    <n v="1499"/>
    <x v="111"/>
    <d v="2024-04-09T00:00:00"/>
    <x v="3"/>
    <x v="3"/>
    <m/>
    <n v="2193"/>
    <s v="Credit Card"/>
    <s v="2024-04"/>
    <d v="2025-06-07T00:00:00"/>
    <x v="0"/>
    <m/>
    <m/>
    <m/>
    <m/>
  </r>
  <r>
    <n v="457"/>
    <x v="105"/>
    <d v="2025-06-17T00:00:00"/>
    <x v="1"/>
    <x v="1"/>
    <m/>
    <n v="2199"/>
    <s v="UPI"/>
    <s v="2025-06"/>
    <d v="2025-06-17T00:00:00"/>
    <x v="0"/>
    <m/>
    <m/>
    <m/>
    <m/>
  </r>
  <r>
    <n v="261"/>
    <x v="119"/>
    <d v="2024-04-05T00:00:00"/>
    <x v="0"/>
    <x v="2"/>
    <m/>
    <n v="5700"/>
    <s v="Cheque"/>
    <s v="2024-04"/>
    <d v="2025-06-19T00:00:00"/>
    <x v="0"/>
    <m/>
    <m/>
    <m/>
    <m/>
  </r>
  <r>
    <n v="36"/>
    <x v="47"/>
    <d v="2025-04-16T00:00:00"/>
    <x v="1"/>
    <x v="4"/>
    <m/>
    <n v="1619"/>
    <s v="Credit Card"/>
    <s v="2025-04"/>
    <d v="2025-05-11T00:00:00"/>
    <x v="0"/>
    <m/>
    <m/>
    <m/>
    <m/>
  </r>
  <r>
    <n v="828"/>
    <x v="11"/>
    <d v="2024-09-22T00:00:00"/>
    <x v="0"/>
    <x v="1"/>
    <m/>
    <n v="1147"/>
    <s v="Credit Card"/>
    <s v="2024-09"/>
    <d v="2025-06-11T00:00:00"/>
    <x v="0"/>
    <m/>
    <m/>
    <m/>
    <m/>
  </r>
  <r>
    <n v="310"/>
    <x v="24"/>
    <d v="2024-02-19T00:00:00"/>
    <x v="0"/>
    <x v="2"/>
    <m/>
    <n v="891"/>
    <s v="Cash"/>
    <s v="2024-02"/>
    <d v="2025-06-18T00:00:00"/>
    <x v="0"/>
    <m/>
    <m/>
    <m/>
    <m/>
  </r>
  <r>
    <n v="277"/>
    <x v="87"/>
    <d v="2025-03-20T00:00:00"/>
    <x v="0"/>
    <x v="0"/>
    <m/>
    <n v="462"/>
    <s v="Credit Card"/>
    <s v="2025-03"/>
    <d v="2025-05-02T00:00:00"/>
    <x v="0"/>
    <m/>
    <m/>
    <m/>
    <m/>
  </r>
  <r>
    <n v="637"/>
    <x v="25"/>
    <d v="2025-03-10T00:00:00"/>
    <x v="0"/>
    <x v="5"/>
    <m/>
    <n v="2756"/>
    <s v="Cash"/>
    <s v="2025-03"/>
    <d v="2025-03-24T00:00:00"/>
    <x v="1"/>
    <m/>
    <m/>
    <m/>
    <m/>
  </r>
  <r>
    <n v="655"/>
    <x v="67"/>
    <d v="2024-06-13T00:00:00"/>
    <x v="3"/>
    <x v="4"/>
    <m/>
    <n v="672"/>
    <s v="Credit Card"/>
    <s v="2024-06"/>
    <d v="2025-06-21T00:00:00"/>
    <x v="0"/>
    <m/>
    <m/>
    <m/>
    <m/>
  </r>
  <r>
    <n v="623"/>
    <x v="103"/>
    <d v="2024-12-14T00:00:00"/>
    <x v="4"/>
    <x v="3"/>
    <m/>
    <n v="1724"/>
    <s v="Credit Card"/>
    <s v="2024-12"/>
    <d v="2025-04-19T00:00:00"/>
    <x v="0"/>
    <m/>
    <m/>
    <m/>
    <m/>
  </r>
  <r>
    <n v="845"/>
    <x v="111"/>
    <d v="2025-05-04T00:00:00"/>
    <x v="4"/>
    <x v="1"/>
    <m/>
    <n v="2704"/>
    <s v="Cash"/>
    <s v="2025-05"/>
    <d v="2025-06-07T00:00:00"/>
    <x v="0"/>
    <m/>
    <m/>
    <m/>
    <m/>
  </r>
  <r>
    <n v="394"/>
    <x v="75"/>
    <d v="2025-05-13T00:00:00"/>
    <x v="1"/>
    <x v="4"/>
    <m/>
    <n v="1680"/>
    <s v="Cheque"/>
    <s v="2025-05"/>
    <d v="2025-06-13T00:00:00"/>
    <x v="0"/>
    <m/>
    <m/>
    <m/>
    <m/>
  </r>
  <r>
    <n v="108"/>
    <x v="51"/>
    <d v="2024-04-21T00:00:00"/>
    <x v="3"/>
    <x v="4"/>
    <m/>
    <n v="545"/>
    <s v="Cheque"/>
    <s v="2024-04"/>
    <d v="2025-06-22T00:00:00"/>
    <x v="0"/>
    <m/>
    <m/>
    <m/>
    <m/>
  </r>
  <r>
    <n v="350"/>
    <x v="39"/>
    <d v="2024-04-13T00:00:00"/>
    <x v="3"/>
    <x v="5"/>
    <m/>
    <n v="1451"/>
    <s v="UPI"/>
    <s v="2024-04"/>
    <d v="2025-06-22T00:00:00"/>
    <x v="0"/>
    <m/>
    <m/>
    <m/>
    <m/>
  </r>
  <r>
    <n v="525"/>
    <x v="11"/>
    <d v="2025-05-09T00:00:00"/>
    <x v="3"/>
    <x v="4"/>
    <m/>
    <n v="1872"/>
    <s v="Cash"/>
    <s v="2025-05"/>
    <d v="2025-06-11T00:00:00"/>
    <x v="0"/>
    <m/>
    <m/>
    <m/>
    <m/>
  </r>
  <r>
    <n v="785"/>
    <x v="98"/>
    <d v="2025-04-17T00:00:00"/>
    <x v="2"/>
    <x v="5"/>
    <m/>
    <n v="1943"/>
    <s v="Cash"/>
    <s v="2025-04"/>
    <d v="2025-05-05T00:00:00"/>
    <x v="0"/>
    <m/>
    <m/>
    <m/>
    <m/>
  </r>
  <r>
    <n v="48"/>
    <x v="17"/>
    <d v="2024-09-10T00:00:00"/>
    <x v="1"/>
    <x v="0"/>
    <m/>
    <n v="315"/>
    <s v="Bank Transfer"/>
    <s v="2024-09"/>
    <d v="2025-05-21T00:00:00"/>
    <x v="0"/>
    <m/>
    <m/>
    <m/>
    <m/>
  </r>
  <r>
    <n v="204"/>
    <x v="7"/>
    <d v="2025-01-23T00:00:00"/>
    <x v="4"/>
    <x v="4"/>
    <m/>
    <n v="282"/>
    <s v="Bank Transfer"/>
    <s v="2025-01"/>
    <d v="2025-06-11T00:00:00"/>
    <x v="0"/>
    <m/>
    <m/>
    <m/>
    <m/>
  </r>
  <r>
    <n v="1656"/>
    <x v="65"/>
    <d v="2024-10-03T00:00:00"/>
    <x v="2"/>
    <x v="5"/>
    <m/>
    <n v="2134"/>
    <s v="UPI"/>
    <s v="2024-10"/>
    <d v="2025-06-18T00:00:00"/>
    <x v="0"/>
    <m/>
    <m/>
    <m/>
    <m/>
  </r>
  <r>
    <n v="22"/>
    <x v="61"/>
    <d v="2024-04-05T00:00:00"/>
    <x v="5"/>
    <x v="4"/>
    <m/>
    <n v="746"/>
    <s v="Credit Card"/>
    <s v="2024-04"/>
    <d v="2025-05-18T00:00:00"/>
    <x v="0"/>
    <m/>
    <m/>
    <m/>
    <m/>
  </r>
  <r>
    <n v="403"/>
    <x v="79"/>
    <d v="2024-09-26T00:00:00"/>
    <x v="3"/>
    <x v="0"/>
    <m/>
    <n v="1426"/>
    <s v="Cash"/>
    <s v="2024-09"/>
    <d v="2025-04-29T00:00:00"/>
    <x v="0"/>
    <m/>
    <m/>
    <m/>
    <m/>
  </r>
  <r>
    <n v="1108"/>
    <x v="54"/>
    <d v="2024-01-01T00:00:00"/>
    <x v="2"/>
    <x v="3"/>
    <m/>
    <n v="1507"/>
    <s v="Cash"/>
    <s v="2024-01"/>
    <d v="2025-02-10T00:00:00"/>
    <x v="1"/>
    <m/>
    <m/>
    <m/>
    <m/>
  </r>
  <r>
    <n v="1155"/>
    <x v="111"/>
    <d v="2024-03-21T00:00:00"/>
    <x v="0"/>
    <x v="0"/>
    <m/>
    <n v="4166"/>
    <s v="Cheque"/>
    <s v="2024-03"/>
    <d v="2025-06-07T00:00:00"/>
    <x v="0"/>
    <m/>
    <m/>
    <m/>
    <m/>
  </r>
  <r>
    <n v="1440"/>
    <x v="50"/>
    <d v="2024-06-04T00:00:00"/>
    <x v="2"/>
    <x v="1"/>
    <m/>
    <n v="1220"/>
    <s v="Bank Transfer"/>
    <s v="2024-06"/>
    <d v="2025-06-21T00:00:00"/>
    <x v="0"/>
    <m/>
    <m/>
    <m/>
    <m/>
  </r>
  <r>
    <n v="990"/>
    <x v="87"/>
    <d v="2024-08-12T00:00:00"/>
    <x v="2"/>
    <x v="3"/>
    <m/>
    <n v="2239"/>
    <s v="Cheque"/>
    <s v="2024-08"/>
    <d v="2025-05-02T00:00:00"/>
    <x v="0"/>
    <m/>
    <m/>
    <m/>
    <m/>
  </r>
  <r>
    <n v="742"/>
    <x v="94"/>
    <d v="2025-03-09T00:00:00"/>
    <x v="3"/>
    <x v="1"/>
    <m/>
    <n v="400"/>
    <s v="Cash"/>
    <s v="2025-03"/>
    <d v="2025-04-05T00:00:00"/>
    <x v="0"/>
    <m/>
    <m/>
    <m/>
    <m/>
  </r>
  <r>
    <n v="1722"/>
    <x v="104"/>
    <d v="2024-05-21T00:00:00"/>
    <x v="5"/>
    <x v="5"/>
    <m/>
    <n v="860"/>
    <s v="Cheque"/>
    <s v="2024-05"/>
    <d v="2025-06-07T00:00:00"/>
    <x v="0"/>
    <m/>
    <m/>
    <m/>
    <m/>
  </r>
  <r>
    <n v="1311"/>
    <x v="29"/>
    <d v="2024-11-22T00:00:00"/>
    <x v="3"/>
    <x v="3"/>
    <m/>
    <n v="562"/>
    <s v="UPI"/>
    <s v="2024-11"/>
    <d v="2025-04-26T00:00:00"/>
    <x v="0"/>
    <m/>
    <m/>
    <m/>
    <m/>
  </r>
  <r>
    <n v="1148"/>
    <x v="19"/>
    <d v="2024-04-13T00:00:00"/>
    <x v="3"/>
    <x v="2"/>
    <m/>
    <n v="935"/>
    <s v="Bank Transfer"/>
    <s v="2024-04"/>
    <d v="2025-06-19T00:00:00"/>
    <x v="0"/>
    <m/>
    <m/>
    <m/>
    <m/>
  </r>
  <r>
    <n v="34"/>
    <x v="8"/>
    <d v="2025-02-20T00:00:00"/>
    <x v="4"/>
    <x v="4"/>
    <m/>
    <n v="1786"/>
    <s v="Credit Card"/>
    <s v="2025-02"/>
    <d v="2025-05-11T00:00:00"/>
    <x v="0"/>
    <m/>
    <m/>
    <m/>
    <m/>
  </r>
  <r>
    <n v="788"/>
    <x v="19"/>
    <d v="2025-02-04T00:00:00"/>
    <x v="4"/>
    <x v="1"/>
    <m/>
    <n v="1014"/>
    <s v="Credit Card"/>
    <s v="2025-02"/>
    <d v="2025-06-19T00:00:00"/>
    <x v="0"/>
    <m/>
    <m/>
    <m/>
    <m/>
  </r>
  <r>
    <n v="1541"/>
    <x v="87"/>
    <d v="2024-04-08T00:00:00"/>
    <x v="4"/>
    <x v="1"/>
    <m/>
    <n v="588"/>
    <s v="Credit Card"/>
    <s v="2024-04"/>
    <d v="2025-05-02T00:00:00"/>
    <x v="0"/>
    <m/>
    <m/>
    <m/>
    <m/>
  </r>
  <r>
    <n v="924"/>
    <x v="74"/>
    <d v="2024-08-20T00:00:00"/>
    <x v="4"/>
    <x v="5"/>
    <m/>
    <n v="1009"/>
    <s v="Credit Card"/>
    <s v="2024-08"/>
    <d v="2025-05-11T00:00:00"/>
    <x v="0"/>
    <m/>
    <m/>
    <m/>
    <m/>
  </r>
  <r>
    <n v="1044"/>
    <x v="56"/>
    <d v="2025-01-28T00:00:00"/>
    <x v="2"/>
    <x v="3"/>
    <m/>
    <n v="2855"/>
    <s v="Cash"/>
    <s v="2025-01"/>
    <d v="2025-04-25T00:00:00"/>
    <x v="0"/>
    <m/>
    <m/>
    <m/>
    <m/>
  </r>
  <r>
    <n v="1742"/>
    <x v="49"/>
    <d v="2025-01-15T00:00:00"/>
    <x v="3"/>
    <x v="4"/>
    <m/>
    <n v="346"/>
    <s v="UPI"/>
    <s v="2025-01"/>
    <d v="2025-05-18T00:00:00"/>
    <x v="0"/>
    <m/>
    <m/>
    <m/>
    <m/>
  </r>
  <r>
    <n v="1244"/>
    <x v="62"/>
    <d v="2024-06-13T00:00:00"/>
    <x v="3"/>
    <x v="0"/>
    <m/>
    <n v="5481"/>
    <s v="Bank Transfer"/>
    <s v="2024-06"/>
    <d v="2025-06-06T00:00:00"/>
    <x v="0"/>
    <m/>
    <m/>
    <m/>
    <m/>
  </r>
  <r>
    <n v="580"/>
    <x v="73"/>
    <d v="2025-02-25T00:00:00"/>
    <x v="4"/>
    <x v="0"/>
    <m/>
    <n v="519"/>
    <s v="Cash"/>
    <s v="2025-02"/>
    <d v="2025-05-17T00:00:00"/>
    <x v="0"/>
    <m/>
    <m/>
    <m/>
    <m/>
  </r>
  <r>
    <n v="482"/>
    <x v="63"/>
    <d v="2025-05-14T00:00:00"/>
    <x v="3"/>
    <x v="4"/>
    <m/>
    <n v="10464"/>
    <s v="Cheque"/>
    <s v="2025-05"/>
    <d v="2025-06-11T00:00:00"/>
    <x v="0"/>
    <m/>
    <m/>
    <m/>
    <m/>
  </r>
  <r>
    <n v="932"/>
    <x v="90"/>
    <d v="2025-06-19T00:00:00"/>
    <x v="1"/>
    <x v="1"/>
    <m/>
    <n v="1403"/>
    <s v="Bank Transfer"/>
    <s v="2025-06"/>
    <d v="2025-06-19T00:00:00"/>
    <x v="0"/>
    <m/>
    <m/>
    <m/>
    <m/>
  </r>
  <r>
    <n v="357"/>
    <x v="87"/>
    <d v="2024-06-19T00:00:00"/>
    <x v="4"/>
    <x v="2"/>
    <m/>
    <n v="596"/>
    <s v="Credit Card"/>
    <s v="2024-06"/>
    <d v="2025-05-02T00:00:00"/>
    <x v="0"/>
    <m/>
    <m/>
    <m/>
    <m/>
  </r>
  <r>
    <n v="1686"/>
    <x v="95"/>
    <d v="2024-12-14T00:00:00"/>
    <x v="1"/>
    <x v="5"/>
    <m/>
    <n v="422"/>
    <s v="Cheque"/>
    <s v="2024-12"/>
    <d v="2025-06-08T00:00:00"/>
    <x v="0"/>
    <m/>
    <m/>
    <m/>
    <m/>
  </r>
  <r>
    <n v="1249"/>
    <x v="97"/>
    <d v="2024-12-14T00:00:00"/>
    <x v="1"/>
    <x v="1"/>
    <m/>
    <n v="1753"/>
    <s v="UPI"/>
    <s v="2024-12"/>
    <d v="2025-06-13T00:00:00"/>
    <x v="0"/>
    <m/>
    <m/>
    <m/>
    <m/>
  </r>
  <r>
    <n v="760"/>
    <x v="48"/>
    <d v="2024-02-27T00:00:00"/>
    <x v="2"/>
    <x v="5"/>
    <m/>
    <n v="721"/>
    <s v="Cheque"/>
    <s v="2024-02"/>
    <d v="2025-04-13T00:00:00"/>
    <x v="0"/>
    <m/>
    <m/>
    <m/>
    <m/>
  </r>
  <r>
    <n v="93"/>
    <x v="21"/>
    <d v="2025-05-09T00:00:00"/>
    <x v="5"/>
    <x v="1"/>
    <m/>
    <n v="5150"/>
    <s v="Bank Transfer"/>
    <s v="2025-05"/>
    <d v="2025-06-03T00:00:00"/>
    <x v="0"/>
    <m/>
    <m/>
    <m/>
    <m/>
  </r>
  <r>
    <n v="1176"/>
    <x v="6"/>
    <d v="2024-08-17T00:00:00"/>
    <x v="5"/>
    <x v="0"/>
    <m/>
    <n v="1060"/>
    <s v="Bank Transfer"/>
    <s v="2024-08"/>
    <d v="2025-05-31T00:00:00"/>
    <x v="0"/>
    <m/>
    <m/>
    <m/>
    <m/>
  </r>
  <r>
    <n v="1416"/>
    <x v="13"/>
    <d v="2024-09-08T00:00:00"/>
    <x v="2"/>
    <x v="5"/>
    <m/>
    <n v="1660"/>
    <s v="Cheque"/>
    <s v="2024-09"/>
    <d v="2025-05-11T00:00:00"/>
    <x v="0"/>
    <m/>
    <m/>
    <m/>
    <m/>
  </r>
  <r>
    <n v="1342"/>
    <x v="112"/>
    <d v="2024-12-17T00:00:00"/>
    <x v="2"/>
    <x v="1"/>
    <m/>
    <n v="764"/>
    <s v="Cheque"/>
    <s v="2024-12"/>
    <d v="2025-06-04T00:00:00"/>
    <x v="0"/>
    <m/>
    <m/>
    <m/>
    <m/>
  </r>
  <r>
    <n v="1473"/>
    <x v="109"/>
    <d v="2024-10-10T00:00:00"/>
    <x v="3"/>
    <x v="0"/>
    <m/>
    <n v="1125"/>
    <s v="Cheque"/>
    <s v="2024-10"/>
    <d v="2025-05-15T00:00:00"/>
    <x v="0"/>
    <m/>
    <m/>
    <m/>
    <m/>
  </r>
  <r>
    <n v="804"/>
    <x v="85"/>
    <d v="2024-08-13T00:00:00"/>
    <x v="2"/>
    <x v="2"/>
    <m/>
    <n v="1634"/>
    <s v="UPI"/>
    <s v="2024-08"/>
    <d v="2025-04-17T00:00:00"/>
    <x v="0"/>
    <m/>
    <m/>
    <m/>
    <m/>
  </r>
  <r>
    <n v="746"/>
    <x v="3"/>
    <d v="2025-04-08T00:00:00"/>
    <x v="4"/>
    <x v="2"/>
    <m/>
    <n v="4683"/>
    <s v="Cash"/>
    <s v="2025-04"/>
    <d v="2025-06-15T00:00:00"/>
    <x v="0"/>
    <m/>
    <m/>
    <m/>
    <m/>
  </r>
  <r>
    <n v="1547"/>
    <x v="33"/>
    <d v="2024-01-19T00:00:00"/>
    <x v="2"/>
    <x v="0"/>
    <m/>
    <n v="5986"/>
    <s v="Cheque"/>
    <s v="2024-01"/>
    <d v="2025-03-13T00:00:00"/>
    <x v="1"/>
    <m/>
    <m/>
    <m/>
    <m/>
  </r>
  <r>
    <n v="280"/>
    <x v="41"/>
    <d v="2024-06-19T00:00:00"/>
    <x v="4"/>
    <x v="5"/>
    <m/>
    <n v="1158"/>
    <s v="UPI"/>
    <s v="2024-06"/>
    <d v="2025-06-08T00:00:00"/>
    <x v="0"/>
    <m/>
    <m/>
    <m/>
    <m/>
  </r>
  <r>
    <n v="1608"/>
    <x v="48"/>
    <d v="2025-03-11T00:00:00"/>
    <x v="4"/>
    <x v="2"/>
    <m/>
    <n v="914"/>
    <s v="Bank Transfer"/>
    <s v="2025-03"/>
    <d v="2025-04-13T00:00:00"/>
    <x v="0"/>
    <m/>
    <m/>
    <m/>
    <m/>
  </r>
  <r>
    <n v="765"/>
    <x v="107"/>
    <d v="2025-01-12T00:00:00"/>
    <x v="3"/>
    <x v="0"/>
    <m/>
    <n v="1234"/>
    <s v="Cheque"/>
    <s v="2025-01"/>
    <d v="2025-04-12T00:00:00"/>
    <x v="0"/>
    <m/>
    <m/>
    <m/>
    <m/>
  </r>
  <r>
    <n v="605"/>
    <x v="12"/>
    <d v="2024-02-18T00:00:00"/>
    <x v="1"/>
    <x v="5"/>
    <m/>
    <n v="355"/>
    <s v="Cheque"/>
    <s v="2024-02"/>
    <d v="2025-05-28T00:00:00"/>
    <x v="0"/>
    <m/>
    <m/>
    <m/>
    <m/>
  </r>
  <r>
    <n v="1793"/>
    <x v="36"/>
    <d v="2025-02-06T00:00:00"/>
    <x v="2"/>
    <x v="1"/>
    <m/>
    <n v="2160"/>
    <s v="Credit Card"/>
    <s v="2025-02"/>
    <d v="2025-06-16T00:00:00"/>
    <x v="0"/>
    <m/>
    <m/>
    <m/>
    <m/>
  </r>
  <r>
    <n v="1374"/>
    <x v="19"/>
    <d v="2025-04-10T00:00:00"/>
    <x v="1"/>
    <x v="4"/>
    <m/>
    <n v="244"/>
    <s v="Bank Transfer"/>
    <s v="2025-04"/>
    <d v="2025-06-19T00:00:00"/>
    <x v="0"/>
    <m/>
    <m/>
    <m/>
    <m/>
  </r>
  <r>
    <n v="1399"/>
    <x v="74"/>
    <d v="2024-02-22T00:00:00"/>
    <x v="0"/>
    <x v="0"/>
    <m/>
    <n v="991"/>
    <s v="Cash"/>
    <s v="2024-02"/>
    <d v="2025-05-11T00:00:00"/>
    <x v="0"/>
    <m/>
    <m/>
    <m/>
    <m/>
  </r>
  <r>
    <n v="401"/>
    <x v="89"/>
    <d v="2025-05-10T00:00:00"/>
    <x v="2"/>
    <x v="4"/>
    <m/>
    <n v="268"/>
    <s v="Bank Transfer"/>
    <s v="2025-05"/>
    <d v="2025-05-10T00:00:00"/>
    <x v="0"/>
    <m/>
    <m/>
    <m/>
    <m/>
  </r>
  <r>
    <n v="1729"/>
    <x v="13"/>
    <d v="2025-05-11T00:00:00"/>
    <x v="3"/>
    <x v="3"/>
    <m/>
    <n v="4061"/>
    <s v="Cheque"/>
    <s v="2025-05"/>
    <d v="2025-05-11T00:00:00"/>
    <x v="0"/>
    <m/>
    <m/>
    <m/>
    <m/>
  </r>
  <r>
    <n v="258"/>
    <x v="65"/>
    <d v="2024-10-23T00:00:00"/>
    <x v="1"/>
    <x v="0"/>
    <m/>
    <n v="854"/>
    <s v="Cash"/>
    <s v="2024-10"/>
    <d v="2025-06-18T00:00:00"/>
    <x v="0"/>
    <m/>
    <m/>
    <m/>
    <m/>
  </r>
  <r>
    <n v="945"/>
    <x v="68"/>
    <d v="2024-06-13T00:00:00"/>
    <x v="0"/>
    <x v="5"/>
    <m/>
    <n v="847"/>
    <s v="Cheque"/>
    <s v="2024-06"/>
    <d v="2025-04-25T00:00:00"/>
    <x v="0"/>
    <m/>
    <m/>
    <m/>
    <m/>
  </r>
  <r>
    <n v="1097"/>
    <x v="3"/>
    <d v="2024-01-06T00:00:00"/>
    <x v="4"/>
    <x v="0"/>
    <m/>
    <n v="305"/>
    <s v="Bank Transfer"/>
    <s v="2024-01"/>
    <d v="2025-06-15T00:00:00"/>
    <x v="0"/>
    <m/>
    <m/>
    <m/>
    <m/>
  </r>
  <r>
    <n v="1220"/>
    <x v="75"/>
    <d v="2024-11-04T00:00:00"/>
    <x v="0"/>
    <x v="2"/>
    <m/>
    <n v="10068"/>
    <s v="Bank Transfer"/>
    <s v="2024-11"/>
    <d v="2025-06-13T00:00:00"/>
    <x v="0"/>
    <m/>
    <m/>
    <m/>
    <m/>
  </r>
  <r>
    <n v="1508"/>
    <x v="117"/>
    <d v="2025-06-04T00:00:00"/>
    <x v="3"/>
    <x v="0"/>
    <m/>
    <n v="897"/>
    <s v="Cheque"/>
    <s v="2025-06"/>
    <d v="2025-06-04T00:00:00"/>
    <x v="0"/>
    <m/>
    <m/>
    <m/>
    <m/>
  </r>
  <r>
    <n v="1162"/>
    <x v="0"/>
    <d v="2025-02-22T00:00:00"/>
    <x v="1"/>
    <x v="0"/>
    <m/>
    <n v="1733"/>
    <s v="Cash"/>
    <s v="2025-02"/>
    <d v="2025-05-08T00:00:00"/>
    <x v="0"/>
    <m/>
    <m/>
    <m/>
    <m/>
  </r>
  <r>
    <n v="495"/>
    <x v="27"/>
    <d v="2024-05-28T00:00:00"/>
    <x v="3"/>
    <x v="4"/>
    <m/>
    <n v="4136"/>
    <s v="Cheque"/>
    <s v="2024-05"/>
    <d v="2025-05-13T00:00:00"/>
    <x v="0"/>
    <m/>
    <m/>
    <m/>
    <m/>
  </r>
  <r>
    <n v="773"/>
    <x v="85"/>
    <d v="2025-03-20T00:00:00"/>
    <x v="2"/>
    <x v="3"/>
    <m/>
    <n v="1730"/>
    <s v="Credit Card"/>
    <s v="2025-03"/>
    <d v="2025-04-17T00:00:00"/>
    <x v="0"/>
    <m/>
    <m/>
    <m/>
    <m/>
  </r>
  <r>
    <n v="551"/>
    <x v="80"/>
    <d v="2024-12-27T00:00:00"/>
    <x v="1"/>
    <x v="5"/>
    <m/>
    <n v="1221"/>
    <s v="Cheque"/>
    <s v="2024-12"/>
    <d v="2025-02-25T00:00:00"/>
    <x v="1"/>
    <m/>
    <m/>
    <m/>
    <m/>
  </r>
  <r>
    <n v="1487"/>
    <x v="3"/>
    <d v="2025-02-03T00:00:00"/>
    <x v="4"/>
    <x v="1"/>
    <m/>
    <n v="1951"/>
    <s v="Credit Card"/>
    <s v="2025-02"/>
    <d v="2025-06-15T00:00:00"/>
    <x v="0"/>
    <m/>
    <m/>
    <m/>
    <m/>
  </r>
  <r>
    <n v="202"/>
    <x v="51"/>
    <d v="2025-01-26T00:00:00"/>
    <x v="0"/>
    <x v="1"/>
    <m/>
    <n v="1073"/>
    <s v="Cheque"/>
    <s v="2025-01"/>
    <d v="2025-06-22T00:00:00"/>
    <x v="0"/>
    <m/>
    <m/>
    <m/>
    <m/>
  </r>
  <r>
    <n v="313"/>
    <x v="31"/>
    <d v="2025-05-09T00:00:00"/>
    <x v="2"/>
    <x v="1"/>
    <m/>
    <n v="1564"/>
    <s v="Cash"/>
    <s v="2025-05"/>
    <d v="2025-05-16T00:00:00"/>
    <x v="0"/>
    <m/>
    <m/>
    <m/>
    <m/>
  </r>
  <r>
    <n v="291"/>
    <x v="66"/>
    <d v="2025-04-19T00:00:00"/>
    <x v="2"/>
    <x v="3"/>
    <m/>
    <n v="1685"/>
    <s v="Bank Transfer"/>
    <s v="2025-04"/>
    <d v="2025-06-21T00:00:00"/>
    <x v="0"/>
    <m/>
    <m/>
    <m/>
    <m/>
  </r>
  <r>
    <n v="1214"/>
    <x v="91"/>
    <d v="2024-07-04T00:00:00"/>
    <x v="2"/>
    <x v="4"/>
    <m/>
    <n v="500"/>
    <s v="Bank Transfer"/>
    <s v="2024-07"/>
    <d v="2025-05-04T00:00:00"/>
    <x v="0"/>
    <m/>
    <m/>
    <m/>
    <m/>
  </r>
  <r>
    <n v="764"/>
    <x v="79"/>
    <d v="2024-11-15T00:00:00"/>
    <x v="0"/>
    <x v="0"/>
    <m/>
    <n v="4622"/>
    <s v="Cheque"/>
    <s v="2024-11"/>
    <d v="2025-04-29T00:00:00"/>
    <x v="0"/>
    <m/>
    <m/>
    <m/>
    <m/>
  </r>
  <r>
    <n v="1137"/>
    <x v="98"/>
    <d v="2025-01-05T00:00:00"/>
    <x v="3"/>
    <x v="3"/>
    <m/>
    <n v="874"/>
    <s v="Credit Card"/>
    <s v="2025-01"/>
    <d v="2025-05-05T00:00:00"/>
    <x v="0"/>
    <m/>
    <m/>
    <m/>
    <m/>
  </r>
  <r>
    <n v="950"/>
    <x v="87"/>
    <d v="2024-12-09T00:00:00"/>
    <x v="4"/>
    <x v="1"/>
    <m/>
    <n v="712"/>
    <s v="Cheque"/>
    <s v="2024-12"/>
    <d v="2025-05-02T00:00:00"/>
    <x v="0"/>
    <m/>
    <m/>
    <m/>
    <m/>
  </r>
  <r>
    <n v="184"/>
    <x v="18"/>
    <d v="2024-10-07T00:00:00"/>
    <x v="2"/>
    <x v="0"/>
    <m/>
    <n v="9519"/>
    <s v="Cash"/>
    <s v="2024-10"/>
    <d v="2025-05-23T00:00:00"/>
    <x v="0"/>
    <m/>
    <m/>
    <m/>
    <m/>
  </r>
  <r>
    <n v="1177"/>
    <x v="81"/>
    <d v="2025-06-20T00:00:00"/>
    <x v="4"/>
    <x v="2"/>
    <m/>
    <n v="1891"/>
    <s v="UPI"/>
    <s v="2025-06"/>
    <d v="2025-06-20T00:00:00"/>
    <x v="0"/>
    <m/>
    <m/>
    <m/>
    <m/>
  </r>
  <r>
    <n v="1350"/>
    <x v="76"/>
    <d v="2024-11-01T00:00:00"/>
    <x v="4"/>
    <x v="0"/>
    <m/>
    <n v="2361"/>
    <s v="UPI"/>
    <s v="2024-11"/>
    <d v="2025-03-18T00:00:00"/>
    <x v="1"/>
    <m/>
    <m/>
    <m/>
    <m/>
  </r>
  <r>
    <n v="1728"/>
    <x v="71"/>
    <d v="2024-01-16T00:00:00"/>
    <x v="4"/>
    <x v="0"/>
    <m/>
    <n v="767"/>
    <s v="Cheque"/>
    <s v="2024-01"/>
    <d v="2025-05-16T00:00:00"/>
    <x v="0"/>
    <m/>
    <m/>
    <m/>
    <m/>
  </r>
  <r>
    <n v="1069"/>
    <x v="118"/>
    <d v="2024-04-09T00:00:00"/>
    <x v="1"/>
    <x v="1"/>
    <m/>
    <n v="4097"/>
    <s v="Cheque"/>
    <s v="2024-04"/>
    <d v="2025-05-25T00:00:00"/>
    <x v="0"/>
    <m/>
    <m/>
    <m/>
    <m/>
  </r>
  <r>
    <n v="1469"/>
    <x v="9"/>
    <d v="2024-11-20T00:00:00"/>
    <x v="1"/>
    <x v="0"/>
    <m/>
    <n v="688"/>
    <s v="UPI"/>
    <s v="2024-11"/>
    <d v="2025-04-29T00:00:00"/>
    <x v="0"/>
    <m/>
    <m/>
    <m/>
    <m/>
  </r>
  <r>
    <n v="1031"/>
    <x v="15"/>
    <d v="2025-01-01T00:00:00"/>
    <x v="4"/>
    <x v="5"/>
    <m/>
    <n v="1014"/>
    <s v="Credit Card"/>
    <s v="2025-01"/>
    <d v="2025-05-15T00:00:00"/>
    <x v="0"/>
    <m/>
    <m/>
    <m/>
    <m/>
  </r>
  <r>
    <n v="251"/>
    <x v="48"/>
    <d v="2024-06-26T00:00:00"/>
    <x v="4"/>
    <x v="1"/>
    <m/>
    <n v="2140"/>
    <s v="Bank Transfer"/>
    <s v="2024-06"/>
    <d v="2025-04-13T00:00:00"/>
    <x v="0"/>
    <m/>
    <m/>
    <m/>
    <m/>
  </r>
  <r>
    <n v="824"/>
    <x v="76"/>
    <d v="2024-06-18T00:00:00"/>
    <x v="0"/>
    <x v="5"/>
    <m/>
    <n v="2501"/>
    <s v="Cheque"/>
    <s v="2024-06"/>
    <d v="2025-03-18T00:00:00"/>
    <x v="1"/>
    <m/>
    <m/>
    <m/>
    <m/>
  </r>
  <r>
    <n v="1100"/>
    <x v="105"/>
    <d v="2024-10-30T00:00:00"/>
    <x v="0"/>
    <x v="5"/>
    <m/>
    <n v="2522"/>
    <s v="Cheque"/>
    <s v="2024-10"/>
    <d v="2025-06-17T00:00:00"/>
    <x v="0"/>
    <m/>
    <m/>
    <m/>
    <m/>
  </r>
  <r>
    <n v="1537"/>
    <x v="21"/>
    <d v="2024-10-20T00:00:00"/>
    <x v="3"/>
    <x v="5"/>
    <m/>
    <n v="1785"/>
    <s v="Cheque"/>
    <s v="2024-10"/>
    <d v="2025-06-03T00:00:00"/>
    <x v="0"/>
    <m/>
    <m/>
    <m/>
    <m/>
  </r>
  <r>
    <n v="941"/>
    <x v="87"/>
    <d v="2025-05-02T00:00:00"/>
    <x v="1"/>
    <x v="1"/>
    <m/>
    <n v="509"/>
    <s v="Cash"/>
    <s v="2025-05"/>
    <d v="2025-05-02T00:00:00"/>
    <x v="0"/>
    <m/>
    <m/>
    <m/>
    <m/>
  </r>
  <r>
    <n v="392"/>
    <x v="109"/>
    <d v="2024-03-28T00:00:00"/>
    <x v="4"/>
    <x v="2"/>
    <m/>
    <n v="4423"/>
    <s v="Cheque"/>
    <s v="2024-03"/>
    <d v="2025-05-15T00:00:00"/>
    <x v="0"/>
    <m/>
    <m/>
    <m/>
    <m/>
  </r>
  <r>
    <n v="1457"/>
    <x v="40"/>
    <d v="2024-11-09T00:00:00"/>
    <x v="3"/>
    <x v="2"/>
    <m/>
    <n v="499"/>
    <s v="Cheque"/>
    <s v="2024-11"/>
    <d v="2025-05-30T00:00:00"/>
    <x v="0"/>
    <m/>
    <m/>
    <m/>
    <m/>
  </r>
  <r>
    <n v="1093"/>
    <x v="19"/>
    <d v="2024-09-07T00:00:00"/>
    <x v="2"/>
    <x v="1"/>
    <m/>
    <n v="885"/>
    <s v="Cheque"/>
    <s v="2024-09"/>
    <d v="2025-06-19T00:00:00"/>
    <x v="0"/>
    <m/>
    <m/>
    <m/>
    <m/>
  </r>
  <r>
    <n v="1192"/>
    <x v="8"/>
    <d v="2024-08-08T00:00:00"/>
    <x v="3"/>
    <x v="1"/>
    <m/>
    <n v="2107"/>
    <s v="Credit Card"/>
    <s v="2024-08"/>
    <d v="2025-05-11T00:00:00"/>
    <x v="0"/>
    <m/>
    <m/>
    <m/>
    <m/>
  </r>
  <r>
    <n v="905"/>
    <x v="15"/>
    <d v="2024-07-11T00:00:00"/>
    <x v="4"/>
    <x v="3"/>
    <m/>
    <n v="674"/>
    <s v="Cash"/>
    <s v="2024-07"/>
    <d v="2025-05-15T00:00:00"/>
    <x v="0"/>
    <m/>
    <m/>
    <m/>
    <m/>
  </r>
  <r>
    <n v="731"/>
    <x v="106"/>
    <d v="2024-05-15T00:00:00"/>
    <x v="4"/>
    <x v="0"/>
    <m/>
    <n v="331"/>
    <s v="Cash"/>
    <s v="2024-05"/>
    <d v="2025-06-20T00:00:00"/>
    <x v="0"/>
    <m/>
    <m/>
    <m/>
    <m/>
  </r>
  <r>
    <n v="555"/>
    <x v="12"/>
    <d v="2024-03-27T00:00:00"/>
    <x v="3"/>
    <x v="4"/>
    <m/>
    <n v="330"/>
    <s v="Cash"/>
    <s v="2024-03"/>
    <d v="2025-05-28T00:00:00"/>
    <x v="0"/>
    <m/>
    <m/>
    <m/>
    <m/>
  </r>
  <r>
    <n v="367"/>
    <x v="93"/>
    <d v="2025-05-19T00:00:00"/>
    <x v="0"/>
    <x v="3"/>
    <m/>
    <n v="2611"/>
    <s v="Credit Card"/>
    <s v="2025-05"/>
    <d v="2025-06-16T00:00:00"/>
    <x v="0"/>
    <m/>
    <m/>
    <m/>
    <m/>
  </r>
  <r>
    <n v="346"/>
    <x v="36"/>
    <d v="2024-10-24T00:00:00"/>
    <x v="3"/>
    <x v="0"/>
    <m/>
    <n v="9351"/>
    <s v="Credit Card"/>
    <s v="2024-10"/>
    <d v="2025-06-16T00:00:00"/>
    <x v="0"/>
    <m/>
    <m/>
    <m/>
    <m/>
  </r>
  <r>
    <n v="1609"/>
    <x v="12"/>
    <d v="2025-05-17T00:00:00"/>
    <x v="0"/>
    <x v="2"/>
    <m/>
    <n v="1938"/>
    <s v="Cash"/>
    <s v="2025-05"/>
    <d v="2025-05-28T00:00:00"/>
    <x v="0"/>
    <m/>
    <m/>
    <m/>
    <m/>
  </r>
  <r>
    <n v="536"/>
    <x v="54"/>
    <d v="2024-04-19T00:00:00"/>
    <x v="3"/>
    <x v="2"/>
    <m/>
    <n v="1117"/>
    <s v="Cheque"/>
    <s v="2024-04"/>
    <d v="2025-02-10T00:00:00"/>
    <x v="1"/>
    <m/>
    <m/>
    <m/>
    <m/>
  </r>
  <r>
    <n v="1423"/>
    <x v="92"/>
    <d v="2024-09-15T00:00:00"/>
    <x v="0"/>
    <x v="1"/>
    <m/>
    <n v="285"/>
    <s v="Credit Card"/>
    <s v="2024-09"/>
    <d v="2025-04-20T00:00:00"/>
    <x v="0"/>
    <m/>
    <m/>
    <m/>
    <m/>
  </r>
  <r>
    <n v="1210"/>
    <x v="80"/>
    <d v="2025-01-24T00:00:00"/>
    <x v="0"/>
    <x v="1"/>
    <m/>
    <n v="942"/>
    <s v="Bank Transfer"/>
    <s v="2025-01"/>
    <d v="2025-02-25T00:00:00"/>
    <x v="1"/>
    <m/>
    <m/>
    <m/>
    <m/>
  </r>
  <r>
    <n v="1373"/>
    <x v="2"/>
    <d v="2025-01-24T00:00:00"/>
    <x v="0"/>
    <x v="3"/>
    <m/>
    <n v="270"/>
    <s v="UPI"/>
    <s v="2025-01"/>
    <d v="2025-06-10T00:00:00"/>
    <x v="0"/>
    <m/>
    <m/>
    <m/>
    <m/>
  </r>
  <r>
    <n v="1640"/>
    <x v="55"/>
    <d v="2024-08-05T00:00:00"/>
    <x v="2"/>
    <x v="5"/>
    <m/>
    <n v="1155"/>
    <s v="Credit Card"/>
    <s v="2024-08"/>
    <d v="2025-06-22T00:00:00"/>
    <x v="0"/>
    <m/>
    <m/>
    <m/>
    <m/>
  </r>
  <r>
    <n v="920"/>
    <x v="41"/>
    <d v="2025-03-10T00:00:00"/>
    <x v="2"/>
    <x v="2"/>
    <m/>
    <n v="1065"/>
    <s v="UPI"/>
    <s v="2025-03"/>
    <d v="2025-06-08T00:00:00"/>
    <x v="0"/>
    <m/>
    <m/>
    <m/>
    <m/>
  </r>
  <r>
    <n v="212"/>
    <x v="104"/>
    <d v="2024-03-15T00:00:00"/>
    <x v="5"/>
    <x v="2"/>
    <m/>
    <n v="8868"/>
    <s v="Credit Card"/>
    <s v="2024-03"/>
    <d v="2025-06-07T00:00:00"/>
    <x v="0"/>
    <m/>
    <m/>
    <m/>
    <m/>
  </r>
  <r>
    <n v="1604"/>
    <x v="69"/>
    <d v="2024-12-11T00:00:00"/>
    <x v="1"/>
    <x v="2"/>
    <m/>
    <n v="2541"/>
    <s v="Bank Transfer"/>
    <s v="2024-12"/>
    <d v="2025-03-22T00:00:00"/>
    <x v="1"/>
    <m/>
    <m/>
    <m/>
    <m/>
  </r>
  <r>
    <n v="503"/>
    <x v="44"/>
    <d v="2025-03-08T00:00:00"/>
    <x v="3"/>
    <x v="3"/>
    <m/>
    <n v="11615"/>
    <s v="Cash"/>
    <s v="2025-03"/>
    <d v="2025-04-26T00:00:00"/>
    <x v="0"/>
    <m/>
    <m/>
    <m/>
    <m/>
  </r>
  <r>
    <n v="538"/>
    <x v="5"/>
    <d v="2024-08-29T00:00:00"/>
    <x v="2"/>
    <x v="2"/>
    <m/>
    <n v="254"/>
    <s v="Cheque"/>
    <s v="2024-08"/>
    <d v="2025-05-24T00:00:00"/>
    <x v="0"/>
    <m/>
    <m/>
    <m/>
    <m/>
  </r>
  <r>
    <n v="1221"/>
    <x v="100"/>
    <d v="2024-02-05T00:00:00"/>
    <x v="0"/>
    <x v="2"/>
    <m/>
    <n v="559"/>
    <s v="Credit Card"/>
    <s v="2024-02"/>
    <d v="2025-06-04T00:00:00"/>
    <x v="0"/>
    <m/>
    <m/>
    <m/>
    <m/>
  </r>
  <r>
    <n v="176"/>
    <x v="4"/>
    <d v="2025-02-15T00:00:00"/>
    <x v="2"/>
    <x v="3"/>
    <m/>
    <n v="427"/>
    <s v="Bank Transfer"/>
    <s v="2025-02"/>
    <d v="2025-05-02T00:00:00"/>
    <x v="0"/>
    <m/>
    <m/>
    <m/>
    <m/>
  </r>
  <r>
    <m/>
    <x v="120"/>
    <m/>
    <x v="6"/>
    <x v="6"/>
    <m/>
    <m/>
    <m/>
    <m/>
    <m/>
    <x v="2"/>
    <m/>
    <m/>
    <m/>
    <m/>
  </r>
  <r>
    <m/>
    <x v="120"/>
    <m/>
    <x v="6"/>
    <x v="6"/>
    <m/>
    <m/>
    <m/>
    <m/>
    <m/>
    <x v="2"/>
    <m/>
    <m/>
    <m/>
    <m/>
  </r>
  <r>
    <m/>
    <x v="120"/>
    <m/>
    <x v="6"/>
    <x v="6"/>
    <m/>
    <m/>
    <m/>
    <m/>
    <m/>
    <x v="2"/>
    <m/>
    <m/>
    <m/>
    <m/>
  </r>
  <r>
    <m/>
    <x v="120"/>
    <m/>
    <x v="6"/>
    <x v="6"/>
    <m/>
    <m/>
    <m/>
    <m/>
    <m/>
    <x v="2"/>
    <m/>
    <m/>
    <m/>
    <m/>
  </r>
  <r>
    <m/>
    <x v="120"/>
    <m/>
    <x v="6"/>
    <x v="6"/>
    <m/>
    <m/>
    <m/>
    <m/>
    <m/>
    <x v="2"/>
    <m/>
    <m/>
    <m/>
    <m/>
  </r>
  <r>
    <m/>
    <x v="120"/>
    <m/>
    <x v="6"/>
    <x v="6"/>
    <m/>
    <m/>
    <m/>
    <m/>
    <m/>
    <x v="2"/>
    <m/>
    <m/>
    <m/>
    <m/>
  </r>
  <r>
    <m/>
    <x v="120"/>
    <m/>
    <x v="6"/>
    <x v="6"/>
    <m/>
    <m/>
    <m/>
    <m/>
    <m/>
    <x v="2"/>
    <m/>
    <m/>
    <m/>
    <m/>
  </r>
  <r>
    <m/>
    <x v="120"/>
    <m/>
    <x v="6"/>
    <x v="6"/>
    <m/>
    <m/>
    <m/>
    <m/>
    <m/>
    <x v="2"/>
    <m/>
    <m/>
    <m/>
    <m/>
  </r>
  <r>
    <m/>
    <x v="120"/>
    <m/>
    <x v="6"/>
    <x v="6"/>
    <m/>
    <m/>
    <m/>
    <m/>
    <m/>
    <x v="2"/>
    <m/>
    <m/>
    <m/>
    <m/>
  </r>
  <r>
    <m/>
    <x v="120"/>
    <m/>
    <x v="6"/>
    <x v="6"/>
    <m/>
    <m/>
    <m/>
    <m/>
    <m/>
    <x v="2"/>
    <m/>
    <m/>
    <m/>
    <m/>
  </r>
  <r>
    <m/>
    <x v="120"/>
    <m/>
    <x v="6"/>
    <x v="6"/>
    <m/>
    <m/>
    <m/>
    <m/>
    <m/>
    <x v="2"/>
    <m/>
    <m/>
    <m/>
    <m/>
  </r>
  <r>
    <m/>
    <x v="120"/>
    <m/>
    <x v="6"/>
    <x v="6"/>
    <m/>
    <m/>
    <m/>
    <m/>
    <m/>
    <x v="2"/>
    <m/>
    <m/>
    <m/>
    <m/>
  </r>
  <r>
    <m/>
    <x v="120"/>
    <m/>
    <x v="6"/>
    <x v="6"/>
    <m/>
    <m/>
    <m/>
    <m/>
    <m/>
    <x v="2"/>
    <m/>
    <m/>
    <m/>
    <m/>
  </r>
  <r>
    <m/>
    <x v="120"/>
    <m/>
    <x v="6"/>
    <x v="6"/>
    <m/>
    <m/>
    <m/>
    <m/>
    <m/>
    <x v="2"/>
    <m/>
    <m/>
    <m/>
    <m/>
  </r>
  <r>
    <m/>
    <x v="120"/>
    <m/>
    <x v="6"/>
    <x v="6"/>
    <m/>
    <m/>
    <m/>
    <m/>
    <m/>
    <x v="2"/>
    <m/>
    <m/>
    <m/>
    <m/>
  </r>
  <r>
    <m/>
    <x v="120"/>
    <m/>
    <x v="6"/>
    <x v="6"/>
    <m/>
    <m/>
    <m/>
    <m/>
    <m/>
    <x v="2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1">
  <r>
    <n v="1566"/>
    <s v="Donor_003"/>
    <d v="2024-09-26T00:00:00"/>
    <s v="West"/>
    <s v="YearEndGiving"/>
    <m/>
    <n v="9051"/>
    <s v="Credit Card"/>
    <x v="0"/>
    <d v="2025-05-08T00:00:00"/>
    <s v="ACTIVE"/>
    <m/>
    <s v="Donor_003"/>
    <s v="ACTIVE"/>
    <n v="33565"/>
  </r>
  <r>
    <n v="888"/>
    <s v="Donor_029"/>
    <d v="2024-08-24T00:00:00"/>
    <s v="East"/>
    <s v="RamadanFeeding"/>
    <m/>
    <n v="247"/>
    <s v="Cash"/>
    <x v="1"/>
    <d v="2025-06-05T00:00:00"/>
    <s v="ACTIVE"/>
    <d v="2025-06-23T00:00:00"/>
    <m/>
    <m/>
    <m/>
  </r>
  <r>
    <n v="38"/>
    <s v="Donor_005"/>
    <d v="2024-09-28T00:00:00"/>
    <s v="North"/>
    <s v="YearEndGiving"/>
    <m/>
    <n v="704"/>
    <s v="Bank Transfer"/>
    <x v="0"/>
    <d v="2025-06-10T00:00:00"/>
    <s v="ACTIVE"/>
    <n v="765625"/>
    <m/>
    <m/>
    <m/>
  </r>
  <r>
    <n v="1503"/>
    <s v="Donor_035"/>
    <d v="2024-06-19T00:00:00"/>
    <s v="Central"/>
    <s v="EmergencyFoodBank"/>
    <m/>
    <n v="11535"/>
    <s v="Cheque"/>
    <x v="2"/>
    <d v="2025-06-15T00:00:00"/>
    <s v="ACTIVE"/>
    <n v="727161"/>
    <m/>
    <m/>
    <m/>
  </r>
  <r>
    <n v="288"/>
    <s v="Donor_065"/>
    <d v="2024-04-07T00:00:00"/>
    <s v="South"/>
    <s v="EmergencyFoodBank"/>
    <m/>
    <n v="622"/>
    <s v="Cheque"/>
    <x v="3"/>
    <d v="2025-05-02T00:00:00"/>
    <s v="ACTIVE"/>
    <n v="885899"/>
    <m/>
    <m/>
    <m/>
  </r>
  <r>
    <n v="708"/>
    <s v="Donor_023"/>
    <d v="2024-06-11T00:00:00"/>
    <s v="Central"/>
    <s v="WinterMealDrive"/>
    <m/>
    <n v="935"/>
    <s v="UPI"/>
    <x v="2"/>
    <d v="2025-05-24T00:00:00"/>
    <s v="ACTIVE"/>
    <n v="789822"/>
    <m/>
    <m/>
    <m/>
  </r>
  <r>
    <n v="128"/>
    <s v="Donor_020"/>
    <d v="2024-11-19T00:00:00"/>
    <s v="West"/>
    <s v="WinterMealDrive"/>
    <m/>
    <n v="293"/>
    <s v="Bank Transfer"/>
    <x v="4"/>
    <d v="2025-05-31T00:00:00"/>
    <s v="ACTIVE"/>
    <n v="802130"/>
    <m/>
    <m/>
    <m/>
  </r>
  <r>
    <n v="1678"/>
    <s v="Donor_106"/>
    <d v="2024-06-16T00:00:00"/>
    <s v="South"/>
    <s v="EmergencyFoodBank"/>
    <m/>
    <n v="0"/>
    <s v="Credit Card"/>
    <x v="2"/>
    <d v="2025-06-11T00:00:00"/>
    <s v="ACTIVE"/>
    <n v="723916"/>
    <m/>
    <m/>
    <m/>
  </r>
  <r>
    <n v="1465"/>
    <s v="Donor_080"/>
    <d v="2024-07-13T00:00:00"/>
    <s v="West"/>
    <s v="YearEndGiving"/>
    <m/>
    <n v="1190"/>
    <s v="Credit Card"/>
    <x v="5"/>
    <d v="2025-05-11T00:00:00"/>
    <s v="ACTIVE"/>
    <m/>
    <m/>
    <m/>
    <m/>
  </r>
  <r>
    <n v="919"/>
    <s v="Donor_032"/>
    <d v="2025-03-07T00:00:00"/>
    <s v="South"/>
    <s v="SchoolLunchFund"/>
    <m/>
    <n v="549"/>
    <s v="UPI"/>
    <x v="6"/>
    <d v="2025-04-29T00:00:00"/>
    <s v="ACTIVE"/>
    <m/>
    <m/>
    <m/>
    <m/>
  </r>
  <r>
    <n v="485"/>
    <s v="Donor_095"/>
    <d v="2024-04-25T00:00:00"/>
    <s v="North"/>
    <s v="SchoolLunchFund"/>
    <m/>
    <n v="1721"/>
    <s v="Bank Transfer"/>
    <x v="3"/>
    <d v="2025-05-17T00:00:00"/>
    <s v="ACTIVE"/>
    <m/>
    <m/>
    <m/>
    <m/>
  </r>
  <r>
    <n v="1296"/>
    <s v="Donor_116"/>
    <d v="2024-11-03T00:00:00"/>
    <s v="Central"/>
    <s v="RamadanFeeding"/>
    <m/>
    <n v="440"/>
    <s v="Bank Transfer"/>
    <x v="4"/>
    <d v="2025-06-11T00:00:00"/>
    <s v="ACTIVE"/>
    <m/>
    <m/>
    <m/>
    <m/>
  </r>
  <r>
    <n v="1089"/>
    <s v="Donor_005"/>
    <d v="2024-09-10T00:00:00"/>
    <s v="East"/>
    <s v="EmergencyFoodBank"/>
    <m/>
    <n v="1125"/>
    <s v="Cash"/>
    <x v="0"/>
    <d v="2025-06-10T00:00:00"/>
    <s v="ACTIVE"/>
    <m/>
    <m/>
    <m/>
    <m/>
  </r>
  <r>
    <n v="180"/>
    <s v="Donor_019"/>
    <d v="2025-01-24T00:00:00"/>
    <s v="South"/>
    <s v="WinterMealDrive"/>
    <m/>
    <n v="876"/>
    <s v="Cash"/>
    <x v="7"/>
    <d v="2025-05-28T00:00:00"/>
    <s v="ACTIVE"/>
    <m/>
    <m/>
    <m/>
    <m/>
  </r>
  <r>
    <n v="695"/>
    <s v="Donor_101"/>
    <d v="2024-07-02T00:00:00"/>
    <s v="South"/>
    <s v="RamadanFeeding"/>
    <m/>
    <n v="417"/>
    <s v="Bank Transfer"/>
    <x v="5"/>
    <d v="2025-05-11T00:00:00"/>
    <s v="ACTIVE"/>
    <m/>
    <m/>
    <m/>
    <m/>
  </r>
  <r>
    <n v="1386"/>
    <s v="Donor_019"/>
    <d v="2024-03-13T00:00:00"/>
    <s v="South"/>
    <s v="YearEndGiving"/>
    <m/>
    <n v="1717"/>
    <s v="UPI"/>
    <x v="8"/>
    <d v="2025-05-28T00:00:00"/>
    <s v="ACTIVE"/>
    <m/>
    <m/>
    <m/>
    <m/>
  </r>
  <r>
    <n v="1555"/>
    <s v="Donor_053"/>
    <d v="2024-12-18T00:00:00"/>
    <s v="North"/>
    <s v="SchoolLunchFund"/>
    <m/>
    <n v="702"/>
    <s v="Cheque"/>
    <x v="9"/>
    <d v="2025-04-16T00:00:00"/>
    <s v="ACTIVE"/>
    <m/>
    <m/>
    <m/>
    <m/>
  </r>
  <r>
    <n v="976"/>
    <s v="Donor_009"/>
    <d v="2024-01-17T00:00:00"/>
    <s v="West"/>
    <s v="WinterMealDrive"/>
    <m/>
    <n v="817"/>
    <s v="Bank Transfer"/>
    <x v="10"/>
    <d v="2025-05-15T00:00:00"/>
    <s v="ACTIVE"/>
    <m/>
    <m/>
    <m/>
    <m/>
  </r>
  <r>
    <n v="351"/>
    <s v="Donor_026"/>
    <d v="2025-05-24T00:00:00"/>
    <s v="Central"/>
    <s v="SchoolLunchFund"/>
    <m/>
    <n v="2831"/>
    <s v="Credit Card"/>
    <x v="11"/>
    <d v="2025-05-28T00:00:00"/>
    <s v="ACTIVE"/>
    <m/>
    <m/>
    <m/>
    <m/>
  </r>
  <r>
    <n v="397"/>
    <s v="Donor_108"/>
    <d v="2024-03-24T00:00:00"/>
    <s v="East"/>
    <s v="SchoolLunchFund"/>
    <m/>
    <n v="8786"/>
    <s v="UPI"/>
    <x v="8"/>
    <d v="2025-05-21T00:00:00"/>
    <s v="ACTIVE"/>
    <m/>
    <m/>
    <m/>
    <m/>
  </r>
  <r>
    <n v="451"/>
    <s v="Donor_037"/>
    <d v="2024-10-05T00:00:00"/>
    <s v="Central"/>
    <s v="FloodReliefMeals"/>
    <m/>
    <n v="656"/>
    <s v="UPI"/>
    <x v="12"/>
    <d v="2025-05-23T00:00:00"/>
    <s v="ACTIVE"/>
    <m/>
    <m/>
    <m/>
    <m/>
  </r>
  <r>
    <n v="489"/>
    <s v="Donor_049"/>
    <d v="2024-08-24T00:00:00"/>
    <s v="Central"/>
    <s v="EmergencyFoodBank"/>
    <m/>
    <n v="1162"/>
    <s v="Cash"/>
    <x v="1"/>
    <d v="2025-06-19T00:00:00"/>
    <s v="ACTIVE"/>
    <m/>
    <m/>
    <m/>
    <m/>
  </r>
  <r>
    <n v="205"/>
    <s v="Donor_079"/>
    <d v="2025-03-05T00:00:00"/>
    <s v="North"/>
    <s v="SchoolLunchFund"/>
    <m/>
    <n v="1654"/>
    <s v="Cheque"/>
    <x v="6"/>
    <d v="2025-06-07T00:00:00"/>
    <s v="ACTIVE"/>
    <m/>
    <m/>
    <m/>
    <m/>
  </r>
  <r>
    <n v="59"/>
    <s v="Donor_014"/>
    <d v="2025-05-16T00:00:00"/>
    <s v="West"/>
    <s v="FloodReliefMeals"/>
    <m/>
    <n v="325"/>
    <s v="Cash"/>
    <x v="11"/>
    <d v="2025-06-03T00:00:00"/>
    <s v="ACTIVE"/>
    <m/>
    <m/>
    <m/>
    <m/>
  </r>
  <r>
    <n v="872"/>
    <s v="Donor_087"/>
    <d v="2025-03-10T00:00:00"/>
    <s v="Central"/>
    <s v="EmergencyFoodBank"/>
    <m/>
    <n v="1488"/>
    <s v="Cheque"/>
    <x v="6"/>
    <d v="2025-06-09T00:00:00"/>
    <s v="ACTIVE"/>
    <m/>
    <m/>
    <m/>
    <m/>
  </r>
  <r>
    <n v="1361"/>
    <s v="Donor_077"/>
    <d v="2024-03-31T00:00:00"/>
    <s v="East"/>
    <s v="RamadanFeeding"/>
    <m/>
    <n v="305"/>
    <s v="Bank Transfer"/>
    <x v="8"/>
    <d v="2025-06-21T00:00:00"/>
    <s v="ACTIVE"/>
    <m/>
    <m/>
    <m/>
    <m/>
  </r>
  <r>
    <n v="1138"/>
    <s v="Donor_050"/>
    <d v="2024-12-13T00:00:00"/>
    <s v="South"/>
    <s v="RamadanFeeding"/>
    <m/>
    <n v="1371"/>
    <s v="Cash"/>
    <x v="9"/>
    <d v="2025-06-18T00:00:00"/>
    <s v="ACTIVE"/>
    <m/>
    <m/>
    <m/>
    <m/>
  </r>
  <r>
    <n v="631"/>
    <s v="Donor_093"/>
    <d v="2024-01-05T00:00:00"/>
    <s v="North"/>
    <s v="SchoolLunchFund"/>
    <m/>
    <n v="11405"/>
    <s v="Cash"/>
    <x v="10"/>
    <d v="2025-03-24T00:00:00"/>
    <s v="LAPSED"/>
    <m/>
    <m/>
    <m/>
    <m/>
  </r>
  <r>
    <n v="1276"/>
    <s v="Donor_010"/>
    <d v="2024-11-23T00:00:00"/>
    <s v="South"/>
    <s v="RamadanFeeding"/>
    <m/>
    <n v="2057"/>
    <s v="Cheque"/>
    <x v="4"/>
    <d v="2025-06-01T00:00:00"/>
    <s v="ACTIVE"/>
    <m/>
    <m/>
    <m/>
    <m/>
  </r>
  <r>
    <n v="900"/>
    <s v="Donor_084"/>
    <d v="2024-01-02T00:00:00"/>
    <s v="East"/>
    <s v="EmergencyFoodBank"/>
    <m/>
    <n v="4649"/>
    <s v="Cheque"/>
    <x v="10"/>
    <d v="2025-05-13T00:00:00"/>
    <s v="ACTIVE"/>
    <m/>
    <m/>
    <m/>
    <m/>
  </r>
  <r>
    <n v="1345"/>
    <s v="Donor_003"/>
    <d v="2025-02-09T00:00:00"/>
    <s v="Central"/>
    <s v="FloodReliefMeals"/>
    <m/>
    <n v="243"/>
    <s v="Cash"/>
    <x v="13"/>
    <d v="2025-05-08T00:00:00"/>
    <s v="ACTIVE"/>
    <m/>
    <m/>
    <m/>
    <m/>
  </r>
  <r>
    <n v="364"/>
    <s v="Donor_102"/>
    <d v="2024-04-03T00:00:00"/>
    <s v="Central"/>
    <s v="YearEndGiving"/>
    <m/>
    <n v="2890"/>
    <s v="Cheque"/>
    <x v="3"/>
    <d v="2025-04-29T00:00:00"/>
    <s v="ACTIVE"/>
    <m/>
    <m/>
    <m/>
    <m/>
  </r>
  <r>
    <n v="1095"/>
    <s v="Donor_111"/>
    <d v="2024-07-31T00:00:00"/>
    <s v="West"/>
    <s v="YearEndGiving"/>
    <m/>
    <n v="1667"/>
    <s v="Cash"/>
    <x v="5"/>
    <d v="2025-04-26T00:00:00"/>
    <s v="ACTIVE"/>
    <m/>
    <m/>
    <m/>
    <m/>
  </r>
  <r>
    <n v="1051"/>
    <s v="Donor_062"/>
    <d v="2025-01-02T00:00:00"/>
    <s v="Central"/>
    <s v="SchoolLunchFund"/>
    <m/>
    <n v="618"/>
    <s v="UPI"/>
    <x v="7"/>
    <d v="2025-05-17T00:00:00"/>
    <s v="ACTIVE"/>
    <m/>
    <m/>
    <m/>
    <m/>
  </r>
  <r>
    <n v="1412"/>
    <s v="Donor_091"/>
    <d v="2024-04-02T00:00:00"/>
    <s v="South"/>
    <s v="WinterMealDrive"/>
    <m/>
    <n v="8200"/>
    <s v="UPI"/>
    <x v="3"/>
    <d v="2025-05-16T00:00:00"/>
    <s v="ACTIVE"/>
    <m/>
    <m/>
    <m/>
    <m/>
  </r>
  <r>
    <n v="368"/>
    <s v="Donor_092"/>
    <d v="2024-07-14T00:00:00"/>
    <s v="East"/>
    <s v="WinterMealDrive"/>
    <m/>
    <n v="614"/>
    <s v="Cheque"/>
    <x v="5"/>
    <d v="2025-05-07T00:00:00"/>
    <s v="ACTIVE"/>
    <m/>
    <m/>
    <m/>
    <m/>
  </r>
  <r>
    <n v="1151"/>
    <s v="Donor_078"/>
    <d v="2024-02-16T00:00:00"/>
    <s v="West"/>
    <s v="SchoolLunchFund"/>
    <m/>
    <n v="2273"/>
    <s v="Cash"/>
    <x v="14"/>
    <d v="2025-03-13T00:00:00"/>
    <s v="LAPSED"/>
    <m/>
    <m/>
    <m/>
    <m/>
  </r>
  <r>
    <n v="1626"/>
    <s v="Donor_089"/>
    <d v="2024-08-03T00:00:00"/>
    <s v="East"/>
    <s v="EmergencyFoodBank"/>
    <m/>
    <n v="9429"/>
    <s v="Credit Card"/>
    <x v="1"/>
    <d v="2025-05-16T00:00:00"/>
    <s v="ACTIVE"/>
    <m/>
    <m/>
    <m/>
    <m/>
  </r>
  <r>
    <n v="573"/>
    <s v="Donor_052"/>
    <d v="2024-02-13T00:00:00"/>
    <s v="North"/>
    <s v="SchoolLunchFund"/>
    <m/>
    <n v="9833"/>
    <s v="Cheque"/>
    <x v="14"/>
    <d v="2025-06-13T00:00:00"/>
    <s v="ACTIVE"/>
    <m/>
    <m/>
    <m/>
    <m/>
  </r>
  <r>
    <n v="1211"/>
    <s v="Donor_084"/>
    <d v="2024-03-27T00:00:00"/>
    <s v="West"/>
    <s v="RamadanFeeding"/>
    <m/>
    <n v="590"/>
    <s v="Bank Transfer"/>
    <x v="8"/>
    <d v="2025-05-13T00:00:00"/>
    <s v="ACTIVE"/>
    <m/>
    <m/>
    <m/>
    <m/>
  </r>
  <r>
    <n v="604"/>
    <s v="Donor_059"/>
    <d v="2025-03-31T00:00:00"/>
    <s v="East"/>
    <s v="YearEndGiving"/>
    <m/>
    <n v="1739"/>
    <s v="Bank Transfer"/>
    <x v="6"/>
    <d v="2025-06-16T00:00:00"/>
    <s v="ACTIVE"/>
    <m/>
    <m/>
    <m/>
    <m/>
  </r>
  <r>
    <n v="1017"/>
    <s v="Donor_022"/>
    <d v="2024-09-03T00:00:00"/>
    <s v="Central"/>
    <s v="EmergencyFoodBank"/>
    <m/>
    <n v="8801"/>
    <s v="Cash"/>
    <x v="0"/>
    <d v="2025-06-21T00:00:00"/>
    <s v="ACTIVE"/>
    <m/>
    <m/>
    <m/>
    <m/>
  </r>
  <r>
    <n v="1455"/>
    <s v="Donor_086"/>
    <d v="2024-08-22T00:00:00"/>
    <s v="Central"/>
    <s v="FloodReliefMeals"/>
    <m/>
    <n v="680"/>
    <s v="Cheque"/>
    <x v="1"/>
    <d v="2025-05-29T00:00:00"/>
    <s v="ACTIVE"/>
    <m/>
    <m/>
    <m/>
    <m/>
  </r>
  <r>
    <n v="456"/>
    <s v="Donor_059"/>
    <d v="2024-07-22T00:00:00"/>
    <s v="North"/>
    <s v="YearEndGiving"/>
    <m/>
    <n v="1978"/>
    <s v="Bank Transfer"/>
    <x v="5"/>
    <d v="2025-06-16T00:00:00"/>
    <s v="ACTIVE"/>
    <m/>
    <m/>
    <m/>
    <m/>
  </r>
  <r>
    <n v="314"/>
    <s v="Donor_085"/>
    <d v="2024-09-28T00:00:00"/>
    <s v="East"/>
    <s v="FloodReliefMeals"/>
    <m/>
    <n v="1677"/>
    <s v="Cash"/>
    <x v="0"/>
    <d v="2025-06-22T00:00:00"/>
    <s v="ACTIVE"/>
    <m/>
    <m/>
    <m/>
    <m/>
  </r>
  <r>
    <n v="507"/>
    <s v="Donor_023"/>
    <d v="2024-05-28T00:00:00"/>
    <s v="North"/>
    <s v="RamadanFeeding"/>
    <m/>
    <n v="2310"/>
    <s v="Cash"/>
    <x v="15"/>
    <d v="2025-05-24T00:00:00"/>
    <s v="ACTIVE"/>
    <m/>
    <m/>
    <m/>
    <m/>
  </r>
  <r>
    <n v="1204"/>
    <s v="Donor_099"/>
    <d v="2024-07-24T00:00:00"/>
    <s v="Central"/>
    <s v="FloodReliefMeals"/>
    <m/>
    <n v="1313"/>
    <s v="Credit Card"/>
    <x v="5"/>
    <d v="2025-05-30T00:00:00"/>
    <s v="ACTIVE"/>
    <m/>
    <m/>
    <m/>
    <m/>
  </r>
  <r>
    <n v="1262"/>
    <s v="Donor_049"/>
    <d v="2025-02-21T00:00:00"/>
    <s v="West"/>
    <s v="SchoolLunchFund"/>
    <m/>
    <n v="4366"/>
    <s v="Bank Transfer"/>
    <x v="13"/>
    <d v="2025-06-19T00:00:00"/>
    <s v="ACTIVE"/>
    <m/>
    <m/>
    <m/>
    <m/>
  </r>
  <r>
    <n v="1150"/>
    <s v="Donor_048"/>
    <d v="2024-02-20T00:00:00"/>
    <s v="Central"/>
    <s v="RamadanFeeding"/>
    <m/>
    <n v="2209"/>
    <s v="Cash"/>
    <x v="14"/>
    <d v="2025-06-08T00:00:00"/>
    <s v="ACTIVE"/>
    <m/>
    <m/>
    <m/>
    <m/>
  </r>
  <r>
    <n v="1047"/>
    <s v="Donor_104"/>
    <d v="2024-02-28T00:00:00"/>
    <s v="North"/>
    <s v="YearEndGiving"/>
    <m/>
    <n v="886"/>
    <s v="Bank Transfer"/>
    <x v="14"/>
    <d v="2025-05-08T00:00:00"/>
    <s v="ACTIVE"/>
    <m/>
    <m/>
    <m/>
    <m/>
  </r>
  <r>
    <n v="345"/>
    <s v="Donor_029"/>
    <d v="2024-09-11T00:00:00"/>
    <s v="East"/>
    <s v="FloodReliefMeals"/>
    <m/>
    <n v="1262"/>
    <s v="Cheque"/>
    <x v="0"/>
    <d v="2025-06-05T00:00:00"/>
    <s v="ACTIVE"/>
    <m/>
    <m/>
    <m/>
    <m/>
  </r>
  <r>
    <n v="1597"/>
    <s v="Donor_022"/>
    <d v="2025-05-10T00:00:00"/>
    <s v="North"/>
    <s v="SchoolLunchFund"/>
    <m/>
    <n v="11332"/>
    <s v="Bank Transfer"/>
    <x v="11"/>
    <d v="2025-06-21T00:00:00"/>
    <s v="ACTIVE"/>
    <m/>
    <m/>
    <m/>
    <m/>
  </r>
  <r>
    <n v="230"/>
    <s v="Donor_041"/>
    <d v="2025-02-02T00:00:00"/>
    <s v="East"/>
    <s v="WinterMealDrive"/>
    <m/>
    <n v="802"/>
    <s v="Bank Transfer"/>
    <x v="13"/>
    <d v="2025-06-13T00:00:00"/>
    <s v="ACTIVE"/>
    <m/>
    <m/>
    <m/>
    <m/>
  </r>
  <r>
    <n v="282"/>
    <s v="Donor_029"/>
    <d v="2025-03-05T00:00:00"/>
    <s v="East"/>
    <s v="SchoolLunchFund"/>
    <m/>
    <n v="875"/>
    <s v="Bank Transfer"/>
    <x v="6"/>
    <d v="2025-06-05T00:00:00"/>
    <s v="ACTIVE"/>
    <m/>
    <m/>
    <m/>
    <m/>
  </r>
  <r>
    <n v="867"/>
    <s v="Donor_041"/>
    <d v="2024-06-23T00:00:00"/>
    <s v="West"/>
    <s v="SchoolLunchFund"/>
    <m/>
    <n v="5612"/>
    <s v="Cheque"/>
    <x v="2"/>
    <d v="2025-06-13T00:00:00"/>
    <s v="ACTIVE"/>
    <m/>
    <m/>
    <m/>
    <m/>
  </r>
  <r>
    <n v="876"/>
    <s v="Donor_038"/>
    <d v="2024-04-30T00:00:00"/>
    <s v="East"/>
    <s v="RamadanFeeding"/>
    <m/>
    <n v="2265"/>
    <s v="UPI"/>
    <x v="3"/>
    <d v="2025-04-26T00:00:00"/>
    <s v="ACTIVE"/>
    <m/>
    <m/>
    <m/>
    <m/>
  </r>
  <r>
    <n v="877"/>
    <s v="Donor_106"/>
    <d v="2025-06-11T00:00:00"/>
    <s v="NOT KNOWN"/>
    <s v="RamadanFeeding"/>
    <m/>
    <n v="247"/>
    <s v="UPI"/>
    <x v="16"/>
    <d v="2025-06-11T00:00:00"/>
    <s v="ACTIVE"/>
    <m/>
    <m/>
    <m/>
    <m/>
  </r>
  <r>
    <n v="1355"/>
    <s v="Donor_054"/>
    <d v="2024-10-13T00:00:00"/>
    <s v="North"/>
    <s v="FloodReliefMeals"/>
    <m/>
    <n v="580"/>
    <s v="Bank Transfer"/>
    <x v="12"/>
    <d v="2025-06-18T00:00:00"/>
    <s v="ACTIVE"/>
    <m/>
    <m/>
    <m/>
    <m/>
  </r>
  <r>
    <n v="1581"/>
    <s v="Donor_101"/>
    <d v="2024-10-22T00:00:00"/>
    <s v="Central"/>
    <s v="WinterMealDrive"/>
    <m/>
    <n v="1276"/>
    <s v="UPI"/>
    <x v="12"/>
    <d v="2025-05-11T00:00:00"/>
    <s v="ACTIVE"/>
    <m/>
    <m/>
    <m/>
    <m/>
  </r>
  <r>
    <n v="420"/>
    <s v="Donor_011"/>
    <d v="2025-01-14T00:00:00"/>
    <s v="Central"/>
    <s v="WinterMealDrive"/>
    <m/>
    <n v="879"/>
    <s v="Cash"/>
    <x v="7"/>
    <d v="2025-06-04T00:00:00"/>
    <s v="ACTIVE"/>
    <m/>
    <m/>
    <m/>
    <m/>
  </r>
  <r>
    <n v="375"/>
    <s v="Donor_037"/>
    <d v="2024-06-13T00:00:00"/>
    <s v="East"/>
    <s v="SchoolLunchFund"/>
    <m/>
    <n v="538"/>
    <s v="Bank Transfer"/>
    <x v="2"/>
    <d v="2025-05-23T00:00:00"/>
    <s v="ACTIVE"/>
    <m/>
    <m/>
    <m/>
    <m/>
  </r>
  <r>
    <n v="1196"/>
    <s v="Donor_089"/>
    <d v="2024-10-25T00:00:00"/>
    <s v="North"/>
    <s v="SchoolLunchFund"/>
    <m/>
    <n v="1148"/>
    <s v="Bank Transfer"/>
    <x v="12"/>
    <d v="2025-05-16T00:00:00"/>
    <s v="ACTIVE"/>
    <m/>
    <m/>
    <m/>
    <m/>
  </r>
  <r>
    <n v="299"/>
    <s v="Donor_045"/>
    <d v="2025-05-11T00:00:00"/>
    <s v="Central"/>
    <s v="YearEndGiving"/>
    <m/>
    <n v="4777"/>
    <s v="Credit Card"/>
    <x v="11"/>
    <d v="2025-05-11T00:00:00"/>
    <s v="ACTIVE"/>
    <m/>
    <m/>
    <m/>
    <m/>
  </r>
  <r>
    <n v="1279"/>
    <s v="Donor_053"/>
    <d v="2024-10-06T00:00:00"/>
    <s v="North"/>
    <s v="RamadanFeeding"/>
    <m/>
    <n v="713"/>
    <s v="Credit Card"/>
    <x v="12"/>
    <d v="2025-04-16T00:00:00"/>
    <s v="ACTIVE"/>
    <m/>
    <m/>
    <m/>
    <m/>
  </r>
  <r>
    <n v="756"/>
    <s v="Donor_095"/>
    <d v="2024-01-26T00:00:00"/>
    <s v="South"/>
    <s v="EmergencyFoodBank"/>
    <m/>
    <n v="887"/>
    <s v="Credit Card"/>
    <x v="10"/>
    <d v="2025-05-17T00:00:00"/>
    <s v="ACTIVE"/>
    <m/>
    <m/>
    <m/>
    <m/>
  </r>
  <r>
    <n v="417"/>
    <s v="Donor_072"/>
    <d v="2025-01-14T00:00:00"/>
    <s v="Central"/>
    <s v="RamadanFeeding"/>
    <m/>
    <n v="2989"/>
    <s v="Cheque"/>
    <x v="7"/>
    <d v="2025-04-13T00:00:00"/>
    <s v="ACTIVE"/>
    <m/>
    <m/>
    <m/>
    <m/>
  </r>
  <r>
    <n v="1183"/>
    <s v="Donor_001"/>
    <d v="2025-04-12T00:00:00"/>
    <s v="East"/>
    <s v="RamadanFeeding"/>
    <m/>
    <n v="2493"/>
    <s v="Credit Card"/>
    <x v="17"/>
    <d v="2025-05-18T00:00:00"/>
    <s v="ACTIVE"/>
    <m/>
    <m/>
    <m/>
    <m/>
  </r>
  <r>
    <n v="325"/>
    <s v="Donor_007"/>
    <d v="2024-08-31T00:00:00"/>
    <s v="West"/>
    <s v="FloodReliefMeals"/>
    <m/>
    <n v="4040"/>
    <s v="Bank Transfer"/>
    <x v="1"/>
    <d v="2025-06-21T00:00:00"/>
    <s v="ACTIVE"/>
    <m/>
    <m/>
    <m/>
    <m/>
  </r>
  <r>
    <n v="1427"/>
    <s v="Donor_045"/>
    <d v="2025-04-16T00:00:00"/>
    <s v="Central"/>
    <s v="FloodReliefMeals"/>
    <m/>
    <n v="2368"/>
    <s v="Cheque"/>
    <x v="17"/>
    <d v="2025-05-11T00:00:00"/>
    <s v="ACTIVE"/>
    <m/>
    <m/>
    <m/>
    <m/>
  </r>
  <r>
    <n v="1094"/>
    <s v="Donor_058"/>
    <d v="2024-08-25T00:00:00"/>
    <s v="East"/>
    <s v="RamadanFeeding"/>
    <m/>
    <n v="1057"/>
    <s v="Bank Transfer"/>
    <x v="1"/>
    <d v="2025-06-22T00:00:00"/>
    <s v="ACTIVE"/>
    <m/>
    <m/>
    <m/>
    <m/>
  </r>
  <r>
    <n v="117"/>
    <s v="Donor_009"/>
    <d v="2025-02-14T00:00:00"/>
    <s v="South"/>
    <s v="EmergencyFoodBank"/>
    <m/>
    <n v="418"/>
    <s v="Cheque"/>
    <x v="13"/>
    <d v="2025-05-15T00:00:00"/>
    <s v="ACTIVE"/>
    <m/>
    <m/>
    <m/>
    <m/>
  </r>
  <r>
    <n v="755"/>
    <s v="Donor_114"/>
    <d v="2024-02-14T00:00:00"/>
    <s v="South"/>
    <s v="WinterMealDrive"/>
    <m/>
    <n v="2918"/>
    <s v="Cheque"/>
    <x v="14"/>
    <d v="2025-04-04T00:00:00"/>
    <s v="ACTIVE"/>
    <m/>
    <m/>
    <m/>
    <m/>
  </r>
  <r>
    <n v="770"/>
    <s v="Donor_006"/>
    <d v="2025-01-03T00:00:00"/>
    <s v="North"/>
    <s v="SchoolLunchFund"/>
    <m/>
    <n v="1827"/>
    <s v="Credit Card"/>
    <x v="7"/>
    <d v="2025-06-06T00:00:00"/>
    <s v="ACTIVE"/>
    <m/>
    <m/>
    <m/>
    <m/>
  </r>
  <r>
    <n v="1615"/>
    <s v="Donor_042"/>
    <d v="2024-02-03T00:00:00"/>
    <s v="South"/>
    <s v="YearEndGiving"/>
    <m/>
    <n v="1004"/>
    <s v="Cash"/>
    <x v="14"/>
    <d v="2025-02-10T00:00:00"/>
    <s v="LAPSED"/>
    <m/>
    <m/>
    <m/>
    <m/>
  </r>
  <r>
    <n v="141"/>
    <s v="Donor_109"/>
    <d v="2025-06-12T00:00:00"/>
    <s v="North"/>
    <s v="FloodReliefMeals"/>
    <m/>
    <n v="1105"/>
    <s v="Bank Transfer"/>
    <x v="16"/>
    <d v="2025-06-22T00:00:00"/>
    <s v="ACTIVE"/>
    <m/>
    <m/>
    <m/>
    <m/>
  </r>
  <r>
    <n v="541"/>
    <s v="Donor_039"/>
    <d v="2024-11-20T00:00:00"/>
    <s v="Central"/>
    <s v="EmergencyFoodBank"/>
    <m/>
    <n v="2919"/>
    <s v="Cash"/>
    <x v="4"/>
    <d v="2025-04-25T00:00:00"/>
    <s v="ACTIVE"/>
    <m/>
    <m/>
    <m/>
    <m/>
  </r>
  <r>
    <n v="1711"/>
    <s v="Donor_007"/>
    <d v="2025-03-13T00:00:00"/>
    <s v="Central"/>
    <s v="SchoolLunchFund"/>
    <m/>
    <n v="11516"/>
    <s v="UPI"/>
    <x v="6"/>
    <d v="2025-06-21T00:00:00"/>
    <s v="ACTIVE"/>
    <m/>
    <m/>
    <m/>
    <m/>
  </r>
  <r>
    <n v="3"/>
    <s v="Donor_104"/>
    <d v="2024-10-11T00:00:00"/>
    <s v="North"/>
    <s v="SchoolLunchFund"/>
    <m/>
    <n v="702"/>
    <s v="Credit Card"/>
    <x v="12"/>
    <d v="2025-05-08T00:00:00"/>
    <s v="ACTIVE"/>
    <m/>
    <m/>
    <m/>
    <m/>
  </r>
  <r>
    <n v="377"/>
    <s v="Donor_071"/>
    <d v="2024-11-16T00:00:00"/>
    <s v="North"/>
    <s v="WinterMealDrive"/>
    <m/>
    <n v="2203"/>
    <s v="Cash"/>
    <x v="4"/>
    <d v="2025-06-08T00:00:00"/>
    <s v="ACTIVE"/>
    <m/>
    <m/>
    <m/>
    <m/>
  </r>
  <r>
    <n v="360"/>
    <s v="Donor_067"/>
    <d v="2025-06-15T00:00:00"/>
    <s v="Central"/>
    <s v="WinterMealDrive"/>
    <m/>
    <n v="799"/>
    <s v="Credit Card"/>
    <x v="16"/>
    <d v="2025-06-15T00:00:00"/>
    <s v="ACTIVE"/>
    <m/>
    <m/>
    <m/>
    <m/>
  </r>
  <r>
    <n v="242"/>
    <s v="Donor_058"/>
    <d v="2024-08-14T00:00:00"/>
    <s v="East"/>
    <s v="RamadanFeeding"/>
    <m/>
    <n v="333"/>
    <s v="Cheque"/>
    <x v="1"/>
    <d v="2025-06-22T00:00:00"/>
    <s v="ACTIVE"/>
    <m/>
    <m/>
    <m/>
    <m/>
  </r>
  <r>
    <n v="588"/>
    <s v="Donor_036"/>
    <d v="2024-03-02T00:00:00"/>
    <s v="South"/>
    <s v="WinterMealDrive"/>
    <m/>
    <n v="295"/>
    <s v="Credit Card"/>
    <x v="8"/>
    <d v="2025-06-07T00:00:00"/>
    <s v="ACTIVE"/>
    <m/>
    <m/>
    <m/>
    <m/>
  </r>
  <r>
    <n v="1511"/>
    <s v="Donor_004"/>
    <d v="2024-12-11T00:00:00"/>
    <s v="North"/>
    <s v="WinterMealDrive"/>
    <m/>
    <n v="555"/>
    <s v="UPI"/>
    <x v="9"/>
    <d v="2025-05-26T00:00:00"/>
    <s v="ACTIVE"/>
    <m/>
    <m/>
    <m/>
    <m/>
  </r>
  <r>
    <n v="1126"/>
    <s v="Donor_119"/>
    <d v="2024-02-02T00:00:00"/>
    <s v="North"/>
    <s v="YearEndGiving"/>
    <m/>
    <n v="1485"/>
    <s v="Cash"/>
    <x v="14"/>
    <d v="2025-05-18T00:00:00"/>
    <s v="ACTIVE"/>
    <m/>
    <m/>
    <m/>
    <m/>
  </r>
  <r>
    <n v="1107"/>
    <s v="Donor_027"/>
    <d v="2025-04-29T00:00:00"/>
    <s v="South"/>
    <s v="WinterMealDrive"/>
    <m/>
    <n v="2391"/>
    <s v="UPI"/>
    <x v="17"/>
    <d v="2025-06-06T00:00:00"/>
    <s v="ACTIVE"/>
    <m/>
    <m/>
    <m/>
    <m/>
  </r>
  <r>
    <n v="1322"/>
    <s v="Donor_089"/>
    <d v="2024-02-13T00:00:00"/>
    <s v="East"/>
    <s v="RamadanFeeding"/>
    <m/>
    <n v="346"/>
    <s v="Bank Transfer"/>
    <x v="14"/>
    <d v="2025-05-16T00:00:00"/>
    <s v="ACTIVE"/>
    <m/>
    <m/>
    <m/>
    <m/>
  </r>
  <r>
    <n v="1574"/>
    <s v="Donor_095"/>
    <d v="2024-12-14T00:00:00"/>
    <s v="West"/>
    <s v="EmergencyFoodBank"/>
    <m/>
    <n v="268"/>
    <s v="Cash"/>
    <x v="9"/>
    <d v="2025-05-17T00:00:00"/>
    <s v="ACTIVE"/>
    <m/>
    <m/>
    <m/>
    <m/>
  </r>
  <r>
    <n v="962"/>
    <s v="Donor_051"/>
    <d v="2024-07-31T00:00:00"/>
    <s v="North"/>
    <s v="RamadanFeeding"/>
    <m/>
    <n v="483"/>
    <s v="Cash"/>
    <x v="5"/>
    <d v="2025-06-11T00:00:00"/>
    <s v="ACTIVE"/>
    <m/>
    <m/>
    <m/>
    <m/>
  </r>
  <r>
    <n v="72"/>
    <s v="Donor_038"/>
    <d v="2025-04-26T00:00:00"/>
    <s v="North"/>
    <s v="SchoolLunchFund"/>
    <m/>
    <n v="2707"/>
    <s v="Cash"/>
    <x v="17"/>
    <d v="2025-04-26T00:00:00"/>
    <s v="ACTIVE"/>
    <m/>
    <m/>
    <m/>
    <m/>
  </r>
  <r>
    <n v="1682"/>
    <s v="Donor_099"/>
    <d v="2024-03-07T00:00:00"/>
    <s v="Central"/>
    <s v="SchoolLunchFund"/>
    <m/>
    <n v="2595"/>
    <s v="Cheque"/>
    <x v="8"/>
    <d v="2025-05-30T00:00:00"/>
    <s v="ACTIVE"/>
    <m/>
    <m/>
    <m/>
    <m/>
  </r>
  <r>
    <n v="285"/>
    <s v="Donor_099"/>
    <d v="2025-05-20T00:00:00"/>
    <s v="South"/>
    <s v="EmergencyFoodBank"/>
    <m/>
    <n v="11042"/>
    <s v="Credit Card"/>
    <x v="11"/>
    <d v="2025-05-30T00:00:00"/>
    <s v="ACTIVE"/>
    <m/>
    <m/>
    <m/>
    <m/>
  </r>
  <r>
    <n v="830"/>
    <s v="Donor_013"/>
    <d v="2024-02-12T00:00:00"/>
    <s v="South"/>
    <s v="YearEndGiving"/>
    <m/>
    <n v="475"/>
    <s v="Cheque"/>
    <x v="14"/>
    <d v="2025-04-28T00:00:00"/>
    <s v="ACTIVE"/>
    <m/>
    <m/>
    <m/>
    <m/>
  </r>
  <r>
    <n v="1648"/>
    <s v="Donor_104"/>
    <d v="2024-04-09T00:00:00"/>
    <s v="East"/>
    <s v="RamadanFeeding"/>
    <m/>
    <n v="859"/>
    <s v="UPI"/>
    <x v="3"/>
    <d v="2025-05-08T00:00:00"/>
    <s v="ACTIVE"/>
    <m/>
    <m/>
    <m/>
    <m/>
  </r>
  <r>
    <n v="5"/>
    <s v="Donor_074"/>
    <d v="2025-01-05T00:00:00"/>
    <s v="South"/>
    <s v="EmergencyFoodBank"/>
    <m/>
    <n v="818"/>
    <s v="Credit Card"/>
    <x v="7"/>
    <d v="2025-06-18T00:00:00"/>
    <s v="ACTIVE"/>
    <m/>
    <m/>
    <m/>
    <m/>
  </r>
  <r>
    <n v="416"/>
    <s v="Donor_034"/>
    <d v="2024-09-16T00:00:00"/>
    <s v="Central"/>
    <s v="RamadanFeeding"/>
    <m/>
    <n v="5224"/>
    <s v="Cash"/>
    <x v="0"/>
    <d v="2025-06-21T00:00:00"/>
    <s v="ACTIVE"/>
    <m/>
    <m/>
    <m/>
    <m/>
  </r>
  <r>
    <n v="559"/>
    <s v="Donor_033"/>
    <d v="2024-04-10T00:00:00"/>
    <s v="Central"/>
    <s v="RamadanFeeding"/>
    <m/>
    <n v="333"/>
    <s v="Credit Card"/>
    <x v="3"/>
    <d v="2025-06-21T00:00:00"/>
    <s v="ACTIVE"/>
    <m/>
    <m/>
    <m/>
    <m/>
  </r>
  <r>
    <n v="1785"/>
    <s v="Donor_090"/>
    <d v="2024-07-19T00:00:00"/>
    <s v="North"/>
    <s v="EmergencyFoodBank"/>
    <m/>
    <n v="1641"/>
    <s v="UPI"/>
    <x v="5"/>
    <d v="2025-04-25T00:00:00"/>
    <s v="ACTIVE"/>
    <m/>
    <m/>
    <m/>
    <m/>
  </r>
  <r>
    <n v="621"/>
    <s v="Donor_066"/>
    <d v="2024-03-19T00:00:00"/>
    <s v="South"/>
    <s v="EmergencyFoodBank"/>
    <m/>
    <n v="1659"/>
    <s v="Cheque"/>
    <x v="8"/>
    <d v="2025-03-22T00:00:00"/>
    <s v="LAPSED"/>
    <m/>
    <m/>
    <m/>
    <m/>
  </r>
  <r>
    <n v="1387"/>
    <s v="Donor_108"/>
    <d v="2025-02-27T00:00:00"/>
    <s v="East"/>
    <s v="SchoolLunchFund"/>
    <m/>
    <n v="2406"/>
    <s v="Cash"/>
    <x v="13"/>
    <d v="2025-05-21T00:00:00"/>
    <s v="ACTIVE"/>
    <m/>
    <m/>
    <m/>
    <m/>
  </r>
  <r>
    <n v="1237"/>
    <s v="Donor_108"/>
    <d v="2025-05-21T00:00:00"/>
    <s v="West"/>
    <s v="RamadanFeeding"/>
    <m/>
    <n v="528"/>
    <s v="Bank Transfer"/>
    <x v="11"/>
    <d v="2025-05-21T00:00:00"/>
    <s v="ACTIVE"/>
    <m/>
    <m/>
    <m/>
    <m/>
  </r>
  <r>
    <n v="934"/>
    <s v="Donor_071"/>
    <d v="2024-11-12T00:00:00"/>
    <s v="North"/>
    <s v="RamadanFeeding"/>
    <m/>
    <n v="982"/>
    <s v="Credit Card"/>
    <x v="4"/>
    <d v="2025-06-08T00:00:00"/>
    <s v="ACTIVE"/>
    <m/>
    <m/>
    <m/>
    <m/>
  </r>
  <r>
    <n v="1400"/>
    <s v="Donor_006"/>
    <d v="2024-02-25T00:00:00"/>
    <s v="North"/>
    <s v="FloodReliefMeals"/>
    <m/>
    <n v="1019"/>
    <s v="Bank Transfer"/>
    <x v="14"/>
    <d v="2025-06-06T00:00:00"/>
    <s v="ACTIVE"/>
    <m/>
    <m/>
    <m/>
    <m/>
  </r>
  <r>
    <n v="341"/>
    <s v="Donor_112"/>
    <d v="2024-02-25T00:00:00"/>
    <s v="South"/>
    <s v="SchoolLunchFund"/>
    <m/>
    <n v="1874"/>
    <s v="Cheque"/>
    <x v="14"/>
    <d v="2025-05-26T00:00:00"/>
    <s v="ACTIVE"/>
    <m/>
    <m/>
    <m/>
    <m/>
  </r>
  <r>
    <n v="937"/>
    <s v="Donor_109"/>
    <d v="2025-06-08T00:00:00"/>
    <s v="Central"/>
    <s v="FloodReliefMeals"/>
    <m/>
    <n v="4167"/>
    <s v="Cash"/>
    <x v="16"/>
    <d v="2025-06-22T00:00:00"/>
    <s v="ACTIVE"/>
    <m/>
    <m/>
    <m/>
    <m/>
  </r>
  <r>
    <n v="1433"/>
    <s v="Donor_068"/>
    <d v="2024-11-30T00:00:00"/>
    <s v="South"/>
    <s v="EmergencyFoodBank"/>
    <m/>
    <n v="10730"/>
    <s v="Cheque"/>
    <x v="4"/>
    <d v="2025-05-16T00:00:00"/>
    <s v="ACTIVE"/>
    <m/>
    <m/>
    <m/>
    <m/>
  </r>
  <r>
    <n v="681"/>
    <s v="Donor_007"/>
    <d v="2025-03-26T00:00:00"/>
    <s v="South"/>
    <s v="SchoolLunchFund"/>
    <m/>
    <n v="446"/>
    <s v="UPI"/>
    <x v="6"/>
    <d v="2025-06-21T00:00:00"/>
    <s v="ACTIVE"/>
    <m/>
    <m/>
    <m/>
    <m/>
  </r>
  <r>
    <n v="693"/>
    <s v="Donor_088"/>
    <d v="2024-05-10T00:00:00"/>
    <s v="East"/>
    <s v="SchoolLunchFund"/>
    <m/>
    <n v="9711"/>
    <s v="Cheque"/>
    <x v="15"/>
    <d v="2025-05-21T00:00:00"/>
    <s v="ACTIVE"/>
    <m/>
    <m/>
    <m/>
    <m/>
  </r>
  <r>
    <n v="1344"/>
    <s v="Donor_062"/>
    <d v="2024-08-18T00:00:00"/>
    <s v="North"/>
    <s v="WinterMealDrive"/>
    <m/>
    <n v="2207"/>
    <s v="Credit Card"/>
    <x v="1"/>
    <d v="2025-05-17T00:00:00"/>
    <s v="ACTIVE"/>
    <m/>
    <m/>
    <m/>
    <m/>
  </r>
  <r>
    <n v="886"/>
    <s v="Donor_090"/>
    <d v="2024-04-15T00:00:00"/>
    <s v="Central"/>
    <s v="YearEndGiving"/>
    <m/>
    <n v="1313"/>
    <s v="Cheque"/>
    <x v="3"/>
    <d v="2025-04-25T00:00:00"/>
    <s v="ACTIVE"/>
    <m/>
    <m/>
    <m/>
    <m/>
  </r>
  <r>
    <n v="526"/>
    <s v="Donor_106"/>
    <d v="2024-04-10T00:00:00"/>
    <s v="NOT KNOWN"/>
    <s v="EmergencyFoodBank"/>
    <m/>
    <n v="1323"/>
    <s v="UPI"/>
    <x v="3"/>
    <d v="2025-06-11T00:00:00"/>
    <s v="ACTIVE"/>
    <m/>
    <m/>
    <m/>
    <m/>
  </r>
  <r>
    <n v="1651"/>
    <s v="Donor_045"/>
    <d v="2024-07-05T00:00:00"/>
    <s v="Central"/>
    <s v="YearEndGiving"/>
    <m/>
    <n v="4894"/>
    <s v="Cash"/>
    <x v="5"/>
    <d v="2025-05-11T00:00:00"/>
    <s v="ACTIVE"/>
    <m/>
    <m/>
    <m/>
    <m/>
  </r>
  <r>
    <n v="1790"/>
    <s v="Donor_039"/>
    <d v="2025-04-25T00:00:00"/>
    <s v="West"/>
    <s v="YearEndGiving"/>
    <m/>
    <n v="572"/>
    <s v="Credit Card"/>
    <x v="17"/>
    <d v="2025-04-25T00:00:00"/>
    <s v="ACTIVE"/>
    <m/>
    <m/>
    <m/>
    <m/>
  </r>
  <r>
    <n v="427"/>
    <s v="Donor_009"/>
    <d v="2024-09-21T00:00:00"/>
    <s v="West"/>
    <s v="EmergencyFoodBank"/>
    <m/>
    <n v="2142"/>
    <s v="Credit Card"/>
    <x v="0"/>
    <d v="2025-05-15T00:00:00"/>
    <s v="ACTIVE"/>
    <m/>
    <m/>
    <m/>
    <m/>
  </r>
  <r>
    <n v="1157"/>
    <s v="Donor_031"/>
    <d v="2025-05-17T00:00:00"/>
    <s v="West"/>
    <s v="YearEndGiving"/>
    <m/>
    <n v="1427"/>
    <s v="UPI"/>
    <x v="11"/>
    <d v="2025-05-17T00:00:00"/>
    <s v="ACTIVE"/>
    <m/>
    <m/>
    <m/>
    <m/>
  </r>
  <r>
    <n v="685"/>
    <s v="Donor_051"/>
    <d v="2024-05-04T00:00:00"/>
    <s v="East"/>
    <s v="YearEndGiving"/>
    <m/>
    <n v="1135"/>
    <s v="Credit Card"/>
    <x v="15"/>
    <d v="2025-06-11T00:00:00"/>
    <s v="ACTIVE"/>
    <m/>
    <m/>
    <m/>
    <m/>
  </r>
  <r>
    <n v="884"/>
    <s v="Donor_055"/>
    <d v="2024-12-16T00:00:00"/>
    <s v="Central"/>
    <s v="EmergencyFoodBank"/>
    <m/>
    <n v="487"/>
    <s v="Bank Transfer"/>
    <x v="9"/>
    <d v="2025-05-11T00:00:00"/>
    <s v="ACTIVE"/>
    <m/>
    <m/>
    <m/>
    <m/>
  </r>
  <r>
    <n v="1658"/>
    <s v="Donor_026"/>
    <d v="2024-03-07T00:00:00"/>
    <s v="West"/>
    <s v="YearEndGiving"/>
    <m/>
    <n v="322"/>
    <s v="Cash"/>
    <x v="8"/>
    <d v="2025-05-28T00:00:00"/>
    <s v="ACTIVE"/>
    <m/>
    <m/>
    <m/>
    <m/>
  </r>
  <r>
    <n v="864"/>
    <s v="Donor_010"/>
    <d v="2024-09-10T00:00:00"/>
    <s v="East"/>
    <s v="WinterMealDrive"/>
    <m/>
    <n v="8440"/>
    <s v="Cheque"/>
    <x v="0"/>
    <d v="2025-06-01T00:00:00"/>
    <s v="ACTIVE"/>
    <m/>
    <m/>
    <m/>
    <m/>
  </r>
  <r>
    <n v="1709"/>
    <s v="Donor_043"/>
    <d v="2024-08-22T00:00:00"/>
    <s v="South"/>
    <s v="FloodReliefMeals"/>
    <m/>
    <n v="407"/>
    <s v="UPI"/>
    <x v="1"/>
    <d v="2025-06-13T00:00:00"/>
    <s v="ACTIVE"/>
    <m/>
    <m/>
    <m/>
    <m/>
  </r>
  <r>
    <n v="632"/>
    <s v="Donor_107"/>
    <d v="2024-07-04T00:00:00"/>
    <s v="East"/>
    <s v="RamadanFeeding"/>
    <m/>
    <n v="664"/>
    <s v="Credit Card"/>
    <x v="5"/>
    <d v="2025-03-18T00:00:00"/>
    <s v="LAPSED"/>
    <m/>
    <m/>
    <m/>
    <m/>
  </r>
  <r>
    <n v="817"/>
    <s v="Donor_003"/>
    <d v="2025-05-08T00:00:00"/>
    <s v="West"/>
    <s v="RamadanFeeding"/>
    <m/>
    <n v="1104"/>
    <s v="Bank Transfer"/>
    <x v="11"/>
    <d v="2025-05-08T00:00:00"/>
    <s v="ACTIVE"/>
    <m/>
    <m/>
    <m/>
    <m/>
  </r>
  <r>
    <n v="1454"/>
    <s v="Donor_061"/>
    <d v="2024-03-05T00:00:00"/>
    <s v="West"/>
    <s v="RamadanFeeding"/>
    <m/>
    <n v="2338"/>
    <s v="Cheque"/>
    <x v="8"/>
    <d v="2025-05-21T00:00:00"/>
    <s v="ACTIVE"/>
    <m/>
    <m/>
    <m/>
    <m/>
  </r>
  <r>
    <n v="528"/>
    <s v="Donor_082"/>
    <d v="2024-11-15T00:00:00"/>
    <s v="South"/>
    <s v="FloodReliefMeals"/>
    <m/>
    <n v="1754"/>
    <s v="Bank Transfer"/>
    <x v="4"/>
    <d v="2025-06-02T00:00:00"/>
    <s v="ACTIVE"/>
    <m/>
    <m/>
    <m/>
    <m/>
  </r>
  <r>
    <n v="670"/>
    <s v="Donor_003"/>
    <d v="2024-08-17T00:00:00"/>
    <s v="North"/>
    <s v="YearEndGiving"/>
    <m/>
    <n v="2325"/>
    <s v="Cash"/>
    <x v="1"/>
    <d v="2025-05-08T00:00:00"/>
    <s v="ACTIVE"/>
    <m/>
    <m/>
    <m/>
    <m/>
  </r>
  <r>
    <n v="1770"/>
    <s v="Donor_075"/>
    <d v="2024-07-07T00:00:00"/>
    <s v="North"/>
    <s v="EmergencyFoodBank"/>
    <m/>
    <n v="1597"/>
    <s v="Cheque"/>
    <x v="5"/>
    <d v="2025-04-29T00:00:00"/>
    <s v="ACTIVE"/>
    <m/>
    <m/>
    <m/>
    <m/>
  </r>
  <r>
    <n v="502"/>
    <s v="Donor_072"/>
    <d v="2024-02-10T00:00:00"/>
    <s v="West"/>
    <s v="YearEndGiving"/>
    <m/>
    <n v="438"/>
    <s v="Cash"/>
    <x v="14"/>
    <d v="2025-04-13T00:00:00"/>
    <s v="ACTIVE"/>
    <m/>
    <m/>
    <m/>
    <m/>
  </r>
  <r>
    <n v="1029"/>
    <s v="Donor_103"/>
    <d v="2024-05-21T00:00:00"/>
    <s v="North"/>
    <s v="RamadanFeeding"/>
    <m/>
    <n v="788"/>
    <s v="UPI"/>
    <x v="15"/>
    <d v="2025-02-25T00:00:00"/>
    <s v="LAPSED"/>
    <m/>
    <m/>
    <m/>
    <m/>
  </r>
  <r>
    <n v="1434"/>
    <s v="Donor_043"/>
    <d v="2024-10-05T00:00:00"/>
    <s v="Central"/>
    <s v="FloodReliefMeals"/>
    <m/>
    <n v="357"/>
    <s v="Cash"/>
    <x v="12"/>
    <d v="2025-06-13T00:00:00"/>
    <s v="ACTIVE"/>
    <m/>
    <m/>
    <m/>
    <m/>
  </r>
  <r>
    <n v="1117"/>
    <s v="Donor_115"/>
    <d v="2024-11-20T00:00:00"/>
    <s v="South"/>
    <s v="YearEndGiving"/>
    <m/>
    <n v="5033"/>
    <s v="Cash"/>
    <x v="4"/>
    <d v="2025-06-20T00:00:00"/>
    <s v="ACTIVE"/>
    <m/>
    <m/>
    <m/>
    <m/>
  </r>
  <r>
    <n v="1135"/>
    <s v="Donor_050"/>
    <d v="2024-04-08T00:00:00"/>
    <s v="South"/>
    <s v="FloodReliefMeals"/>
    <m/>
    <n v="1440"/>
    <s v="Bank Transfer"/>
    <x v="3"/>
    <d v="2025-06-18T00:00:00"/>
    <s v="ACTIVE"/>
    <m/>
    <m/>
    <m/>
    <m/>
  </r>
  <r>
    <n v="1715"/>
    <s v="Donor_104"/>
    <d v="2024-02-07T00:00:00"/>
    <s v="North"/>
    <s v="EmergencyFoodBank"/>
    <m/>
    <n v="10991"/>
    <s v="Cash"/>
    <x v="14"/>
    <d v="2025-05-08T00:00:00"/>
    <s v="ACTIVE"/>
    <m/>
    <m/>
    <m/>
    <m/>
  </r>
  <r>
    <n v="1746"/>
    <s v="Donor_036"/>
    <d v="2024-09-20T00:00:00"/>
    <s v="West"/>
    <s v="WinterMealDrive"/>
    <m/>
    <n v="851"/>
    <s v="UPI"/>
    <x v="0"/>
    <d v="2025-06-07T00:00:00"/>
    <s v="ACTIVE"/>
    <m/>
    <m/>
    <m/>
    <m/>
  </r>
  <r>
    <n v="801"/>
    <s v="Donor_020"/>
    <d v="2024-10-06T00:00:00"/>
    <s v="West"/>
    <s v="FloodReliefMeals"/>
    <m/>
    <n v="1330"/>
    <s v="UPI"/>
    <x v="12"/>
    <d v="2025-05-31T00:00:00"/>
    <s v="ACTIVE"/>
    <m/>
    <m/>
    <m/>
    <m/>
  </r>
  <r>
    <n v="899"/>
    <s v="Donor_114"/>
    <d v="2024-05-31T00:00:00"/>
    <s v="East"/>
    <s v="SchoolLunchFund"/>
    <m/>
    <n v="2873"/>
    <s v="UPI"/>
    <x v="15"/>
    <d v="2025-04-04T00:00:00"/>
    <s v="ACTIVE"/>
    <m/>
    <m/>
    <m/>
    <m/>
  </r>
  <r>
    <n v="737"/>
    <s v="Donor_020"/>
    <d v="2024-04-01T00:00:00"/>
    <s v="East"/>
    <s v="RamadanFeeding"/>
    <m/>
    <n v="1235"/>
    <s v="Bank Transfer"/>
    <x v="3"/>
    <d v="2025-05-31T00:00:00"/>
    <s v="ACTIVE"/>
    <m/>
    <m/>
    <m/>
    <m/>
  </r>
  <r>
    <n v="1733"/>
    <s v="Donor_086"/>
    <d v="2024-04-02T00:00:00"/>
    <s v="South"/>
    <s v="RamadanFeeding"/>
    <m/>
    <n v="2385"/>
    <s v="Credit Card"/>
    <x v="3"/>
    <d v="2025-05-29T00:00:00"/>
    <s v="ACTIVE"/>
    <m/>
    <m/>
    <m/>
    <m/>
  </r>
  <r>
    <n v="501"/>
    <s v="Donor_083"/>
    <d v="2025-06-21T00:00:00"/>
    <s v="North"/>
    <s v="YearEndGiving"/>
    <m/>
    <n v="981"/>
    <s v="UPI"/>
    <x v="16"/>
    <d v="2025-06-21T00:00:00"/>
    <s v="ACTIVE"/>
    <m/>
    <m/>
    <m/>
    <m/>
  </r>
  <r>
    <n v="849"/>
    <s v="Donor_074"/>
    <d v="2024-06-16T00:00:00"/>
    <s v="South"/>
    <s v="RamadanFeeding"/>
    <m/>
    <n v="275"/>
    <s v="Credit Card"/>
    <x v="2"/>
    <d v="2025-06-18T00:00:00"/>
    <s v="ACTIVE"/>
    <m/>
    <m/>
    <m/>
    <m/>
  </r>
  <r>
    <n v="749"/>
    <s v="Donor_050"/>
    <d v="2025-01-01T00:00:00"/>
    <s v="NOT KNOWN"/>
    <s v="EmergencyFoodBank"/>
    <m/>
    <n v="425"/>
    <s v="Bank Transfer"/>
    <x v="7"/>
    <d v="2025-06-18T00:00:00"/>
    <s v="ACTIVE"/>
    <m/>
    <m/>
    <m/>
    <m/>
  </r>
  <r>
    <n v="147"/>
    <s v="Donor_086"/>
    <d v="2024-07-10T00:00:00"/>
    <s v="North"/>
    <s v="YearEndGiving"/>
    <m/>
    <n v="4135"/>
    <s v="Cheque"/>
    <x v="5"/>
    <d v="2025-05-29T00:00:00"/>
    <s v="ACTIVE"/>
    <m/>
    <m/>
    <m/>
    <m/>
  </r>
  <r>
    <n v="1543"/>
    <s v="Donor_033"/>
    <d v="2024-08-11T00:00:00"/>
    <s v="East"/>
    <s v="FloodReliefMeals"/>
    <m/>
    <n v="563"/>
    <s v="Cheque"/>
    <x v="1"/>
    <d v="2025-06-21T00:00:00"/>
    <s v="ACTIVE"/>
    <m/>
    <m/>
    <m/>
    <m/>
  </r>
  <r>
    <n v="453"/>
    <s v="Donor_017"/>
    <d v="2024-10-02T00:00:00"/>
    <s v="West"/>
    <s v="EmergencyFoodBank"/>
    <m/>
    <n v="447"/>
    <s v="Credit Card"/>
    <x v="12"/>
    <d v="2025-02-02T00:00:00"/>
    <s v="LAPSED"/>
    <m/>
    <m/>
    <m/>
    <m/>
  </r>
  <r>
    <n v="603"/>
    <s v="Donor_107"/>
    <d v="2024-08-25T00:00:00"/>
    <s v="Central"/>
    <s v="EmergencyFoodBank"/>
    <m/>
    <n v="4823"/>
    <s v="Bank Transfer"/>
    <x v="1"/>
    <d v="2025-03-18T00:00:00"/>
    <s v="LAPSED"/>
    <m/>
    <m/>
    <m/>
    <m/>
  </r>
  <r>
    <n v="300"/>
    <s v="Donor_008"/>
    <d v="2024-10-14T00:00:00"/>
    <s v="West"/>
    <s v="YearEndGiving"/>
    <m/>
    <n v="5534"/>
    <s v="Credit Card"/>
    <x v="12"/>
    <d v="2025-06-07T00:00:00"/>
    <s v="ACTIVE"/>
    <m/>
    <m/>
    <m/>
    <m/>
  </r>
  <r>
    <n v="1776"/>
    <s v="Donor_089"/>
    <d v="2024-01-26T00:00:00"/>
    <s v="Central"/>
    <s v="SchoolLunchFund"/>
    <m/>
    <n v="581"/>
    <s v="UPI"/>
    <x v="10"/>
    <d v="2025-05-16T00:00:00"/>
    <s v="ACTIVE"/>
    <m/>
    <m/>
    <m/>
    <m/>
  </r>
  <r>
    <n v="390"/>
    <s v="Donor_061"/>
    <d v="2024-02-01T00:00:00"/>
    <s v="South"/>
    <s v="YearEndGiving"/>
    <m/>
    <n v="1709"/>
    <s v="Cash"/>
    <x v="14"/>
    <d v="2025-05-21T00:00:00"/>
    <s v="ACTIVE"/>
    <m/>
    <m/>
    <m/>
    <m/>
  </r>
  <r>
    <n v="1734"/>
    <s v="Donor_036"/>
    <d v="2024-05-28T00:00:00"/>
    <s v="North"/>
    <s v="YearEndGiving"/>
    <m/>
    <n v="882"/>
    <s v="Cash"/>
    <x v="15"/>
    <d v="2025-06-07T00:00:00"/>
    <s v="ACTIVE"/>
    <m/>
    <m/>
    <m/>
    <m/>
  </r>
  <r>
    <n v="1260"/>
    <s v="Donor_079"/>
    <d v="2024-03-13T00:00:00"/>
    <s v="North"/>
    <s v="YearEndGiving"/>
    <m/>
    <n v="819"/>
    <s v="Credit Card"/>
    <x v="8"/>
    <d v="2025-06-07T00:00:00"/>
    <s v="ACTIVE"/>
    <m/>
    <m/>
    <m/>
    <m/>
  </r>
  <r>
    <n v="112"/>
    <s v="Donor_048"/>
    <d v="2024-09-18T00:00:00"/>
    <s v="South"/>
    <s v="EmergencyFoodBank"/>
    <m/>
    <n v="248"/>
    <s v="UPI"/>
    <x v="0"/>
    <d v="2025-06-08T00:00:00"/>
    <s v="ACTIVE"/>
    <m/>
    <m/>
    <m/>
    <m/>
  </r>
  <r>
    <n v="688"/>
    <s v="Donor_023"/>
    <d v="2024-09-18T00:00:00"/>
    <s v="South"/>
    <s v="RamadanFeeding"/>
    <m/>
    <n v="808"/>
    <s v="Credit Card"/>
    <x v="0"/>
    <d v="2025-05-24T00:00:00"/>
    <s v="ACTIVE"/>
    <m/>
    <m/>
    <m/>
    <m/>
  </r>
  <r>
    <n v="264"/>
    <s v="Donor_113"/>
    <d v="2024-05-15T00:00:00"/>
    <s v="East"/>
    <s v="SchoolLunchFund"/>
    <m/>
    <n v="2093"/>
    <s v="Bank Transfer"/>
    <x v="15"/>
    <d v="2025-04-17T00:00:00"/>
    <s v="ACTIVE"/>
    <m/>
    <m/>
    <m/>
    <m/>
  </r>
  <r>
    <n v="142"/>
    <s v="Donor_105"/>
    <d v="2024-08-15T00:00:00"/>
    <s v="West"/>
    <s v="FloodReliefMeals"/>
    <m/>
    <n v="483"/>
    <s v="Cash"/>
    <x v="1"/>
    <d v="2025-06-15T00:00:00"/>
    <s v="ACTIVE"/>
    <m/>
    <m/>
    <m/>
    <m/>
  </r>
  <r>
    <n v="965"/>
    <s v="Donor_067"/>
    <d v="2024-01-24T00:00:00"/>
    <s v="Central"/>
    <s v="SchoolLunchFund"/>
    <m/>
    <n v="2293"/>
    <s v="UPI"/>
    <x v="10"/>
    <d v="2025-06-15T00:00:00"/>
    <s v="ACTIVE"/>
    <m/>
    <m/>
    <m/>
    <m/>
  </r>
  <r>
    <n v="748"/>
    <s v="Donor_101"/>
    <d v="2024-03-24T00:00:00"/>
    <s v="North"/>
    <s v="YearEndGiving"/>
    <m/>
    <n v="579"/>
    <s v="Cash"/>
    <x v="8"/>
    <d v="2025-05-11T00:00:00"/>
    <s v="ACTIVE"/>
    <m/>
    <m/>
    <m/>
    <m/>
  </r>
  <r>
    <n v="1756"/>
    <s v="Donor_022"/>
    <d v="2024-06-30T00:00:00"/>
    <s v="North"/>
    <s v="RamadanFeeding"/>
    <m/>
    <n v="5839"/>
    <s v="Bank Transfer"/>
    <x v="2"/>
    <d v="2025-06-21T00:00:00"/>
    <s v="ACTIVE"/>
    <m/>
    <m/>
    <m/>
    <m/>
  </r>
  <r>
    <n v="1472"/>
    <s v="Donor_015"/>
    <d v="2025-01-06T00:00:00"/>
    <s v="North"/>
    <s v="FloodReliefMeals"/>
    <m/>
    <n v="4637"/>
    <s v="UPI"/>
    <x v="7"/>
    <d v="2025-05-02T00:00:00"/>
    <s v="ACTIVE"/>
    <m/>
    <m/>
    <m/>
    <m/>
  </r>
  <r>
    <n v="972"/>
    <s v="Donor_073"/>
    <d v="2025-04-21T00:00:00"/>
    <s v="East"/>
    <s v="SchoolLunchFund"/>
    <m/>
    <n v="8265"/>
    <s v="Bank Transfer"/>
    <x v="17"/>
    <d v="2025-06-23T00:00:00"/>
    <s v="ACTIVE"/>
    <m/>
    <m/>
    <m/>
    <m/>
  </r>
  <r>
    <n v="998"/>
    <s v="Donor_046"/>
    <d v="2024-05-25T00:00:00"/>
    <s v="West"/>
    <s v="WinterMealDrive"/>
    <m/>
    <n v="2062"/>
    <s v="Cash"/>
    <x v="15"/>
    <d v="2025-05-10T00:00:00"/>
    <s v="ACTIVE"/>
    <m/>
    <m/>
    <m/>
    <m/>
  </r>
  <r>
    <n v="398"/>
    <s v="Donor_099"/>
    <d v="2025-02-18T00:00:00"/>
    <s v="Central"/>
    <s v="SchoolLunchFund"/>
    <m/>
    <n v="510"/>
    <s v="Cheque"/>
    <x v="13"/>
    <d v="2025-05-30T00:00:00"/>
    <s v="ACTIVE"/>
    <m/>
    <m/>
    <m/>
    <m/>
  </r>
  <r>
    <n v="518"/>
    <s v="Donor_033"/>
    <d v="2024-10-15T00:00:00"/>
    <s v="North"/>
    <s v="FloodReliefMeals"/>
    <m/>
    <n v="2507"/>
    <s v="Bank Transfer"/>
    <x v="12"/>
    <d v="2025-06-21T00:00:00"/>
    <s v="ACTIVE"/>
    <m/>
    <m/>
    <m/>
    <m/>
  </r>
  <r>
    <n v="1732"/>
    <s v="Donor_120"/>
    <d v="2025-01-12T00:00:00"/>
    <s v="South"/>
    <s v="WinterMealDrive"/>
    <m/>
    <n v="283"/>
    <s v="Cheque"/>
    <x v="7"/>
    <d v="2025-06-19T00:00:00"/>
    <s v="ACTIVE"/>
    <m/>
    <m/>
    <m/>
    <m/>
  </r>
  <r>
    <n v="769"/>
    <s v="Donor_047"/>
    <d v="2024-01-07T00:00:00"/>
    <s v="North"/>
    <s v="WinterMealDrive"/>
    <m/>
    <n v="4060"/>
    <s v="UPI"/>
    <x v="10"/>
    <d v="2025-05-04T00:00:00"/>
    <s v="ACTIVE"/>
    <m/>
    <m/>
    <m/>
    <m/>
  </r>
  <r>
    <n v="1324"/>
    <s v="Donor_052"/>
    <d v="2024-06-01T00:00:00"/>
    <s v="NOT KNOWN"/>
    <s v="WinterMealDrive"/>
    <m/>
    <n v="837"/>
    <s v="Credit Card"/>
    <x v="2"/>
    <d v="2025-06-13T00:00:00"/>
    <s v="ACTIVE"/>
    <m/>
    <m/>
    <m/>
    <m/>
  </r>
  <r>
    <n v="1286"/>
    <s v="Donor_085"/>
    <d v="2024-12-09T00:00:00"/>
    <s v="West"/>
    <s v="WinterMealDrive"/>
    <m/>
    <n v="248"/>
    <s v="Credit Card"/>
    <x v="9"/>
    <d v="2025-06-22T00:00:00"/>
    <s v="ACTIVE"/>
    <m/>
    <m/>
    <m/>
    <m/>
  </r>
  <r>
    <n v="1084"/>
    <s v="Donor_063"/>
    <d v="2024-10-01T00:00:00"/>
    <s v="South"/>
    <s v="FloodReliefMeals"/>
    <m/>
    <n v="462"/>
    <s v="Cash"/>
    <x v="12"/>
    <d v="2025-04-20T00:00:00"/>
    <s v="ACTIVE"/>
    <m/>
    <m/>
    <m/>
    <m/>
  </r>
  <r>
    <n v="186"/>
    <s v="Donor_018"/>
    <d v="2024-10-05T00:00:00"/>
    <s v="North"/>
    <s v="YearEndGiving"/>
    <m/>
    <n v="1794"/>
    <s v="Cheque"/>
    <x v="12"/>
    <d v="2025-06-16T00:00:00"/>
    <s v="ACTIVE"/>
    <m/>
    <m/>
    <m/>
    <m/>
  </r>
  <r>
    <n v="1263"/>
    <s v="Donor_034"/>
    <d v="2024-07-07T00:00:00"/>
    <s v="West"/>
    <s v="SchoolLunchFund"/>
    <m/>
    <n v="1881"/>
    <s v="UPI"/>
    <x v="5"/>
    <d v="2025-06-21T00:00:00"/>
    <s v="ACTIVE"/>
    <m/>
    <m/>
    <m/>
    <m/>
  </r>
  <r>
    <n v="173"/>
    <s v="Donor_037"/>
    <d v="2025-04-26T00:00:00"/>
    <s v="Central"/>
    <s v="WinterMealDrive"/>
    <m/>
    <n v="972"/>
    <s v="Bank Transfer"/>
    <x v="17"/>
    <d v="2025-05-23T00:00:00"/>
    <s v="ACTIVE"/>
    <m/>
    <m/>
    <m/>
    <m/>
  </r>
  <r>
    <n v="340"/>
    <s v="Donor_111"/>
    <d v="2024-02-24T00:00:00"/>
    <s v="Central"/>
    <s v="YearEndGiving"/>
    <m/>
    <n v="989"/>
    <s v="Credit Card"/>
    <x v="14"/>
    <d v="2025-04-26T00:00:00"/>
    <s v="ACTIVE"/>
    <m/>
    <m/>
    <m/>
    <m/>
  </r>
  <r>
    <n v="1653"/>
    <s v="Donor_011"/>
    <d v="2024-06-01T00:00:00"/>
    <s v="East"/>
    <s v="YearEndGiving"/>
    <m/>
    <n v="1010"/>
    <s v="Credit Card"/>
    <x v="2"/>
    <d v="2025-06-04T00:00:00"/>
    <s v="ACTIVE"/>
    <m/>
    <m/>
    <m/>
    <m/>
  </r>
  <r>
    <n v="1078"/>
    <s v="Donor_037"/>
    <d v="2025-05-23T00:00:00"/>
    <s v="South"/>
    <s v="SchoolLunchFund"/>
    <m/>
    <n v="1180"/>
    <s v="Credit Card"/>
    <x v="11"/>
    <d v="2025-05-23T00:00:00"/>
    <s v="ACTIVE"/>
    <m/>
    <m/>
    <m/>
    <m/>
  </r>
  <r>
    <n v="1602"/>
    <s v="Donor_031"/>
    <d v="2024-05-12T00:00:00"/>
    <s v="Central"/>
    <s v="YearEndGiving"/>
    <m/>
    <n v="11426"/>
    <s v="Bank Transfer"/>
    <x v="15"/>
    <d v="2025-05-17T00:00:00"/>
    <s v="ACTIVE"/>
    <m/>
    <m/>
    <m/>
    <m/>
  </r>
  <r>
    <n v="701"/>
    <s v="Donor_075"/>
    <d v="2025-04-05T00:00:00"/>
    <s v="South"/>
    <s v="SchoolLunchFund"/>
    <m/>
    <n v="2569"/>
    <s v="Cash"/>
    <x v="17"/>
    <d v="2025-04-29T00:00:00"/>
    <s v="ACTIVE"/>
    <m/>
    <m/>
    <m/>
    <m/>
  </r>
  <r>
    <n v="493"/>
    <s v="Donor_054"/>
    <d v="2024-08-20T00:00:00"/>
    <s v="South"/>
    <s v="YearEndGiving"/>
    <m/>
    <n v="1456"/>
    <s v="Bank Transfer"/>
    <x v="1"/>
    <d v="2025-06-18T00:00:00"/>
    <s v="ACTIVE"/>
    <m/>
    <m/>
    <m/>
    <m/>
  </r>
  <r>
    <n v="96"/>
    <s v="Donor_117"/>
    <d v="2024-04-02T00:00:00"/>
    <s v="East"/>
    <s v="FloodReliefMeals"/>
    <m/>
    <n v="653"/>
    <s v="Credit Card"/>
    <x v="3"/>
    <d v="2025-04-05T00:00:00"/>
    <s v="ACTIVE"/>
    <m/>
    <m/>
    <m/>
    <m/>
  </r>
  <r>
    <n v="1692"/>
    <s v="Donor_041"/>
    <d v="2024-11-14T00:00:00"/>
    <s v="West"/>
    <s v="FloodReliefMeals"/>
    <m/>
    <n v="331"/>
    <s v="Bank Transfer"/>
    <x v="4"/>
    <d v="2025-06-13T00:00:00"/>
    <s v="ACTIVE"/>
    <m/>
    <m/>
    <m/>
    <m/>
  </r>
  <r>
    <n v="757"/>
    <s v="Donor_062"/>
    <d v="2024-01-29T00:00:00"/>
    <s v="West"/>
    <s v="WinterMealDrive"/>
    <m/>
    <n v="5681"/>
    <s v="Credit Card"/>
    <x v="10"/>
    <d v="2025-05-17T00:00:00"/>
    <s v="ACTIVE"/>
    <m/>
    <m/>
    <m/>
    <m/>
  </r>
  <r>
    <n v="354"/>
    <s v="Donor_112"/>
    <d v="2024-06-27T00:00:00"/>
    <s v="North"/>
    <s v="FloodReliefMeals"/>
    <m/>
    <n v="5603"/>
    <s v="Bank Transfer"/>
    <x v="2"/>
    <d v="2025-05-26T00:00:00"/>
    <s v="ACTIVE"/>
    <m/>
    <m/>
    <m/>
    <m/>
  </r>
  <r>
    <n v="1735"/>
    <s v="Donor_076"/>
    <d v="2025-06-08T00:00:00"/>
    <s v="North"/>
    <s v="RamadanFeeding"/>
    <m/>
    <n v="562"/>
    <s v="Bank Transfer"/>
    <x v="16"/>
    <d v="2025-06-08T00:00:00"/>
    <s v="ACTIVE"/>
    <m/>
    <m/>
    <m/>
    <m/>
  </r>
  <r>
    <n v="1039"/>
    <s v="Donor_024"/>
    <d v="2025-03-25T00:00:00"/>
    <s v="East"/>
    <s v="WinterMealDrive"/>
    <m/>
    <n v="4699"/>
    <s v="Credit Card"/>
    <x v="6"/>
    <d v="2025-06-07T00:00:00"/>
    <s v="ACTIVE"/>
    <m/>
    <m/>
    <m/>
    <m/>
  </r>
  <r>
    <n v="8"/>
    <s v="Donor_104"/>
    <d v="2024-02-02T00:00:00"/>
    <s v="East"/>
    <s v="RamadanFeeding"/>
    <m/>
    <n v="2066"/>
    <s v="Cheque"/>
    <x v="14"/>
    <d v="2025-05-08T00:00:00"/>
    <s v="ACTIVE"/>
    <m/>
    <m/>
    <m/>
    <m/>
  </r>
  <r>
    <n v="102"/>
    <s v="Donor_076"/>
    <d v="2025-03-05T00:00:00"/>
    <s v="South"/>
    <s v="RamadanFeeding"/>
    <m/>
    <n v="1133"/>
    <s v="Cheque"/>
    <x v="6"/>
    <d v="2025-06-08T00:00:00"/>
    <s v="ACTIVE"/>
    <m/>
    <m/>
    <m/>
    <m/>
  </r>
  <r>
    <n v="650"/>
    <s v="Donor_080"/>
    <d v="2024-08-19T00:00:00"/>
    <s v="North"/>
    <s v="EmergencyFoodBank"/>
    <m/>
    <n v="1037"/>
    <s v="Bank Transfer"/>
    <x v="1"/>
    <d v="2025-05-11T00:00:00"/>
    <s v="ACTIVE"/>
    <m/>
    <m/>
    <m/>
    <m/>
  </r>
  <r>
    <n v="1152"/>
    <s v="Donor_077"/>
    <d v="2025-04-18T00:00:00"/>
    <s v="East"/>
    <s v="WinterMealDrive"/>
    <m/>
    <n v="1780"/>
    <s v="Bank Transfer"/>
    <x v="17"/>
    <d v="2025-06-21T00:00:00"/>
    <s v="ACTIVE"/>
    <m/>
    <m/>
    <m/>
    <m/>
  </r>
  <r>
    <n v="329"/>
    <s v="Donor_036"/>
    <d v="2024-07-22T00:00:00"/>
    <s v="East"/>
    <s v="RamadanFeeding"/>
    <m/>
    <n v="9588"/>
    <s v="UPI"/>
    <x v="5"/>
    <d v="2025-06-07T00:00:00"/>
    <s v="ACTIVE"/>
    <m/>
    <m/>
    <m/>
    <m/>
  </r>
  <r>
    <n v="661"/>
    <s v="Donor_069"/>
    <d v="2025-05-17T00:00:00"/>
    <s v="East"/>
    <s v="EmergencyFoodBank"/>
    <m/>
    <n v="927"/>
    <s v="Cash"/>
    <x v="11"/>
    <d v="2025-06-13T00:00:00"/>
    <s v="ACTIVE"/>
    <m/>
    <m/>
    <m/>
    <m/>
  </r>
  <r>
    <n v="738"/>
    <s v="Donor_053"/>
    <d v="2024-05-25T00:00:00"/>
    <s v="East"/>
    <s v="FloodReliefMeals"/>
    <m/>
    <n v="882"/>
    <s v="UPI"/>
    <x v="15"/>
    <d v="2025-04-16T00:00:00"/>
    <s v="ACTIVE"/>
    <m/>
    <m/>
    <m/>
    <m/>
  </r>
  <r>
    <n v="1028"/>
    <s v="Donor_044"/>
    <d v="2024-03-14T00:00:00"/>
    <s v="South"/>
    <s v="EmergencyFoodBank"/>
    <m/>
    <n v="9985"/>
    <s v="Credit Card"/>
    <x v="8"/>
    <d v="2025-05-05T00:00:00"/>
    <s v="ACTIVE"/>
    <m/>
    <m/>
    <m/>
    <m/>
  </r>
  <r>
    <n v="109"/>
    <s v="Donor_055"/>
    <d v="2025-02-15T00:00:00"/>
    <s v="North"/>
    <s v="RamadanFeeding"/>
    <m/>
    <n v="249"/>
    <s v="UPI"/>
    <x v="13"/>
    <d v="2025-05-11T00:00:00"/>
    <s v="ACTIVE"/>
    <m/>
    <m/>
    <m/>
    <m/>
  </r>
  <r>
    <n v="1191"/>
    <s v="Donor_085"/>
    <d v="2024-08-01T00:00:00"/>
    <s v="East"/>
    <s v="FloodReliefMeals"/>
    <m/>
    <n v="4047"/>
    <s v="Cash"/>
    <x v="1"/>
    <d v="2025-06-22T00:00:00"/>
    <s v="ACTIVE"/>
    <m/>
    <m/>
    <m/>
    <m/>
  </r>
  <r>
    <n v="411"/>
    <s v="Donor_014"/>
    <d v="2024-05-15T00:00:00"/>
    <s v="North"/>
    <s v="SchoolLunchFund"/>
    <m/>
    <n v="11438"/>
    <s v="Cheque"/>
    <x v="15"/>
    <d v="2025-06-03T00:00:00"/>
    <s v="ACTIVE"/>
    <m/>
    <m/>
    <m/>
    <m/>
  </r>
  <r>
    <n v="1384"/>
    <s v="Donor_066"/>
    <d v="2024-03-02T00:00:00"/>
    <s v="North"/>
    <s v="WinterMealDrive"/>
    <m/>
    <n v="10664"/>
    <s v="Cheque"/>
    <x v="8"/>
    <d v="2025-03-22T00:00:00"/>
    <s v="LAPSED"/>
    <m/>
    <m/>
    <m/>
    <m/>
  </r>
  <r>
    <n v="201"/>
    <s v="Donor_120"/>
    <d v="2024-03-11T00:00:00"/>
    <s v="West"/>
    <s v="WinterMealDrive"/>
    <m/>
    <n v="2409"/>
    <s v="Credit Card"/>
    <x v="8"/>
    <d v="2025-06-19T00:00:00"/>
    <s v="ACTIVE"/>
    <m/>
    <m/>
    <m/>
    <m/>
  </r>
  <r>
    <n v="352"/>
    <s v="Donor_089"/>
    <d v="2024-07-31T00:00:00"/>
    <s v="West"/>
    <s v="FloodReliefMeals"/>
    <m/>
    <n v="1602"/>
    <s v="UPI"/>
    <x v="5"/>
    <d v="2025-05-16T00:00:00"/>
    <s v="ACTIVE"/>
    <m/>
    <m/>
    <m/>
    <m/>
  </r>
  <r>
    <n v="572"/>
    <s v="Donor_009"/>
    <d v="2025-02-02T00:00:00"/>
    <s v="Central"/>
    <s v="EmergencyFoodBank"/>
    <m/>
    <n v="2500"/>
    <s v="Cash"/>
    <x v="13"/>
    <d v="2025-05-15T00:00:00"/>
    <s v="ACTIVE"/>
    <m/>
    <m/>
    <m/>
    <m/>
  </r>
  <r>
    <n v="946"/>
    <s v="Donor_042"/>
    <d v="2024-05-28T00:00:00"/>
    <s v="East"/>
    <s v="WinterMealDrive"/>
    <m/>
    <n v="1738"/>
    <s v="Credit Card"/>
    <x v="15"/>
    <d v="2025-02-10T00:00:00"/>
    <s v="LAPSED"/>
    <m/>
    <m/>
    <m/>
    <m/>
  </r>
  <r>
    <n v="61"/>
    <s v="Donor_073"/>
    <d v="2025-04-20T00:00:00"/>
    <s v="Central"/>
    <s v="EmergencyFoodBank"/>
    <m/>
    <n v="701"/>
    <s v="Cash"/>
    <x v="17"/>
    <d v="2025-06-23T00:00:00"/>
    <s v="ACTIVE"/>
    <m/>
    <m/>
    <m/>
    <m/>
  </r>
  <r>
    <n v="1122"/>
    <s v="Donor_023"/>
    <d v="2024-10-20T00:00:00"/>
    <s v="East"/>
    <s v="SchoolLunchFund"/>
    <m/>
    <n v="4828"/>
    <s v="Credit Card"/>
    <x v="12"/>
    <d v="2025-05-24T00:00:00"/>
    <s v="ACTIVE"/>
    <m/>
    <m/>
    <m/>
    <m/>
  </r>
  <r>
    <n v="1331"/>
    <s v="Donor_091"/>
    <d v="2024-08-22T00:00:00"/>
    <s v="Central"/>
    <s v="YearEndGiving"/>
    <m/>
    <n v="0"/>
    <s v="Credit Card"/>
    <x v="1"/>
    <d v="2025-05-16T00:00:00"/>
    <s v="ACTIVE"/>
    <m/>
    <m/>
    <m/>
    <m/>
  </r>
  <r>
    <n v="358"/>
    <s v="Donor_024"/>
    <d v="2025-03-24T00:00:00"/>
    <s v="Central"/>
    <s v="RamadanFeeding"/>
    <m/>
    <n v="5223"/>
    <s v="Credit Card"/>
    <x v="6"/>
    <d v="2025-06-07T00:00:00"/>
    <s v="ACTIVE"/>
    <m/>
    <m/>
    <m/>
    <m/>
  </r>
  <r>
    <n v="1417"/>
    <s v="Donor_007"/>
    <d v="2024-06-20T00:00:00"/>
    <s v="West"/>
    <s v="SchoolLunchFund"/>
    <m/>
    <n v="1345"/>
    <s v="Cheque"/>
    <x v="2"/>
    <d v="2025-06-21T00:00:00"/>
    <s v="ACTIVE"/>
    <m/>
    <m/>
    <m/>
    <m/>
  </r>
  <r>
    <n v="1661"/>
    <s v="Donor_009"/>
    <d v="2024-01-16T00:00:00"/>
    <s v="East"/>
    <s v="SchoolLunchFund"/>
    <m/>
    <n v="854"/>
    <s v="Credit Card"/>
    <x v="10"/>
    <d v="2025-05-15T00:00:00"/>
    <s v="ACTIVE"/>
    <m/>
    <m/>
    <m/>
    <m/>
  </r>
  <r>
    <n v="195"/>
    <s v="Donor_089"/>
    <d v="2024-11-14T00:00:00"/>
    <s v="North"/>
    <s v="EmergencyFoodBank"/>
    <m/>
    <n v="2368"/>
    <s v="Credit Card"/>
    <x v="4"/>
    <d v="2025-05-16T00:00:00"/>
    <s v="ACTIVE"/>
    <m/>
    <m/>
    <m/>
    <m/>
  </r>
  <r>
    <n v="839"/>
    <s v="Donor_115"/>
    <d v="2025-05-02T00:00:00"/>
    <s v="North"/>
    <s v="EmergencyFoodBank"/>
    <m/>
    <n v="1754"/>
    <s v="Cash"/>
    <x v="11"/>
    <d v="2025-06-20T00:00:00"/>
    <s v="ACTIVE"/>
    <m/>
    <m/>
    <m/>
    <m/>
  </r>
  <r>
    <n v="207"/>
    <s v="Donor_074"/>
    <d v="2024-11-22T00:00:00"/>
    <s v="Central"/>
    <s v="EmergencyFoodBank"/>
    <m/>
    <n v="4474"/>
    <s v="Credit Card"/>
    <x v="4"/>
    <d v="2025-06-18T00:00:00"/>
    <s v="ACTIVE"/>
    <m/>
    <m/>
    <m/>
    <m/>
  </r>
  <r>
    <n v="279"/>
    <s v="Donor_043"/>
    <d v="2024-01-31T00:00:00"/>
    <s v="West"/>
    <s v="FloodReliefMeals"/>
    <m/>
    <n v="8255"/>
    <s v="Cheque"/>
    <x v="10"/>
    <d v="2025-06-13T00:00:00"/>
    <s v="ACTIVE"/>
    <m/>
    <m/>
    <m/>
    <m/>
  </r>
  <r>
    <n v="1595"/>
    <s v="Donor_067"/>
    <d v="2025-05-16T00:00:00"/>
    <s v="East"/>
    <s v="RamadanFeeding"/>
    <m/>
    <n v="9298"/>
    <s v="Cheque"/>
    <x v="11"/>
    <d v="2025-06-15T00:00:00"/>
    <s v="ACTIVE"/>
    <m/>
    <m/>
    <m/>
    <m/>
  </r>
  <r>
    <n v="1275"/>
    <s v="Donor_095"/>
    <d v="2025-03-20T00:00:00"/>
    <s v="Central"/>
    <s v="YearEndGiving"/>
    <m/>
    <n v="1505"/>
    <s v="UPI"/>
    <x v="6"/>
    <d v="2025-05-17T00:00:00"/>
    <s v="ACTIVE"/>
    <m/>
    <m/>
    <m/>
    <m/>
  </r>
  <r>
    <n v="238"/>
    <s v="Donor_057"/>
    <d v="2024-08-02T00:00:00"/>
    <s v="East"/>
    <s v="EmergencyFoodBank"/>
    <m/>
    <n v="1128"/>
    <s v="Cash"/>
    <x v="1"/>
    <d v="2025-03-30T00:00:00"/>
    <s v="ACTIVE"/>
    <m/>
    <m/>
    <m/>
    <m/>
  </r>
  <r>
    <n v="636"/>
    <s v="Donor_089"/>
    <d v="2025-02-14T00:00:00"/>
    <s v="Central"/>
    <s v="WinterMealDrive"/>
    <m/>
    <n v="1239"/>
    <s v="Credit Card"/>
    <x v="13"/>
    <d v="2025-05-16T00:00:00"/>
    <s v="ACTIVE"/>
    <m/>
    <m/>
    <m/>
    <m/>
  </r>
  <r>
    <n v="1121"/>
    <s v="Donor_059"/>
    <d v="2025-01-18T00:00:00"/>
    <s v="North"/>
    <s v="EmergencyFoodBank"/>
    <m/>
    <n v="1846"/>
    <s v="Credit Card"/>
    <x v="7"/>
    <d v="2025-06-16T00:00:00"/>
    <s v="ACTIVE"/>
    <m/>
    <m/>
    <m/>
    <m/>
  </r>
  <r>
    <n v="620"/>
    <s v="Donor_113"/>
    <d v="2025-04-17T00:00:00"/>
    <s v="South"/>
    <s v="FloodReliefMeals"/>
    <m/>
    <n v="1232"/>
    <s v="Bank Transfer"/>
    <x v="17"/>
    <d v="2025-04-17T00:00:00"/>
    <s v="ACTIVE"/>
    <m/>
    <m/>
    <m/>
    <m/>
  </r>
  <r>
    <n v="1743"/>
    <s v="Donor_096"/>
    <d v="2024-02-14T00:00:00"/>
    <s v="East"/>
    <s v="SchoolLunchFund"/>
    <m/>
    <n v="246"/>
    <s v="Cheque"/>
    <x v="14"/>
    <d v="2025-06-04T00:00:00"/>
    <s v="ACTIVE"/>
    <m/>
    <m/>
    <m/>
    <m/>
  </r>
  <r>
    <n v="1554"/>
    <s v="Donor_084"/>
    <d v="2025-01-05T00:00:00"/>
    <s v="South"/>
    <s v="YearEndGiving"/>
    <m/>
    <n v="1594"/>
    <s v="Cheque"/>
    <x v="7"/>
    <d v="2025-05-13T00:00:00"/>
    <s v="ACTIVE"/>
    <m/>
    <m/>
    <m/>
    <m/>
  </r>
  <r>
    <n v="789"/>
    <s v="Donor_012"/>
    <d v="2024-11-07T00:00:00"/>
    <s v="South"/>
    <s v="WinterMealDrive"/>
    <m/>
    <n v="8711"/>
    <s v="Cheque"/>
    <x v="4"/>
    <d v="2025-06-23T00:00:00"/>
    <s v="ACTIVE"/>
    <m/>
    <m/>
    <m/>
    <m/>
  </r>
  <r>
    <n v="1181"/>
    <s v="Donor_041"/>
    <d v="2024-02-22T00:00:00"/>
    <s v="North"/>
    <s v="SchoolLunchFund"/>
    <m/>
    <n v="254"/>
    <s v="UPI"/>
    <x v="14"/>
    <d v="2025-06-13T00:00:00"/>
    <s v="ACTIVE"/>
    <m/>
    <m/>
    <m/>
    <m/>
  </r>
  <r>
    <n v="557"/>
    <s v="Donor_049"/>
    <d v="2024-08-27T00:00:00"/>
    <s v="West"/>
    <s v="RamadanFeeding"/>
    <m/>
    <n v="2145"/>
    <s v="Cash"/>
    <x v="1"/>
    <d v="2025-06-19T00:00:00"/>
    <s v="ACTIVE"/>
    <m/>
    <m/>
    <m/>
    <m/>
  </r>
  <r>
    <n v="424"/>
    <s v="Donor_045"/>
    <d v="2024-12-22T00:00:00"/>
    <s v="East"/>
    <s v="SchoolLunchFund"/>
    <m/>
    <n v="1964"/>
    <s v="Cash"/>
    <x v="9"/>
    <d v="2025-05-11T00:00:00"/>
    <s v="ACTIVE"/>
    <m/>
    <m/>
    <m/>
    <m/>
  </r>
  <r>
    <n v="1134"/>
    <s v="Donor_045"/>
    <d v="2024-06-12T00:00:00"/>
    <s v="North"/>
    <s v="RamadanFeeding"/>
    <m/>
    <n v="10747"/>
    <s v="Credit Card"/>
    <x v="2"/>
    <d v="2025-05-11T00:00:00"/>
    <s v="ACTIVE"/>
    <m/>
    <m/>
    <m/>
    <m/>
  </r>
  <r>
    <n v="1536"/>
    <s v="Donor_051"/>
    <d v="2024-08-06T00:00:00"/>
    <s v="East"/>
    <s v="YearEndGiving"/>
    <m/>
    <n v="4268"/>
    <s v="UPI"/>
    <x v="1"/>
    <d v="2025-06-11T00:00:00"/>
    <s v="ACTIVE"/>
    <m/>
    <m/>
    <m/>
    <m/>
  </r>
  <r>
    <n v="1019"/>
    <s v="Donor_005"/>
    <d v="2024-11-06T00:00:00"/>
    <s v="Central"/>
    <s v="RamadanFeeding"/>
    <m/>
    <n v="582"/>
    <s v="Bank Transfer"/>
    <x v="4"/>
    <d v="2025-06-10T00:00:00"/>
    <s v="ACTIVE"/>
    <m/>
    <m/>
    <m/>
    <m/>
  </r>
  <r>
    <n v="1717"/>
    <s v="Donor_004"/>
    <d v="2025-05-26T00:00:00"/>
    <s v="West"/>
    <s v="SchoolLunchFund"/>
    <m/>
    <n v="2387"/>
    <s v="Cheque"/>
    <x v="11"/>
    <d v="2025-05-26T00:00:00"/>
    <s v="ACTIVE"/>
    <m/>
    <m/>
    <m/>
    <m/>
  </r>
  <r>
    <n v="1073"/>
    <s v="Donor_115"/>
    <d v="2024-02-10T00:00:00"/>
    <s v="Central"/>
    <s v="YearEndGiving"/>
    <m/>
    <n v="1605"/>
    <s v="UPI"/>
    <x v="14"/>
    <d v="2025-06-20T00:00:00"/>
    <s v="ACTIVE"/>
    <m/>
    <m/>
    <m/>
    <m/>
  </r>
  <r>
    <n v="790"/>
    <s v="Donor_027"/>
    <d v="2024-10-17T00:00:00"/>
    <s v="South"/>
    <s v="FloodReliefMeals"/>
    <m/>
    <n v="8280"/>
    <s v="UPI"/>
    <x v="12"/>
    <d v="2025-06-06T00:00:00"/>
    <s v="ACTIVE"/>
    <m/>
    <m/>
    <m/>
    <m/>
  </r>
  <r>
    <n v="664"/>
    <s v="Donor_050"/>
    <d v="2025-03-29T00:00:00"/>
    <s v="North"/>
    <s v="RamadanFeeding"/>
    <m/>
    <n v="2301"/>
    <s v="Credit Card"/>
    <x v="6"/>
    <d v="2025-06-18T00:00:00"/>
    <s v="ACTIVE"/>
    <m/>
    <m/>
    <m/>
    <m/>
  </r>
  <r>
    <n v="730"/>
    <s v="Donor_071"/>
    <d v="2024-05-05T00:00:00"/>
    <s v="East"/>
    <s v="WinterMealDrive"/>
    <m/>
    <n v="484"/>
    <s v="Cheque"/>
    <x v="15"/>
    <d v="2025-06-08T00:00:00"/>
    <s v="ACTIVE"/>
    <m/>
    <m/>
    <m/>
    <m/>
  </r>
  <r>
    <n v="225"/>
    <s v="Donor_023"/>
    <d v="2024-02-03T00:00:00"/>
    <s v="East"/>
    <s v="WinterMealDrive"/>
    <m/>
    <n v="2070"/>
    <s v="Cash"/>
    <x v="14"/>
    <d v="2025-05-24T00:00:00"/>
    <s v="ACTIVE"/>
    <m/>
    <m/>
    <m/>
    <m/>
  </r>
  <r>
    <n v="1160"/>
    <s v="Donor_021"/>
    <d v="2025-04-05T00:00:00"/>
    <s v="South"/>
    <s v="RamadanFeeding"/>
    <m/>
    <n v="2003"/>
    <s v="Bank Transfer"/>
    <x v="17"/>
    <d v="2025-04-05T00:00:00"/>
    <s v="ACTIVE"/>
    <m/>
    <m/>
    <m/>
    <m/>
  </r>
  <r>
    <n v="52"/>
    <s v="Donor_093"/>
    <d v="2025-02-18T00:00:00"/>
    <s v="South"/>
    <s v="RamadanFeeding"/>
    <m/>
    <n v="1788"/>
    <s v="Cheque"/>
    <x v="13"/>
    <d v="2025-03-24T00:00:00"/>
    <s v="LAPSED"/>
    <m/>
    <m/>
    <m/>
    <m/>
  </r>
  <r>
    <n v="644"/>
    <s v="Donor_042"/>
    <d v="2024-10-18T00:00:00"/>
    <s v="North"/>
    <s v="WinterMealDrive"/>
    <m/>
    <n v="426"/>
    <s v="Bank Transfer"/>
    <x v="12"/>
    <d v="2025-02-10T00:00:00"/>
    <s v="LAPSED"/>
    <m/>
    <m/>
    <m/>
    <m/>
  </r>
  <r>
    <n v="1620"/>
    <s v="Donor_035"/>
    <d v="2024-11-11T00:00:00"/>
    <s v="West"/>
    <s v="WinterMealDrive"/>
    <m/>
    <n v="327"/>
    <s v="Cash"/>
    <x v="4"/>
    <d v="2025-06-15T00:00:00"/>
    <s v="ACTIVE"/>
    <m/>
    <m/>
    <m/>
    <m/>
  </r>
  <r>
    <n v="442"/>
    <s v="Donor_114"/>
    <d v="2024-10-04T00:00:00"/>
    <s v="West"/>
    <s v="FloodReliefMeals"/>
    <m/>
    <n v="11862"/>
    <s v="Cash"/>
    <x v="12"/>
    <d v="2025-04-04T00:00:00"/>
    <s v="ACTIVE"/>
    <m/>
    <m/>
    <m/>
    <m/>
  </r>
  <r>
    <n v="1713"/>
    <s v="Donor_103"/>
    <d v="2025-01-30T00:00:00"/>
    <s v="Central"/>
    <s v="YearEndGiving"/>
    <m/>
    <n v="896"/>
    <s v="Cheque"/>
    <x v="7"/>
    <d v="2025-02-25T00:00:00"/>
    <s v="LAPSED"/>
    <m/>
    <m/>
    <m/>
    <m/>
  </r>
  <r>
    <n v="490"/>
    <s v="Donor_072"/>
    <d v="2025-04-13T00:00:00"/>
    <s v="North"/>
    <s v="WinterMealDrive"/>
    <m/>
    <n v="2338"/>
    <s v="Bank Transfer"/>
    <x v="17"/>
    <d v="2025-04-13T00:00:00"/>
    <s v="ACTIVE"/>
    <m/>
    <m/>
    <m/>
    <m/>
  </r>
  <r>
    <n v="1550"/>
    <s v="Donor_019"/>
    <d v="2024-09-11T00:00:00"/>
    <s v="East"/>
    <s v="YearEndGiving"/>
    <m/>
    <n v="918"/>
    <s v="Cheque"/>
    <x v="0"/>
    <d v="2025-05-28T00:00:00"/>
    <s v="ACTIVE"/>
    <m/>
    <m/>
    <m/>
    <m/>
  </r>
  <r>
    <n v="1006"/>
    <s v="Donor_077"/>
    <d v="2024-11-05T00:00:00"/>
    <s v="East"/>
    <s v="SchoolLunchFund"/>
    <m/>
    <n v="804"/>
    <s v="Bank Transfer"/>
    <x v="4"/>
    <d v="2025-06-21T00:00:00"/>
    <s v="ACTIVE"/>
    <m/>
    <m/>
    <m/>
    <m/>
  </r>
  <r>
    <n v="639"/>
    <s v="Donor_107"/>
    <d v="2024-02-24T00:00:00"/>
    <s v="North"/>
    <s v="RamadanFeeding"/>
    <m/>
    <n v="594"/>
    <s v="Cash"/>
    <x v="14"/>
    <d v="2025-03-18T00:00:00"/>
    <s v="LAPSED"/>
    <m/>
    <m/>
    <m/>
    <m/>
  </r>
  <r>
    <n v="1765"/>
    <s v="Donor_063"/>
    <d v="2025-02-21T00:00:00"/>
    <s v="Central"/>
    <s v="YearEndGiving"/>
    <m/>
    <n v="529"/>
    <s v="Cash"/>
    <x v="13"/>
    <d v="2025-04-20T00:00:00"/>
    <s v="ACTIVE"/>
    <m/>
    <m/>
    <m/>
    <m/>
  </r>
  <r>
    <n v="948"/>
    <s v="Donor_077"/>
    <d v="2024-06-19T00:00:00"/>
    <s v="West"/>
    <s v="SchoolLunchFund"/>
    <m/>
    <n v="0"/>
    <s v="Credit Card"/>
    <x v="2"/>
    <d v="2025-06-21T00:00:00"/>
    <s v="ACTIVE"/>
    <m/>
    <m/>
    <m/>
    <m/>
  </r>
  <r>
    <n v="309"/>
    <s v="Donor_106"/>
    <d v="2024-03-31T00:00:00"/>
    <s v="East"/>
    <s v="RamadanFeeding"/>
    <m/>
    <n v="453"/>
    <s v="Credit Card"/>
    <x v="8"/>
    <d v="2025-06-11T00:00:00"/>
    <s v="ACTIVE"/>
    <m/>
    <m/>
    <m/>
    <m/>
  </r>
  <r>
    <n v="1347"/>
    <s v="Donor_118"/>
    <d v="2024-01-08T00:00:00"/>
    <s v="Central"/>
    <s v="FloodReliefMeals"/>
    <m/>
    <n v="2556"/>
    <s v="Cheque"/>
    <x v="10"/>
    <d v="2025-04-19T00:00:00"/>
    <s v="ACTIVE"/>
    <m/>
    <m/>
    <m/>
    <m/>
  </r>
  <r>
    <n v="612"/>
    <s v="Donor_008"/>
    <d v="2025-06-07T00:00:00"/>
    <s v="East"/>
    <s v="RamadanFeeding"/>
    <m/>
    <n v="1630"/>
    <s v="Cash"/>
    <x v="16"/>
    <d v="2025-06-07T00:00:00"/>
    <s v="ACTIVE"/>
    <m/>
    <m/>
    <m/>
    <m/>
  </r>
  <r>
    <n v="702"/>
    <s v="Donor_109"/>
    <d v="2025-03-01T00:00:00"/>
    <s v="West"/>
    <s v="EmergencyFoodBank"/>
    <m/>
    <n v="11996"/>
    <s v="UPI"/>
    <x v="6"/>
    <d v="2025-06-22T00:00:00"/>
    <s v="ACTIVE"/>
    <m/>
    <m/>
    <m/>
    <m/>
  </r>
  <r>
    <n v="376"/>
    <s v="Donor_096"/>
    <d v="2024-08-17T00:00:00"/>
    <s v="Central"/>
    <s v="RamadanFeeding"/>
    <m/>
    <n v="2009"/>
    <s v="Bank Transfer"/>
    <x v="1"/>
    <d v="2025-06-04T00:00:00"/>
    <s v="ACTIVE"/>
    <m/>
    <m/>
    <m/>
    <m/>
  </r>
  <r>
    <n v="1063"/>
    <s v="Donor_054"/>
    <d v="2025-02-22T00:00:00"/>
    <s v="Central"/>
    <s v="SchoolLunchFund"/>
    <m/>
    <n v="0"/>
    <s v="Credit Card"/>
    <x v="13"/>
    <d v="2025-06-18T00:00:00"/>
    <s v="ACTIVE"/>
    <m/>
    <m/>
    <m/>
    <m/>
  </r>
  <r>
    <n v="455"/>
    <s v="Donor_115"/>
    <d v="2024-07-15T00:00:00"/>
    <s v="East"/>
    <s v="RamadanFeeding"/>
    <m/>
    <n v="424"/>
    <s v="Credit Card"/>
    <x v="5"/>
    <d v="2025-06-20T00:00:00"/>
    <s v="ACTIVE"/>
    <m/>
    <m/>
    <m/>
    <m/>
  </r>
  <r>
    <n v="99"/>
    <s v="Donor_048"/>
    <d v="2025-04-10T00:00:00"/>
    <s v="East"/>
    <s v="YearEndGiving"/>
    <m/>
    <n v="847"/>
    <s v="Bank Transfer"/>
    <x v="17"/>
    <d v="2025-06-08T00:00:00"/>
    <s v="ACTIVE"/>
    <m/>
    <m/>
    <m/>
    <m/>
  </r>
  <r>
    <n v="1671"/>
    <s v="Donor_087"/>
    <d v="2024-10-17T00:00:00"/>
    <s v="Central"/>
    <s v="YearEndGiving"/>
    <m/>
    <n v="1867"/>
    <s v="Cash"/>
    <x v="12"/>
    <d v="2025-06-09T00:00:00"/>
    <s v="ACTIVE"/>
    <m/>
    <m/>
    <m/>
    <m/>
  </r>
  <r>
    <n v="1616"/>
    <s v="Donor_071"/>
    <d v="2024-02-24T00:00:00"/>
    <s v="South"/>
    <s v="EmergencyFoodBank"/>
    <m/>
    <n v="355"/>
    <s v="Cash"/>
    <x v="14"/>
    <d v="2025-06-08T00:00:00"/>
    <s v="ACTIVE"/>
    <m/>
    <m/>
    <m/>
    <m/>
  </r>
  <r>
    <n v="1392"/>
    <s v="Donor_061"/>
    <d v="2024-05-20T00:00:00"/>
    <s v="East"/>
    <s v="WinterMealDrive"/>
    <m/>
    <n v="357"/>
    <s v="Cheque"/>
    <x v="15"/>
    <d v="2025-05-21T00:00:00"/>
    <s v="ACTIVE"/>
    <m/>
    <m/>
    <m/>
    <m/>
  </r>
  <r>
    <n v="508"/>
    <s v="Donor_080"/>
    <d v="2024-01-04T00:00:00"/>
    <s v="East"/>
    <s v="WinterMealDrive"/>
    <m/>
    <n v="300"/>
    <s v="Cash"/>
    <x v="10"/>
    <d v="2025-05-11T00:00:00"/>
    <s v="ACTIVE"/>
    <m/>
    <m/>
    <m/>
    <m/>
  </r>
  <r>
    <n v="1655"/>
    <s v="Donor_086"/>
    <d v="2025-05-12T00:00:00"/>
    <s v="West"/>
    <s v="WinterMealDrive"/>
    <m/>
    <n v="2037"/>
    <s v="Bank Transfer"/>
    <x v="11"/>
    <d v="2025-05-29T00:00:00"/>
    <s v="ACTIVE"/>
    <m/>
    <m/>
    <m/>
    <m/>
  </r>
  <r>
    <n v="1389"/>
    <s v="Donor_031"/>
    <d v="2024-06-10T00:00:00"/>
    <s v="Central"/>
    <s v="YearEndGiving"/>
    <m/>
    <n v="2497"/>
    <s v="UPI"/>
    <x v="2"/>
    <d v="2025-05-17T00:00:00"/>
    <s v="ACTIVE"/>
    <m/>
    <m/>
    <m/>
    <m/>
  </r>
  <r>
    <n v="13"/>
    <s v="Donor_065"/>
    <d v="2024-07-01T00:00:00"/>
    <s v="North"/>
    <s v="EmergencyFoodBank"/>
    <m/>
    <n v="2842"/>
    <s v="Cheque"/>
    <x v="5"/>
    <d v="2025-05-02T00:00:00"/>
    <s v="ACTIVE"/>
    <m/>
    <m/>
    <m/>
    <m/>
  </r>
  <r>
    <n v="799"/>
    <s v="Donor_063"/>
    <d v="2025-04-20T00:00:00"/>
    <s v="West"/>
    <s v="WinterMealDrive"/>
    <m/>
    <n v="1019"/>
    <s v="Credit Card"/>
    <x v="17"/>
    <d v="2025-04-20T00:00:00"/>
    <s v="ACTIVE"/>
    <m/>
    <m/>
    <m/>
    <m/>
  </r>
  <r>
    <n v="1267"/>
    <s v="Donor_004"/>
    <d v="2025-03-31T00:00:00"/>
    <s v="Central"/>
    <s v="WinterMealDrive"/>
    <m/>
    <n v="11553"/>
    <s v="UPI"/>
    <x v="6"/>
    <d v="2025-05-26T00:00:00"/>
    <s v="ACTIVE"/>
    <m/>
    <m/>
    <m/>
    <m/>
  </r>
  <r>
    <n v="168"/>
    <s v="Donor_062"/>
    <d v="2024-11-05T00:00:00"/>
    <s v="South"/>
    <s v="EmergencyFoodBank"/>
    <m/>
    <n v="689"/>
    <s v="UPI"/>
    <x v="4"/>
    <d v="2025-05-17T00:00:00"/>
    <s v="ACTIVE"/>
    <m/>
    <m/>
    <m/>
    <m/>
  </r>
  <r>
    <n v="1593"/>
    <s v="Donor_093"/>
    <d v="2024-12-11T00:00:00"/>
    <s v="West"/>
    <s v="SchoolLunchFund"/>
    <m/>
    <n v="4778"/>
    <s v="Cheque"/>
    <x v="9"/>
    <d v="2025-03-24T00:00:00"/>
    <s v="LAPSED"/>
    <m/>
    <m/>
    <m/>
    <m/>
  </r>
  <r>
    <n v="1227"/>
    <s v="Donor_025"/>
    <d v="2025-06-07T00:00:00"/>
    <s v="South"/>
    <s v="EmergencyFoodBank"/>
    <m/>
    <n v="2221"/>
    <s v="Credit Card"/>
    <x v="16"/>
    <d v="2025-06-07T00:00:00"/>
    <s v="ACTIVE"/>
    <m/>
    <m/>
    <m/>
    <m/>
  </r>
  <r>
    <n v="189"/>
    <s v="Donor_117"/>
    <d v="2024-02-08T00:00:00"/>
    <s v="South"/>
    <s v="RamadanFeeding"/>
    <m/>
    <n v="1760"/>
    <s v="UPI"/>
    <x v="14"/>
    <d v="2025-04-05T00:00:00"/>
    <s v="ACTIVE"/>
    <m/>
    <m/>
    <m/>
    <m/>
  </r>
  <r>
    <n v="1105"/>
    <s v="Donor_072"/>
    <d v="2024-09-17T00:00:00"/>
    <s v="Central"/>
    <s v="EmergencyFoodBank"/>
    <m/>
    <n v="1662"/>
    <s v="Credit Card"/>
    <x v="0"/>
    <d v="2025-04-13T00:00:00"/>
    <s v="ACTIVE"/>
    <m/>
    <m/>
    <m/>
    <m/>
  </r>
  <r>
    <n v="44"/>
    <s v="Donor_104"/>
    <d v="2024-08-18T00:00:00"/>
    <s v="South"/>
    <s v="SchoolLunchFund"/>
    <m/>
    <n v="409"/>
    <s v="Cash"/>
    <x v="1"/>
    <d v="2025-05-08T00:00:00"/>
    <s v="ACTIVE"/>
    <m/>
    <m/>
    <m/>
    <m/>
  </r>
  <r>
    <n v="1551"/>
    <s v="Donor_114"/>
    <d v="2024-06-28T00:00:00"/>
    <s v="South"/>
    <s v="WinterMealDrive"/>
    <m/>
    <n v="1704"/>
    <s v="Credit Card"/>
    <x v="2"/>
    <d v="2025-04-04T00:00:00"/>
    <s v="ACTIVE"/>
    <m/>
    <m/>
    <m/>
    <m/>
  </r>
  <r>
    <n v="10"/>
    <s v="Donor_018"/>
    <d v="2024-08-12T00:00:00"/>
    <s v="Central"/>
    <s v="RamadanFeeding"/>
    <m/>
    <n v="1102"/>
    <s v="UPI"/>
    <x v="1"/>
    <d v="2025-06-16T00:00:00"/>
    <s v="ACTIVE"/>
    <m/>
    <m/>
    <m/>
    <m/>
  </r>
  <r>
    <n v="1224"/>
    <s v="Donor_033"/>
    <d v="2024-07-09T00:00:00"/>
    <s v="East"/>
    <s v="RamadanFeeding"/>
    <m/>
    <n v="9825"/>
    <s v="UPI"/>
    <x v="5"/>
    <d v="2025-06-21T00:00:00"/>
    <s v="ACTIVE"/>
    <m/>
    <m/>
    <m/>
    <m/>
  </r>
  <r>
    <n v="148"/>
    <s v="Donor_006"/>
    <d v="2025-04-26T00:00:00"/>
    <s v="West"/>
    <s v="FloodReliefMeals"/>
    <m/>
    <n v="2747"/>
    <s v="Bank Transfer"/>
    <x v="17"/>
    <d v="2025-06-06T00:00:00"/>
    <s v="ACTIVE"/>
    <m/>
    <m/>
    <m/>
    <m/>
  </r>
  <r>
    <n v="379"/>
    <s v="Donor_036"/>
    <d v="2025-03-14T00:00:00"/>
    <s v="Central"/>
    <s v="FloodReliefMeals"/>
    <m/>
    <n v="1297"/>
    <s v="Bank Transfer"/>
    <x v="6"/>
    <d v="2025-06-07T00:00:00"/>
    <s v="ACTIVE"/>
    <m/>
    <m/>
    <m/>
    <m/>
  </r>
  <r>
    <n v="14"/>
    <s v="Donor_077"/>
    <d v="2024-01-01T00:00:00"/>
    <s v="East"/>
    <s v="RamadanFeeding"/>
    <m/>
    <n v="422"/>
    <s v="Bank Transfer"/>
    <x v="10"/>
    <d v="2025-06-21T00:00:00"/>
    <s v="ACTIVE"/>
    <m/>
    <m/>
    <m/>
    <m/>
  </r>
  <r>
    <n v="472"/>
    <s v="Donor_120"/>
    <d v="2025-03-29T00:00:00"/>
    <s v="East"/>
    <s v="FloodReliefMeals"/>
    <m/>
    <n v="11966"/>
    <s v="Bank Transfer"/>
    <x v="6"/>
    <d v="2025-06-19T00:00:00"/>
    <s v="ACTIVE"/>
    <m/>
    <m/>
    <m/>
    <m/>
  </r>
  <r>
    <n v="689"/>
    <s v="Donor_016"/>
    <d v="2024-06-06T00:00:00"/>
    <s v="East"/>
    <s v="RamadanFeeding"/>
    <m/>
    <n v="821"/>
    <s v="Bank Transfer"/>
    <x v="2"/>
    <d v="2025-06-17T00:00:00"/>
    <s v="ACTIVE"/>
    <m/>
    <m/>
    <m/>
    <m/>
  </r>
  <r>
    <n v="784"/>
    <s v="Donor_098"/>
    <d v="2025-06-08T00:00:00"/>
    <s v="South"/>
    <s v="RamadanFeeding"/>
    <m/>
    <n v="1782"/>
    <s v="Credit Card"/>
    <x v="16"/>
    <d v="2025-06-20T00:00:00"/>
    <s v="ACTIVE"/>
    <m/>
    <m/>
    <m/>
    <m/>
  </r>
  <r>
    <n v="1306"/>
    <s v="Donor_022"/>
    <d v="2025-03-03T00:00:00"/>
    <s v="East"/>
    <s v="FloodReliefMeals"/>
    <m/>
    <n v="2011"/>
    <s v="Cheque"/>
    <x v="6"/>
    <d v="2025-06-21T00:00:00"/>
    <s v="ACTIVE"/>
    <m/>
    <m/>
    <m/>
    <m/>
  </r>
  <r>
    <n v="448"/>
    <s v="Donor_002"/>
    <d v="2024-11-06T00:00:00"/>
    <s v="North"/>
    <s v="YearEndGiving"/>
    <m/>
    <n v="1406"/>
    <s v="Cash"/>
    <x v="4"/>
    <d v="2025-04-12T00:00:00"/>
    <s v="ACTIVE"/>
    <m/>
    <m/>
    <m/>
    <m/>
  </r>
  <r>
    <n v="566"/>
    <s v="Donor_117"/>
    <d v="2024-04-18T00:00:00"/>
    <s v="NOT KNOWN"/>
    <s v="EmergencyFoodBank"/>
    <m/>
    <n v="2103"/>
    <s v="UPI"/>
    <x v="3"/>
    <d v="2025-04-05T00:00:00"/>
    <s v="ACTIVE"/>
    <m/>
    <m/>
    <m/>
    <m/>
  </r>
  <r>
    <n v="465"/>
    <s v="Donor_068"/>
    <d v="2024-07-13T00:00:00"/>
    <s v="West"/>
    <s v="YearEndGiving"/>
    <m/>
    <n v="1568"/>
    <s v="Bank Transfer"/>
    <x v="5"/>
    <d v="2025-05-16T00:00:00"/>
    <s v="ACTIVE"/>
    <m/>
    <m/>
    <m/>
    <m/>
  </r>
  <r>
    <n v="1632"/>
    <s v="Donor_053"/>
    <d v="2025-04-16T00:00:00"/>
    <s v="West"/>
    <s v="EmergencyFoodBank"/>
    <m/>
    <n v="1232"/>
    <s v="Cheque"/>
    <x v="17"/>
    <d v="2025-04-16T00:00:00"/>
    <s v="ACTIVE"/>
    <m/>
    <m/>
    <m/>
    <m/>
  </r>
  <r>
    <n v="471"/>
    <s v="Donor_090"/>
    <d v="2025-04-14T00:00:00"/>
    <s v="West"/>
    <s v="WinterMealDrive"/>
    <m/>
    <n v="1675"/>
    <s v="Cheque"/>
    <x v="17"/>
    <d v="2025-04-25T00:00:00"/>
    <s v="ACTIVE"/>
    <m/>
    <m/>
    <m/>
    <m/>
  </r>
  <r>
    <n v="342"/>
    <s v="Donor_100"/>
    <d v="2024-07-03T00:00:00"/>
    <s v="North"/>
    <s v="RamadanFeeding"/>
    <m/>
    <n v="5262"/>
    <s v="Credit Card"/>
    <x v="5"/>
    <d v="2025-06-14T00:00:00"/>
    <s v="ACTIVE"/>
    <m/>
    <m/>
    <m/>
    <m/>
  </r>
  <r>
    <n v="1727"/>
    <s v="Donor_038"/>
    <d v="2024-07-26T00:00:00"/>
    <s v="Central"/>
    <s v="SchoolLunchFund"/>
    <m/>
    <n v="760"/>
    <s v="Cheque"/>
    <x v="5"/>
    <d v="2025-04-26T00:00:00"/>
    <s v="ACTIVE"/>
    <m/>
    <m/>
    <m/>
    <m/>
  </r>
  <r>
    <n v="717"/>
    <s v="Donor_054"/>
    <d v="2024-10-29T00:00:00"/>
    <s v="West"/>
    <s v="EmergencyFoodBank"/>
    <m/>
    <n v="11494"/>
    <s v="Bank Transfer"/>
    <x v="12"/>
    <d v="2025-06-18T00:00:00"/>
    <s v="ACTIVE"/>
    <m/>
    <m/>
    <m/>
    <m/>
  </r>
  <r>
    <n v="675"/>
    <s v="Donor_089"/>
    <d v="2024-11-27T00:00:00"/>
    <s v="West"/>
    <s v="EmergencyFoodBank"/>
    <m/>
    <n v="2171"/>
    <s v="Cash"/>
    <x v="4"/>
    <d v="2025-05-16T00:00:00"/>
    <s v="ACTIVE"/>
    <m/>
    <m/>
    <m/>
    <m/>
  </r>
  <r>
    <n v="116"/>
    <s v="Donor_078"/>
    <d v="2024-01-27T00:00:00"/>
    <s v="East"/>
    <s v="WinterMealDrive"/>
    <m/>
    <n v="1364"/>
    <s v="Bank Transfer"/>
    <x v="10"/>
    <d v="2025-03-13T00:00:00"/>
    <s v="LAPSED"/>
    <m/>
    <m/>
    <m/>
    <m/>
  </r>
  <r>
    <n v="896"/>
    <s v="Donor_088"/>
    <d v="2025-05-21T00:00:00"/>
    <s v="Central"/>
    <s v="YearEndGiving"/>
    <m/>
    <n v="866"/>
    <s v="Cheque"/>
    <x v="11"/>
    <d v="2025-05-21T00:00:00"/>
    <s v="ACTIVE"/>
    <m/>
    <m/>
    <m/>
    <m/>
  </r>
  <r>
    <n v="1282"/>
    <s v="Donor_012"/>
    <d v="2024-07-25T00:00:00"/>
    <s v="Central"/>
    <s v="RamadanFeeding"/>
    <m/>
    <n v="1702"/>
    <s v="UPI"/>
    <x v="5"/>
    <d v="2025-06-23T00:00:00"/>
    <s v="ACTIVE"/>
    <m/>
    <m/>
    <m/>
    <m/>
  </r>
  <r>
    <n v="97"/>
    <s v="Donor_107"/>
    <d v="2024-10-06T00:00:00"/>
    <s v="South"/>
    <s v="FloodReliefMeals"/>
    <m/>
    <n v="356"/>
    <s v="Bank Transfer"/>
    <x v="12"/>
    <d v="2025-03-18T00:00:00"/>
    <s v="LAPSED"/>
    <m/>
    <m/>
    <m/>
    <m/>
  </r>
  <r>
    <n v="1772"/>
    <s v="Donor_066"/>
    <d v="2025-02-27T00:00:00"/>
    <s v="East"/>
    <s v="SchoolLunchFund"/>
    <m/>
    <n v="430"/>
    <s v="UPI"/>
    <x v="13"/>
    <d v="2025-03-22T00:00:00"/>
    <s v="LAPSED"/>
    <m/>
    <m/>
    <m/>
    <m/>
  </r>
  <r>
    <n v="1797"/>
    <s v="Donor_084"/>
    <d v="2024-12-17T00:00:00"/>
    <s v="Central"/>
    <s v="EmergencyFoodBank"/>
    <m/>
    <n v="4533"/>
    <s v="Credit Card"/>
    <x v="9"/>
    <d v="2025-05-13T00:00:00"/>
    <s v="ACTIVE"/>
    <m/>
    <m/>
    <m/>
    <m/>
  </r>
  <r>
    <n v="459"/>
    <s v="Donor_048"/>
    <d v="2024-06-07T00:00:00"/>
    <s v="North"/>
    <s v="SchoolLunchFund"/>
    <m/>
    <n v="1500"/>
    <s v="Cheque"/>
    <x v="2"/>
    <d v="2025-06-08T00:00:00"/>
    <s v="ACTIVE"/>
    <m/>
    <m/>
    <m/>
    <m/>
  </r>
  <r>
    <n v="100"/>
    <s v="Donor_118"/>
    <d v="2024-12-01T00:00:00"/>
    <s v="Central"/>
    <s v="SchoolLunchFund"/>
    <m/>
    <n v="1054"/>
    <s v="Cash"/>
    <x v="9"/>
    <d v="2025-04-19T00:00:00"/>
    <s v="ACTIVE"/>
    <m/>
    <m/>
    <m/>
    <m/>
  </r>
  <r>
    <n v="1365"/>
    <s v="Donor_105"/>
    <d v="2024-05-22T00:00:00"/>
    <s v="South"/>
    <s v="EmergencyFoodBank"/>
    <m/>
    <n v="625"/>
    <s v="Cash"/>
    <x v="15"/>
    <d v="2025-06-15T00:00:00"/>
    <s v="ACTIVE"/>
    <m/>
    <m/>
    <m/>
    <m/>
  </r>
  <r>
    <n v="624"/>
    <s v="Donor_109"/>
    <d v="2025-06-22T00:00:00"/>
    <s v="Central"/>
    <s v="EmergencyFoodBank"/>
    <m/>
    <n v="10809"/>
    <s v="UPI"/>
    <x v="16"/>
    <d v="2025-06-22T00:00:00"/>
    <s v="ACTIVE"/>
    <m/>
    <m/>
    <m/>
    <m/>
  </r>
  <r>
    <n v="387"/>
    <s v="Donor_010"/>
    <d v="2024-03-30T00:00:00"/>
    <s v="North"/>
    <s v="SchoolLunchFund"/>
    <m/>
    <n v="2558"/>
    <s v="Cheque"/>
    <x v="8"/>
    <d v="2025-06-01T00:00:00"/>
    <s v="ACTIVE"/>
    <m/>
    <m/>
    <m/>
    <m/>
  </r>
  <r>
    <n v="432"/>
    <s v="Donor_051"/>
    <d v="2024-10-13T00:00:00"/>
    <s v="South"/>
    <s v="YearEndGiving"/>
    <m/>
    <n v="1232"/>
    <s v="Cash"/>
    <x v="12"/>
    <d v="2025-06-11T00:00:00"/>
    <s v="ACTIVE"/>
    <m/>
    <m/>
    <m/>
    <m/>
  </r>
  <r>
    <n v="1468"/>
    <s v="Donor_076"/>
    <d v="2024-04-29T00:00:00"/>
    <s v="South"/>
    <s v="RamadanFeeding"/>
    <m/>
    <n v="306"/>
    <s v="Cheque"/>
    <x v="3"/>
    <d v="2025-06-08T00:00:00"/>
    <s v="ACTIVE"/>
    <m/>
    <m/>
    <m/>
    <m/>
  </r>
  <r>
    <n v="1207"/>
    <s v="Donor_004"/>
    <d v="2025-01-19T00:00:00"/>
    <s v="West"/>
    <s v="EmergencyFoodBank"/>
    <m/>
    <n v="1904"/>
    <s v="Cash"/>
    <x v="7"/>
    <d v="2025-05-26T00:00:00"/>
    <s v="ACTIVE"/>
    <m/>
    <m/>
    <m/>
    <m/>
  </r>
  <r>
    <n v="947"/>
    <s v="Donor_067"/>
    <d v="2024-09-26T00:00:00"/>
    <s v="North"/>
    <s v="RamadanFeeding"/>
    <m/>
    <n v="1581"/>
    <s v="Cheque"/>
    <x v="0"/>
    <d v="2025-06-15T00:00:00"/>
    <s v="ACTIVE"/>
    <m/>
    <m/>
    <m/>
    <m/>
  </r>
  <r>
    <n v="271"/>
    <s v="Donor_109"/>
    <d v="2024-01-28T00:00:00"/>
    <s v="East"/>
    <s v="SchoolLunchFund"/>
    <m/>
    <n v="10428"/>
    <s v="Credit Card"/>
    <x v="10"/>
    <d v="2025-06-22T00:00:00"/>
    <s v="ACTIVE"/>
    <m/>
    <m/>
    <m/>
    <m/>
  </r>
  <r>
    <n v="1083"/>
    <s v="Donor_008"/>
    <d v="2025-02-22T00:00:00"/>
    <s v="Central"/>
    <s v="FloodReliefMeals"/>
    <m/>
    <n v="2675"/>
    <s v="Cash"/>
    <x v="13"/>
    <d v="2025-06-07T00:00:00"/>
    <s v="ACTIVE"/>
    <m/>
    <m/>
    <m/>
    <m/>
  </r>
  <r>
    <n v="118"/>
    <s v="Donor_100"/>
    <d v="2024-11-28T00:00:00"/>
    <s v="Central"/>
    <s v="YearEndGiving"/>
    <m/>
    <n v="1153"/>
    <s v="Credit Card"/>
    <x v="4"/>
    <d v="2025-06-14T00:00:00"/>
    <s v="ACTIVE"/>
    <m/>
    <m/>
    <m/>
    <m/>
  </r>
  <r>
    <n v="1482"/>
    <s v="Donor_084"/>
    <d v="2024-01-03T00:00:00"/>
    <s v="South"/>
    <s v="EmergencyFoodBank"/>
    <m/>
    <n v="1132"/>
    <s v="UPI"/>
    <x v="10"/>
    <d v="2025-05-13T00:00:00"/>
    <s v="ACTIVE"/>
    <m/>
    <m/>
    <m/>
    <m/>
  </r>
  <r>
    <n v="1621"/>
    <s v="Donor_032"/>
    <d v="2024-10-23T00:00:00"/>
    <s v="North"/>
    <s v="YearEndGiving"/>
    <m/>
    <n v="4522"/>
    <s v="Bank Transfer"/>
    <x v="12"/>
    <d v="2025-04-29T00:00:00"/>
    <s v="ACTIVE"/>
    <m/>
    <m/>
    <m/>
    <m/>
  </r>
  <r>
    <n v="1385"/>
    <s v="Donor_111"/>
    <d v="2024-09-06T00:00:00"/>
    <s v="West"/>
    <s v="SchoolLunchFund"/>
    <m/>
    <n v="2131"/>
    <s v="Cash"/>
    <x v="0"/>
    <d v="2025-04-26T00:00:00"/>
    <s v="ACTIVE"/>
    <m/>
    <m/>
    <m/>
    <m/>
  </r>
  <r>
    <n v="1115"/>
    <s v="Donor_005"/>
    <d v="2024-04-16T00:00:00"/>
    <s v="East"/>
    <s v="WinterMealDrive"/>
    <m/>
    <n v="1623"/>
    <s v="Credit Card"/>
    <x v="3"/>
    <d v="2025-06-10T00:00:00"/>
    <s v="ACTIVE"/>
    <m/>
    <m/>
    <m/>
    <m/>
  </r>
  <r>
    <n v="1348"/>
    <s v="Donor_042"/>
    <d v="2024-07-19T00:00:00"/>
    <s v="East"/>
    <s v="RamadanFeeding"/>
    <m/>
    <n v="1060"/>
    <s v="Cash"/>
    <x v="5"/>
    <d v="2025-02-10T00:00:00"/>
    <s v="LAPSED"/>
    <m/>
    <m/>
    <m/>
    <m/>
  </r>
  <r>
    <n v="596"/>
    <s v="Donor_080"/>
    <d v="2024-03-23T00:00:00"/>
    <s v="East"/>
    <s v="EmergencyFoodBank"/>
    <m/>
    <n v="503"/>
    <s v="Bank Transfer"/>
    <x v="8"/>
    <d v="2025-05-11T00:00:00"/>
    <s v="ACTIVE"/>
    <m/>
    <m/>
    <m/>
    <m/>
  </r>
  <r>
    <n v="829"/>
    <s v="Donor_075"/>
    <d v="2024-01-31T00:00:00"/>
    <s v="South"/>
    <s v="RamadanFeeding"/>
    <m/>
    <n v="321"/>
    <s v="UPI"/>
    <x v="10"/>
    <d v="2025-04-29T00:00:00"/>
    <s v="ACTIVE"/>
    <m/>
    <m/>
    <m/>
    <m/>
  </r>
  <r>
    <n v="114"/>
    <s v="Donor_037"/>
    <d v="2024-02-22T00:00:00"/>
    <s v="Central"/>
    <s v="FloodReliefMeals"/>
    <m/>
    <n v="4207"/>
    <s v="Cheque"/>
    <x v="14"/>
    <d v="2025-05-23T00:00:00"/>
    <s v="ACTIVE"/>
    <m/>
    <m/>
    <m/>
    <m/>
  </r>
  <r>
    <n v="64"/>
    <s v="Donor_061"/>
    <d v="2025-01-12T00:00:00"/>
    <s v="Central"/>
    <s v="YearEndGiving"/>
    <m/>
    <n v="4851"/>
    <s v="Cheque"/>
    <x v="7"/>
    <d v="2025-05-21T00:00:00"/>
    <s v="ACTIVE"/>
    <m/>
    <m/>
    <m/>
    <m/>
  </r>
  <r>
    <n v="597"/>
    <s v="Donor_047"/>
    <d v="2025-01-09T00:00:00"/>
    <s v="South"/>
    <s v="EmergencyFoodBank"/>
    <m/>
    <n v="10819"/>
    <s v="Cheque"/>
    <x v="7"/>
    <d v="2025-05-04T00:00:00"/>
    <s v="ACTIVE"/>
    <m/>
    <m/>
    <m/>
    <m/>
  </r>
  <r>
    <n v="505"/>
    <s v="Donor_042"/>
    <d v="2024-09-13T00:00:00"/>
    <s v="South"/>
    <s v="EmergencyFoodBank"/>
    <m/>
    <n v="836"/>
    <s v="Cash"/>
    <x v="0"/>
    <d v="2025-02-10T00:00:00"/>
    <s v="LAPSED"/>
    <m/>
    <m/>
    <m/>
    <m/>
  </r>
  <r>
    <n v="187"/>
    <s v="Donor_013"/>
    <d v="2025-04-28T00:00:00"/>
    <s v="South"/>
    <s v="WinterMealDrive"/>
    <m/>
    <n v="11912"/>
    <s v="Credit Card"/>
    <x v="17"/>
    <d v="2025-04-28T00:00:00"/>
    <s v="ACTIVE"/>
    <m/>
    <m/>
    <m/>
    <m/>
  </r>
  <r>
    <n v="547"/>
    <s v="Donor_055"/>
    <d v="2024-07-09T00:00:00"/>
    <s v="Central"/>
    <s v="WinterMealDrive"/>
    <m/>
    <n v="342"/>
    <s v="Credit Card"/>
    <x v="5"/>
    <d v="2025-05-11T00:00:00"/>
    <s v="ACTIVE"/>
    <m/>
    <m/>
    <m/>
    <m/>
  </r>
  <r>
    <n v="431"/>
    <s v="Donor_048"/>
    <d v="2025-05-08T00:00:00"/>
    <s v="Central"/>
    <s v="FloodReliefMeals"/>
    <m/>
    <n v="348"/>
    <s v="Cheque"/>
    <x v="11"/>
    <d v="2025-06-08T00:00:00"/>
    <s v="ACTIVE"/>
    <m/>
    <m/>
    <m/>
    <m/>
  </r>
  <r>
    <n v="295"/>
    <s v="Donor_026"/>
    <d v="2024-03-07T00:00:00"/>
    <s v="West"/>
    <s v="SchoolLunchFund"/>
    <m/>
    <n v="1162"/>
    <s v="Bank Transfer"/>
    <x v="8"/>
    <d v="2025-05-28T00:00:00"/>
    <s v="ACTIVE"/>
    <m/>
    <m/>
    <m/>
    <m/>
  </r>
  <r>
    <n v="721"/>
    <s v="Donor_031"/>
    <d v="2024-09-21T00:00:00"/>
    <s v="East"/>
    <s v="EmergencyFoodBank"/>
    <m/>
    <n v="896"/>
    <s v="UPI"/>
    <x v="0"/>
    <d v="2025-05-17T00:00:00"/>
    <s v="ACTIVE"/>
    <m/>
    <m/>
    <m/>
    <m/>
  </r>
  <r>
    <n v="287"/>
    <s v="Donor_019"/>
    <d v="2024-03-02T00:00:00"/>
    <s v="East"/>
    <s v="WinterMealDrive"/>
    <m/>
    <n v="584"/>
    <s v="Cheque"/>
    <x v="8"/>
    <d v="2025-05-28T00:00:00"/>
    <s v="ACTIVE"/>
    <m/>
    <m/>
    <m/>
    <m/>
  </r>
  <r>
    <n v="301"/>
    <s v="Donor_098"/>
    <d v="2024-02-27T00:00:00"/>
    <s v="South"/>
    <s v="YearEndGiving"/>
    <m/>
    <n v="706"/>
    <s v="Credit Card"/>
    <x v="14"/>
    <d v="2025-06-20T00:00:00"/>
    <s v="ACTIVE"/>
    <m/>
    <m/>
    <m/>
    <m/>
  </r>
  <r>
    <n v="1689"/>
    <s v="Donor_066"/>
    <d v="2024-04-12T00:00:00"/>
    <s v="Central"/>
    <s v="FloodReliefMeals"/>
    <m/>
    <n v="4745"/>
    <s v="UPI"/>
    <x v="3"/>
    <d v="2025-03-22T00:00:00"/>
    <s v="LAPSED"/>
    <m/>
    <m/>
    <m/>
    <m/>
  </r>
  <r>
    <n v="316"/>
    <s v="Donor_040"/>
    <d v="2024-04-28T00:00:00"/>
    <s v="West"/>
    <s v="RamadanFeeding"/>
    <m/>
    <n v="347"/>
    <s v="Bank Transfer"/>
    <x v="3"/>
    <d v="2025-05-15T00:00:00"/>
    <s v="ACTIVE"/>
    <m/>
    <m/>
    <m/>
    <m/>
  </r>
  <r>
    <n v="716"/>
    <s v="Donor_098"/>
    <d v="2025-02-06T00:00:00"/>
    <s v="North"/>
    <s v="EmergencyFoodBank"/>
    <m/>
    <n v="1742"/>
    <s v="UPI"/>
    <x v="13"/>
    <d v="2025-06-20T00:00:00"/>
    <s v="ACTIVE"/>
    <m/>
    <m/>
    <m/>
    <m/>
  </r>
  <r>
    <n v="545"/>
    <s v="Donor_018"/>
    <d v="2024-05-08T00:00:00"/>
    <s v="North"/>
    <s v="WinterMealDrive"/>
    <m/>
    <n v="429"/>
    <s v="Cash"/>
    <x v="15"/>
    <d v="2025-06-16T00:00:00"/>
    <s v="ACTIVE"/>
    <m/>
    <m/>
    <m/>
    <m/>
  </r>
  <r>
    <n v="131"/>
    <s v="Donor_058"/>
    <d v="2024-03-04T00:00:00"/>
    <s v="North"/>
    <s v="FloodReliefMeals"/>
    <m/>
    <n v="1002"/>
    <s v="Credit Card"/>
    <x v="8"/>
    <d v="2025-06-22T00:00:00"/>
    <s v="ACTIVE"/>
    <m/>
    <m/>
    <m/>
    <m/>
  </r>
  <r>
    <n v="986"/>
    <s v="Donor_112"/>
    <d v="2024-11-10T00:00:00"/>
    <s v="Central"/>
    <s v="EmergencyFoodBank"/>
    <m/>
    <n v="859"/>
    <s v="UPI"/>
    <x v="4"/>
    <d v="2025-05-26T00:00:00"/>
    <s v="ACTIVE"/>
    <m/>
    <m/>
    <m/>
    <m/>
  </r>
  <r>
    <n v="190"/>
    <s v="Donor_113"/>
    <d v="2024-10-23T00:00:00"/>
    <s v="North"/>
    <s v="WinterMealDrive"/>
    <m/>
    <n v="2568"/>
    <s v="UPI"/>
    <x v="12"/>
    <d v="2025-04-17T00:00:00"/>
    <s v="ACTIVE"/>
    <m/>
    <m/>
    <m/>
    <m/>
  </r>
  <r>
    <n v="28"/>
    <s v="Donor_113"/>
    <d v="2024-12-23T00:00:00"/>
    <s v="North"/>
    <s v="SchoolLunchFund"/>
    <m/>
    <n v="4570"/>
    <s v="Cash"/>
    <x v="9"/>
    <d v="2025-04-17T00:00:00"/>
    <s v="ACTIVE"/>
    <m/>
    <m/>
    <m/>
    <m/>
  </r>
  <r>
    <n v="1778"/>
    <s v="Donor_067"/>
    <d v="2024-05-07T00:00:00"/>
    <s v="Central"/>
    <s v="RamadanFeeding"/>
    <m/>
    <n v="537"/>
    <s v="Cheque"/>
    <x v="15"/>
    <d v="2025-06-15T00:00:00"/>
    <s v="ACTIVE"/>
    <m/>
    <m/>
    <m/>
    <m/>
  </r>
  <r>
    <n v="715"/>
    <s v="Donor_057"/>
    <d v="2024-01-31T00:00:00"/>
    <s v="South"/>
    <s v="WinterMealDrive"/>
    <m/>
    <n v="11775"/>
    <s v="UPI"/>
    <x v="10"/>
    <d v="2025-03-30T00:00:00"/>
    <s v="ACTIVE"/>
    <m/>
    <m/>
    <m/>
    <m/>
  </r>
  <r>
    <n v="735"/>
    <s v="Donor_011"/>
    <d v="2025-03-30T00:00:00"/>
    <s v="Central"/>
    <s v="YearEndGiving"/>
    <m/>
    <n v="4804"/>
    <s v="UPI"/>
    <x v="6"/>
    <d v="2025-06-04T00:00:00"/>
    <s v="ACTIVE"/>
    <m/>
    <m/>
    <m/>
    <m/>
  </r>
  <r>
    <n v="994"/>
    <s v="Donor_077"/>
    <d v="2024-01-10T00:00:00"/>
    <s v="East"/>
    <s v="RamadanFeeding"/>
    <m/>
    <n v="0"/>
    <s v="Credit Card"/>
    <x v="10"/>
    <d v="2025-06-21T00:00:00"/>
    <s v="ACTIVE"/>
    <m/>
    <m/>
    <m/>
    <m/>
  </r>
  <r>
    <n v="1114"/>
    <s v="Donor_036"/>
    <d v="2024-09-16T00:00:00"/>
    <s v="North"/>
    <s v="YearEndGiving"/>
    <m/>
    <n v="573"/>
    <s v="Cash"/>
    <x v="0"/>
    <d v="2025-06-07T00:00:00"/>
    <s v="ACTIVE"/>
    <m/>
    <m/>
    <m/>
    <m/>
  </r>
  <r>
    <n v="1576"/>
    <s v="Donor_064"/>
    <d v="2024-01-24T00:00:00"/>
    <s v="Central"/>
    <s v="YearEndGiving"/>
    <m/>
    <n v="721"/>
    <s v="UPI"/>
    <x v="10"/>
    <d v="2025-06-20T00:00:00"/>
    <s v="ACTIVE"/>
    <m/>
    <m/>
    <m/>
    <m/>
  </r>
  <r>
    <n v="1683"/>
    <s v="Donor_111"/>
    <d v="2024-01-03T00:00:00"/>
    <s v="West"/>
    <s v="RamadanFeeding"/>
    <m/>
    <n v="8582"/>
    <s v="Bank Transfer"/>
    <x v="10"/>
    <d v="2025-04-26T00:00:00"/>
    <s v="ACTIVE"/>
    <m/>
    <m/>
    <m/>
    <m/>
  </r>
  <r>
    <n v="1168"/>
    <s v="Donor_081"/>
    <d v="2025-06-07T00:00:00"/>
    <s v="West"/>
    <s v="RamadanFeeding"/>
    <m/>
    <n v="841"/>
    <s v="Bank Transfer"/>
    <x v="16"/>
    <d v="2025-06-07T00:00:00"/>
    <s v="ACTIVE"/>
    <m/>
    <m/>
    <m/>
    <m/>
  </r>
  <r>
    <n v="1607"/>
    <s v="Donor_017"/>
    <d v="2024-08-30T00:00:00"/>
    <s v="North"/>
    <s v="FloodReliefMeals"/>
    <m/>
    <n v="4138"/>
    <s v="UPI"/>
    <x v="1"/>
    <d v="2025-02-02T00:00:00"/>
    <s v="LAPSED"/>
    <m/>
    <m/>
    <m/>
    <m/>
  </r>
  <r>
    <n v="1383"/>
    <s v="Donor_075"/>
    <d v="2024-07-08T00:00:00"/>
    <s v="NOT KNOWN"/>
    <s v="WinterMealDrive"/>
    <m/>
    <n v="8159"/>
    <s v="Credit Card"/>
    <x v="5"/>
    <d v="2025-04-29T00:00:00"/>
    <s v="ACTIVE"/>
    <m/>
    <m/>
    <m/>
    <m/>
  </r>
  <r>
    <n v="1446"/>
    <s v="Donor_019"/>
    <d v="2024-04-30T00:00:00"/>
    <s v="North"/>
    <s v="RamadanFeeding"/>
    <m/>
    <n v="1290"/>
    <s v="UPI"/>
    <x v="3"/>
    <d v="2025-05-28T00:00:00"/>
    <s v="ACTIVE"/>
    <m/>
    <m/>
    <m/>
    <m/>
  </r>
  <r>
    <n v="1449"/>
    <s v="Donor_058"/>
    <d v="2024-11-27T00:00:00"/>
    <s v="South"/>
    <s v="FloodReliefMeals"/>
    <m/>
    <n v="798"/>
    <s v="Cheque"/>
    <x v="4"/>
    <d v="2025-06-22T00:00:00"/>
    <s v="ACTIVE"/>
    <m/>
    <m/>
    <m/>
    <m/>
  </r>
  <r>
    <n v="1630"/>
    <s v="Donor_008"/>
    <d v="2024-07-16T00:00:00"/>
    <s v="Central"/>
    <s v="SchoolLunchFund"/>
    <m/>
    <n v="515"/>
    <s v="Cash"/>
    <x v="5"/>
    <d v="2025-06-07T00:00:00"/>
    <s v="ACTIVE"/>
    <m/>
    <m/>
    <m/>
    <m/>
  </r>
  <r>
    <n v="836"/>
    <s v="Donor_078"/>
    <d v="2024-10-27T00:00:00"/>
    <s v="South"/>
    <s v="EmergencyFoodBank"/>
    <m/>
    <n v="1722"/>
    <s v="Cheque"/>
    <x v="12"/>
    <d v="2025-03-13T00:00:00"/>
    <s v="LAPSED"/>
    <m/>
    <m/>
    <m/>
    <m/>
  </r>
  <r>
    <n v="954"/>
    <s v="Donor_040"/>
    <d v="2024-09-27T00:00:00"/>
    <s v="West"/>
    <s v="EmergencyFoodBank"/>
    <m/>
    <n v="1603"/>
    <s v="Cash"/>
    <x v="0"/>
    <d v="2025-05-15T00:00:00"/>
    <s v="ACTIVE"/>
    <m/>
    <m/>
    <m/>
    <m/>
  </r>
  <r>
    <n v="741"/>
    <s v="Donor_058"/>
    <d v="2025-02-20T00:00:00"/>
    <s v="North"/>
    <s v="EmergencyFoodBank"/>
    <m/>
    <n v="8814"/>
    <s v="Credit Card"/>
    <x v="13"/>
    <d v="2025-06-22T00:00:00"/>
    <s v="ACTIVE"/>
    <m/>
    <m/>
    <m/>
    <m/>
  </r>
  <r>
    <n v="378"/>
    <s v="Donor_100"/>
    <d v="2024-07-20T00:00:00"/>
    <s v="South"/>
    <s v="FloodReliefMeals"/>
    <m/>
    <n v="261"/>
    <s v="UPI"/>
    <x v="5"/>
    <d v="2025-06-14T00:00:00"/>
    <s v="ACTIVE"/>
    <m/>
    <m/>
    <m/>
    <m/>
  </r>
  <r>
    <n v="326"/>
    <s v="Donor_018"/>
    <d v="2024-08-21T00:00:00"/>
    <s v="East"/>
    <s v="EmergencyFoodBank"/>
    <m/>
    <n v="333"/>
    <s v="Bank Transfer"/>
    <x v="1"/>
    <d v="2025-06-16T00:00:00"/>
    <s v="ACTIVE"/>
    <m/>
    <m/>
    <m/>
    <m/>
  </r>
  <r>
    <n v="1026"/>
    <s v="Donor_026"/>
    <d v="2024-07-23T00:00:00"/>
    <s v="East"/>
    <s v="RamadanFeeding"/>
    <m/>
    <n v="321"/>
    <s v="Credit Card"/>
    <x v="5"/>
    <d v="2025-05-28T00:00:00"/>
    <s v="ACTIVE"/>
    <m/>
    <m/>
    <m/>
    <m/>
  </r>
  <r>
    <n v="373"/>
    <s v="Donor_065"/>
    <d v="2024-07-01T00:00:00"/>
    <s v="Central"/>
    <s v="EmergencyFoodBank"/>
    <m/>
    <n v="5421"/>
    <s v="Bank Transfer"/>
    <x v="5"/>
    <d v="2025-05-02T00:00:00"/>
    <s v="ACTIVE"/>
    <m/>
    <m/>
    <m/>
    <m/>
  </r>
  <r>
    <n v="1646"/>
    <s v="Donor_001"/>
    <d v="2025-03-20T00:00:00"/>
    <s v="North"/>
    <s v="WinterMealDrive"/>
    <m/>
    <n v="8238"/>
    <s v="UPI"/>
    <x v="6"/>
    <d v="2025-05-18T00:00:00"/>
    <s v="ACTIVE"/>
    <m/>
    <m/>
    <m/>
    <m/>
  </r>
  <r>
    <n v="1358"/>
    <s v="Donor_107"/>
    <d v="2025-03-18T00:00:00"/>
    <s v="West"/>
    <s v="RamadanFeeding"/>
    <m/>
    <n v="1784"/>
    <s v="Cheque"/>
    <x v="6"/>
    <d v="2025-03-18T00:00:00"/>
    <s v="LAPSED"/>
    <m/>
    <m/>
    <m/>
    <m/>
  </r>
  <r>
    <n v="863"/>
    <s v="Donor_092"/>
    <d v="2024-07-16T00:00:00"/>
    <s v="East"/>
    <s v="YearEndGiving"/>
    <m/>
    <n v="10420"/>
    <s v="Cash"/>
    <x v="5"/>
    <d v="2025-05-07T00:00:00"/>
    <s v="ACTIVE"/>
    <m/>
    <m/>
    <m/>
    <m/>
  </r>
  <r>
    <n v="18"/>
    <s v="Donor_009"/>
    <d v="2024-08-22T00:00:00"/>
    <s v="North"/>
    <s v="FloodReliefMeals"/>
    <m/>
    <n v="1006"/>
    <s v="Bank Transfer"/>
    <x v="1"/>
    <d v="2025-05-15T00:00:00"/>
    <s v="ACTIVE"/>
    <m/>
    <m/>
    <m/>
    <m/>
  </r>
  <r>
    <n v="1284"/>
    <s v="Donor_099"/>
    <d v="2025-05-30T00:00:00"/>
    <s v="South"/>
    <s v="SchoolLunchFund"/>
    <m/>
    <n v="4088"/>
    <s v="UPI"/>
    <x v="11"/>
    <d v="2025-05-30T00:00:00"/>
    <s v="ACTIVE"/>
    <m/>
    <m/>
    <m/>
    <m/>
  </r>
  <r>
    <n v="371"/>
    <s v="Donor_036"/>
    <d v="2024-09-11T00:00:00"/>
    <s v="West"/>
    <s v="FloodReliefMeals"/>
    <m/>
    <n v="2453"/>
    <s v="Credit Card"/>
    <x v="0"/>
    <d v="2025-06-07T00:00:00"/>
    <s v="ACTIVE"/>
    <m/>
    <m/>
    <m/>
    <m/>
  </r>
  <r>
    <n v="1139"/>
    <s v="Donor_021"/>
    <d v="2024-07-02T00:00:00"/>
    <s v="West"/>
    <s v="EmergencyFoodBank"/>
    <m/>
    <n v="11337"/>
    <s v="Cash"/>
    <x v="5"/>
    <d v="2025-04-05T00:00:00"/>
    <s v="ACTIVE"/>
    <m/>
    <m/>
    <m/>
    <m/>
  </r>
  <r>
    <n v="413"/>
    <s v="Donor_067"/>
    <d v="2025-03-17T00:00:00"/>
    <s v="West"/>
    <s v="FloodReliefMeals"/>
    <m/>
    <n v="540"/>
    <s v="Cash"/>
    <x v="6"/>
    <d v="2025-06-15T00:00:00"/>
    <s v="ACTIVE"/>
    <m/>
    <m/>
    <m/>
    <m/>
  </r>
  <r>
    <n v="1476"/>
    <s v="Donor_011"/>
    <d v="2024-09-10T00:00:00"/>
    <s v="East"/>
    <s v="SchoolLunchFund"/>
    <m/>
    <n v="1589"/>
    <s v="Cheque"/>
    <x v="0"/>
    <d v="2025-06-04T00:00:00"/>
    <s v="ACTIVE"/>
    <m/>
    <m/>
    <m/>
    <m/>
  </r>
  <r>
    <n v="1587"/>
    <s v="Donor_041"/>
    <d v="2024-05-12T00:00:00"/>
    <s v="NOT KNOWN"/>
    <s v="YearEndGiving"/>
    <m/>
    <n v="1995"/>
    <s v="UPI"/>
    <x v="15"/>
    <d v="2025-06-13T00:00:00"/>
    <s v="ACTIVE"/>
    <m/>
    <m/>
    <m/>
    <m/>
  </r>
  <r>
    <n v="119"/>
    <s v="Donor_063"/>
    <d v="2025-03-10T00:00:00"/>
    <s v="Central"/>
    <s v="RamadanFeeding"/>
    <m/>
    <n v="682"/>
    <s v="Cheque"/>
    <x v="6"/>
    <d v="2025-04-20T00:00:00"/>
    <s v="ACTIVE"/>
    <m/>
    <m/>
    <m/>
    <m/>
  </r>
  <r>
    <n v="1167"/>
    <s v="Donor_057"/>
    <d v="2024-01-25T00:00:00"/>
    <s v="West"/>
    <s v="EmergencyFoodBank"/>
    <m/>
    <n v="459"/>
    <s v="Cash"/>
    <x v="10"/>
    <d v="2025-03-30T00:00:00"/>
    <s v="ACTIVE"/>
    <m/>
    <m/>
    <m/>
    <m/>
  </r>
  <r>
    <n v="55"/>
    <s v="Donor_097"/>
    <d v="2024-02-11T00:00:00"/>
    <s v="North"/>
    <s v="SchoolLunchFund"/>
    <m/>
    <n v="2271"/>
    <s v="Cheque"/>
    <x v="14"/>
    <d v="2025-06-04T00:00:00"/>
    <s v="ACTIVE"/>
    <m/>
    <m/>
    <m/>
    <m/>
  </r>
  <r>
    <n v="1099"/>
    <s v="Donor_005"/>
    <d v="2024-04-26T00:00:00"/>
    <s v="West"/>
    <s v="RamadanFeeding"/>
    <m/>
    <n v="1576"/>
    <s v="Cheque"/>
    <x v="3"/>
    <d v="2025-06-10T00:00:00"/>
    <s v="ACTIVE"/>
    <m/>
    <m/>
    <m/>
    <m/>
  </r>
  <r>
    <n v="678"/>
    <s v="Donor_113"/>
    <d v="2024-12-13T00:00:00"/>
    <s v="West"/>
    <s v="SchoolLunchFund"/>
    <m/>
    <n v="927"/>
    <s v="Cheque"/>
    <x v="9"/>
    <d v="2025-04-17T00:00:00"/>
    <s v="ACTIVE"/>
    <m/>
    <m/>
    <m/>
    <m/>
  </r>
  <r>
    <n v="361"/>
    <s v="Donor_002"/>
    <d v="2024-02-25T00:00:00"/>
    <s v="South"/>
    <s v="YearEndGiving"/>
    <m/>
    <n v="342"/>
    <s v="Credit Card"/>
    <x v="14"/>
    <d v="2025-04-12T00:00:00"/>
    <s v="ACTIVE"/>
    <m/>
    <m/>
    <m/>
    <m/>
  </r>
  <r>
    <n v="181"/>
    <s v="Donor_112"/>
    <d v="2025-04-27T00:00:00"/>
    <s v="North"/>
    <s v="EmergencyFoodBank"/>
    <m/>
    <n v="1511"/>
    <s v="Cheque"/>
    <x v="17"/>
    <d v="2025-05-26T00:00:00"/>
    <s v="ACTIVE"/>
    <m/>
    <m/>
    <m/>
    <m/>
  </r>
  <r>
    <n v="260"/>
    <s v="Donor_010"/>
    <d v="2025-04-07T00:00:00"/>
    <s v="North"/>
    <s v="RamadanFeeding"/>
    <m/>
    <n v="10999"/>
    <s v="Bank Transfer"/>
    <x v="17"/>
    <d v="2025-06-01T00:00:00"/>
    <s v="ACTIVE"/>
    <m/>
    <m/>
    <m/>
    <m/>
  </r>
  <r>
    <n v="977"/>
    <s v="Donor_079"/>
    <d v="2025-05-20T00:00:00"/>
    <s v="North"/>
    <s v="RamadanFeeding"/>
    <m/>
    <n v="2696"/>
    <s v="Cash"/>
    <x v="11"/>
    <d v="2025-06-07T00:00:00"/>
    <s v="ACTIVE"/>
    <m/>
    <m/>
    <m/>
    <m/>
  </r>
  <r>
    <n v="443"/>
    <s v="Donor_096"/>
    <d v="2024-09-14T00:00:00"/>
    <s v="North"/>
    <s v="SchoolLunchFund"/>
    <m/>
    <n v="1438"/>
    <s v="UPI"/>
    <x v="0"/>
    <d v="2025-06-04T00:00:00"/>
    <s v="ACTIVE"/>
    <m/>
    <m/>
    <m/>
    <m/>
  </r>
  <r>
    <n v="211"/>
    <s v="Donor_119"/>
    <d v="2024-03-21T00:00:00"/>
    <s v="West"/>
    <s v="FloodReliefMeals"/>
    <m/>
    <n v="1014"/>
    <s v="Credit Card"/>
    <x v="8"/>
    <d v="2025-05-18T00:00:00"/>
    <s v="ACTIVE"/>
    <m/>
    <m/>
    <m/>
    <m/>
  </r>
  <r>
    <n v="926"/>
    <s v="Donor_035"/>
    <d v="2024-07-18T00:00:00"/>
    <s v="North"/>
    <s v="WinterMealDrive"/>
    <m/>
    <n v="945"/>
    <s v="Bank Transfer"/>
    <x v="5"/>
    <d v="2025-06-15T00:00:00"/>
    <s v="ACTIVE"/>
    <m/>
    <m/>
    <m/>
    <m/>
  </r>
  <r>
    <n v="1354"/>
    <s v="Donor_049"/>
    <d v="2025-03-31T00:00:00"/>
    <s v="Central"/>
    <s v="SchoolLunchFund"/>
    <m/>
    <n v="821"/>
    <s v="Credit Card"/>
    <x v="6"/>
    <d v="2025-06-19T00:00:00"/>
    <s v="ACTIVE"/>
    <m/>
    <m/>
    <m/>
    <m/>
  </r>
  <r>
    <n v="1021"/>
    <s v="Donor_059"/>
    <d v="2024-12-13T00:00:00"/>
    <s v="South"/>
    <s v="FloodReliefMeals"/>
    <m/>
    <n v="2923"/>
    <s v="UPI"/>
    <x v="9"/>
    <d v="2025-06-16T00:00:00"/>
    <s v="ACTIVE"/>
    <m/>
    <m/>
    <m/>
    <m/>
  </r>
  <r>
    <n v="1575"/>
    <s v="Donor_109"/>
    <d v="2024-04-27T00:00:00"/>
    <s v="Central"/>
    <s v="SchoolLunchFund"/>
    <m/>
    <n v="10726"/>
    <s v="Bank Transfer"/>
    <x v="3"/>
    <d v="2025-06-22T00:00:00"/>
    <s v="ACTIVE"/>
    <m/>
    <m/>
    <m/>
    <m/>
  </r>
  <r>
    <n v="667"/>
    <s v="Donor_098"/>
    <d v="2024-01-29T00:00:00"/>
    <s v="North"/>
    <s v="EmergencyFoodBank"/>
    <m/>
    <n v="1578"/>
    <s v="Credit Card"/>
    <x v="10"/>
    <d v="2025-06-20T00:00:00"/>
    <s v="ACTIVE"/>
    <m/>
    <m/>
    <m/>
    <m/>
  </r>
  <r>
    <n v="24"/>
    <s v="Donor_075"/>
    <d v="2024-02-29T00:00:00"/>
    <s v="Central"/>
    <s v="WinterMealDrive"/>
    <m/>
    <n v="4114"/>
    <s v="Cheque"/>
    <x v="14"/>
    <d v="2025-04-29T00:00:00"/>
    <s v="ACTIVE"/>
    <m/>
    <m/>
    <m/>
    <m/>
  </r>
  <r>
    <n v="705"/>
    <s v="Donor_065"/>
    <d v="2024-08-25T00:00:00"/>
    <s v="South"/>
    <s v="YearEndGiving"/>
    <m/>
    <n v="5843"/>
    <s v="Cash"/>
    <x v="1"/>
    <d v="2025-05-02T00:00:00"/>
    <s v="ACTIVE"/>
    <m/>
    <m/>
    <m/>
    <m/>
  </r>
  <r>
    <n v="796"/>
    <s v="Donor_086"/>
    <d v="2024-10-25T00:00:00"/>
    <s v="North"/>
    <s v="EmergencyFoodBank"/>
    <m/>
    <n v="2327"/>
    <s v="Cash"/>
    <x v="12"/>
    <d v="2025-05-29T00:00:00"/>
    <s v="ACTIVE"/>
    <m/>
    <m/>
    <m/>
    <m/>
  </r>
  <r>
    <n v="1592"/>
    <s v="Donor_070"/>
    <d v="2024-07-18T00:00:00"/>
    <s v="Central"/>
    <s v="WinterMealDrive"/>
    <m/>
    <n v="4810"/>
    <s v="Bank Transfer"/>
    <x v="5"/>
    <d v="2025-03-27T00:00:00"/>
    <s v="ACTIVE"/>
    <m/>
    <m/>
    <m/>
    <m/>
  </r>
  <r>
    <n v="1590"/>
    <s v="Donor_035"/>
    <d v="2025-01-18T00:00:00"/>
    <s v="East"/>
    <s v="SchoolLunchFund"/>
    <m/>
    <n v="9573"/>
    <s v="Cheque"/>
    <x v="7"/>
    <d v="2025-06-15T00:00:00"/>
    <s v="ACTIVE"/>
    <m/>
    <m/>
    <m/>
    <m/>
  </r>
  <r>
    <n v="347"/>
    <s v="Donor_003"/>
    <d v="2025-02-17T00:00:00"/>
    <s v="South"/>
    <s v="SchoolLunchFund"/>
    <m/>
    <n v="1327"/>
    <s v="UPI"/>
    <x v="13"/>
    <d v="2025-05-08T00:00:00"/>
    <s v="ACTIVE"/>
    <m/>
    <m/>
    <m/>
    <m/>
  </r>
  <r>
    <n v="1573"/>
    <s v="Donor_082"/>
    <d v="2024-06-14T00:00:00"/>
    <s v="North"/>
    <s v="RamadanFeeding"/>
    <m/>
    <n v="11309"/>
    <s v="UPI"/>
    <x v="2"/>
    <d v="2025-06-02T00:00:00"/>
    <s v="ACTIVE"/>
    <m/>
    <m/>
    <m/>
    <m/>
  </r>
  <r>
    <n v="1209"/>
    <s v="Donor_054"/>
    <d v="2024-11-20T00:00:00"/>
    <s v="NOT KNOWN"/>
    <s v="SchoolLunchFund"/>
    <m/>
    <n v="1120"/>
    <s v="Bank Transfer"/>
    <x v="4"/>
    <d v="2025-06-18T00:00:00"/>
    <s v="ACTIVE"/>
    <m/>
    <m/>
    <m/>
    <m/>
  </r>
  <r>
    <n v="873"/>
    <s v="Donor_079"/>
    <d v="2024-01-15T00:00:00"/>
    <s v="South"/>
    <s v="EmergencyFoodBank"/>
    <m/>
    <n v="543"/>
    <s v="Cheque"/>
    <x v="10"/>
    <d v="2025-06-07T00:00:00"/>
    <s v="ACTIVE"/>
    <m/>
    <m/>
    <m/>
    <m/>
  </r>
  <r>
    <n v="1556"/>
    <s v="Donor_056"/>
    <d v="2024-05-30T00:00:00"/>
    <s v="East"/>
    <s v="WinterMealDrive"/>
    <m/>
    <n v="9530"/>
    <s v="Cash"/>
    <x v="15"/>
    <d v="2025-05-08T00:00:00"/>
    <s v="ACTIVE"/>
    <m/>
    <m/>
    <m/>
    <m/>
  </r>
  <r>
    <n v="1325"/>
    <s v="Donor_020"/>
    <d v="2025-04-28T00:00:00"/>
    <s v="East"/>
    <s v="FloodReliefMeals"/>
    <m/>
    <n v="1617"/>
    <s v="Cash"/>
    <x v="17"/>
    <d v="2025-05-31T00:00:00"/>
    <s v="ACTIVE"/>
    <m/>
    <m/>
    <m/>
    <m/>
  </r>
  <r>
    <n v="143"/>
    <s v="Donor_041"/>
    <d v="2024-01-29T00:00:00"/>
    <s v="North"/>
    <s v="EmergencyFoodBank"/>
    <m/>
    <n v="5583"/>
    <s v="Credit Card"/>
    <x v="10"/>
    <d v="2025-06-13T00:00:00"/>
    <s v="ACTIVE"/>
    <m/>
    <m/>
    <m/>
    <m/>
  </r>
  <r>
    <n v="229"/>
    <s v="Donor_099"/>
    <d v="2024-03-28T00:00:00"/>
    <s v="Central"/>
    <s v="FloodReliefMeals"/>
    <m/>
    <n v="2170"/>
    <s v="UPI"/>
    <x v="8"/>
    <d v="2025-05-30T00:00:00"/>
    <s v="ACTIVE"/>
    <m/>
    <m/>
    <m/>
    <m/>
  </r>
  <r>
    <n v="1557"/>
    <s v="Donor_104"/>
    <d v="2025-05-08T00:00:00"/>
    <s v="West"/>
    <s v="WinterMealDrive"/>
    <m/>
    <n v="1660"/>
    <s v="Cheque"/>
    <x v="11"/>
    <d v="2025-05-08T00:00:00"/>
    <s v="ACTIVE"/>
    <m/>
    <m/>
    <m/>
    <m/>
  </r>
  <r>
    <n v="1436"/>
    <s v="Donor_054"/>
    <d v="2025-02-13T00:00:00"/>
    <s v="Central"/>
    <s v="FloodReliefMeals"/>
    <m/>
    <n v="2081"/>
    <s v="Credit Card"/>
    <x v="13"/>
    <d v="2025-06-18T00:00:00"/>
    <s v="ACTIVE"/>
    <m/>
    <m/>
    <m/>
    <m/>
  </r>
  <r>
    <n v="1530"/>
    <s v="Donor_104"/>
    <d v="2024-08-15T00:00:00"/>
    <s v="South"/>
    <s v="WinterMealDrive"/>
    <m/>
    <n v="838"/>
    <s v="Cheque"/>
    <x v="1"/>
    <d v="2025-05-08T00:00:00"/>
    <s v="ACTIVE"/>
    <m/>
    <m/>
    <m/>
    <m/>
  </r>
  <r>
    <n v="638"/>
    <s v="Donor_036"/>
    <d v="2025-06-07T00:00:00"/>
    <s v="South"/>
    <s v="RamadanFeeding"/>
    <m/>
    <n v="849"/>
    <s v="Cash"/>
    <x v="16"/>
    <d v="2025-06-07T00:00:00"/>
    <s v="ACTIVE"/>
    <m/>
    <m/>
    <m/>
    <m/>
  </r>
  <r>
    <n v="1043"/>
    <s v="Donor_048"/>
    <d v="2024-05-05T00:00:00"/>
    <s v="South"/>
    <s v="WinterMealDrive"/>
    <m/>
    <n v="2159"/>
    <s v="Cash"/>
    <x v="15"/>
    <d v="2025-06-08T00:00:00"/>
    <s v="ACTIVE"/>
    <m/>
    <m/>
    <m/>
    <m/>
  </r>
  <r>
    <n v="587"/>
    <s v="Donor_023"/>
    <d v="2025-04-10T00:00:00"/>
    <s v="West"/>
    <s v="FloodReliefMeals"/>
    <m/>
    <n v="1475"/>
    <s v="Credit Card"/>
    <x v="17"/>
    <d v="2025-05-24T00:00:00"/>
    <s v="ACTIVE"/>
    <m/>
    <m/>
    <m/>
    <m/>
  </r>
  <r>
    <n v="16"/>
    <s v="Donor_028"/>
    <d v="2025-03-09T00:00:00"/>
    <s v="Central"/>
    <s v="EmergencyFoodBank"/>
    <m/>
    <n v="2170"/>
    <s v="Cash"/>
    <x v="6"/>
    <d v="2025-03-09T00:00:00"/>
    <s v="LAPSED"/>
    <m/>
    <m/>
    <m/>
    <m/>
  </r>
  <r>
    <n v="1628"/>
    <s v="Donor_059"/>
    <d v="2024-04-22T00:00:00"/>
    <s v="North"/>
    <s v="FloodReliefMeals"/>
    <m/>
    <n v="1772"/>
    <s v="Cheque"/>
    <x v="3"/>
    <d v="2025-06-16T00:00:00"/>
    <s v="ACTIVE"/>
    <m/>
    <m/>
    <m/>
    <m/>
  </r>
  <r>
    <n v="1634"/>
    <s v="Donor_120"/>
    <d v="2025-03-24T00:00:00"/>
    <s v="NOT KNOWN"/>
    <s v="SchoolLunchFund"/>
    <m/>
    <n v="1630"/>
    <s v="Cheque"/>
    <x v="6"/>
    <d v="2025-06-19T00:00:00"/>
    <s v="ACTIVE"/>
    <m/>
    <m/>
    <m/>
    <m/>
  </r>
  <r>
    <n v="1610"/>
    <s v="Donor_047"/>
    <d v="2024-05-12T00:00:00"/>
    <s v="Central"/>
    <s v="EmergencyFoodBank"/>
    <m/>
    <n v="1752"/>
    <s v="Bank Transfer"/>
    <x v="15"/>
    <d v="2025-05-04T00:00:00"/>
    <s v="ACTIVE"/>
    <m/>
    <m/>
    <m/>
    <m/>
  </r>
  <r>
    <n v="929"/>
    <s v="Donor_097"/>
    <d v="2024-11-18T00:00:00"/>
    <s v="West"/>
    <s v="EmergencyFoodBank"/>
    <m/>
    <n v="5948"/>
    <s v="UPI"/>
    <x v="4"/>
    <d v="2025-06-04T00:00:00"/>
    <s v="ACTIVE"/>
    <m/>
    <m/>
    <m/>
    <m/>
  </r>
  <r>
    <n v="1189"/>
    <s v="Donor_120"/>
    <d v="2025-04-28T00:00:00"/>
    <s v="East"/>
    <s v="FloodReliefMeals"/>
    <m/>
    <n v="1384"/>
    <s v="Bank Transfer"/>
    <x v="17"/>
    <d v="2025-06-19T00:00:00"/>
    <s v="ACTIVE"/>
    <m/>
    <m/>
    <m/>
    <m/>
  </r>
  <r>
    <n v="594"/>
    <s v="Donor_060"/>
    <d v="2025-04-10T00:00:00"/>
    <s v="South"/>
    <s v="EmergencyFoodBank"/>
    <m/>
    <n v="0"/>
    <s v="Bank Transfer"/>
    <x v="17"/>
    <d v="2025-05-20T00:00:00"/>
    <s v="ACTIVE"/>
    <m/>
    <m/>
    <m/>
    <m/>
  </r>
  <r>
    <n v="312"/>
    <s v="Donor_010"/>
    <d v="2024-04-17T00:00:00"/>
    <s v="East"/>
    <s v="SchoolLunchFund"/>
    <m/>
    <n v="648"/>
    <s v="UPI"/>
    <x v="3"/>
    <d v="2025-06-01T00:00:00"/>
    <s v="ACTIVE"/>
    <m/>
    <m/>
    <m/>
    <m/>
  </r>
  <r>
    <n v="692"/>
    <s v="Donor_120"/>
    <d v="2024-06-07T00:00:00"/>
    <s v="West"/>
    <s v="YearEndGiving"/>
    <m/>
    <n v="8336"/>
    <s v="Cash"/>
    <x v="2"/>
    <d v="2025-06-19T00:00:00"/>
    <s v="ACTIVE"/>
    <m/>
    <m/>
    <m/>
    <m/>
  </r>
  <r>
    <n v="35"/>
    <s v="Donor_103"/>
    <d v="2025-02-25T00:00:00"/>
    <s v="South"/>
    <s v="FloodReliefMeals"/>
    <m/>
    <n v="1672"/>
    <s v="UPI"/>
    <x v="13"/>
    <d v="2025-02-25T00:00:00"/>
    <s v="LAPSED"/>
    <m/>
    <m/>
    <m/>
    <m/>
  </r>
  <r>
    <n v="216"/>
    <s v="Donor_038"/>
    <d v="2025-03-03T00:00:00"/>
    <s v="South"/>
    <s v="SchoolLunchFund"/>
    <m/>
    <n v="4460"/>
    <s v="Cheque"/>
    <x v="6"/>
    <d v="2025-04-26T00:00:00"/>
    <s v="ACTIVE"/>
    <m/>
    <m/>
    <m/>
    <m/>
  </r>
  <r>
    <n v="1052"/>
    <s v="Donor_034"/>
    <d v="2024-07-03T00:00:00"/>
    <s v="East"/>
    <s v="FloodReliefMeals"/>
    <m/>
    <n v="255"/>
    <s v="Credit Card"/>
    <x v="5"/>
    <d v="2025-06-21T00:00:00"/>
    <s v="ACTIVE"/>
    <m/>
    <m/>
    <m/>
    <m/>
  </r>
  <r>
    <n v="1050"/>
    <s v="Donor_016"/>
    <d v="2024-01-13T00:00:00"/>
    <s v="East"/>
    <s v="YearEndGiving"/>
    <m/>
    <n v="0"/>
    <s v="Credit Card"/>
    <x v="10"/>
    <d v="2025-06-17T00:00:00"/>
    <s v="ACTIVE"/>
    <m/>
    <m/>
    <m/>
    <m/>
  </r>
  <r>
    <n v="355"/>
    <s v="Donor_110"/>
    <d v="2024-01-10T00:00:00"/>
    <s v="South"/>
    <s v="EmergencyFoodBank"/>
    <m/>
    <n v="1397"/>
    <s v="Cash"/>
    <x v="10"/>
    <d v="2025-06-04T00:00:00"/>
    <s v="ACTIVE"/>
    <m/>
    <m/>
    <m/>
    <m/>
  </r>
  <r>
    <n v="1145"/>
    <s v="Donor_070"/>
    <d v="2024-01-25T00:00:00"/>
    <s v="East"/>
    <s v="SchoolLunchFund"/>
    <m/>
    <n v="2357"/>
    <s v="UPI"/>
    <x v="10"/>
    <d v="2025-03-27T00:00:00"/>
    <s v="ACTIVE"/>
    <m/>
    <m/>
    <m/>
    <m/>
  </r>
  <r>
    <n v="1119"/>
    <s v="Donor_040"/>
    <d v="2024-01-04T00:00:00"/>
    <s v="East"/>
    <s v="YearEndGiving"/>
    <m/>
    <n v="4235"/>
    <s v="Cash"/>
    <x v="10"/>
    <d v="2025-05-15T00:00:00"/>
    <s v="ACTIVE"/>
    <m/>
    <m/>
    <m/>
    <m/>
  </r>
  <r>
    <n v="1159"/>
    <s v="Donor_081"/>
    <d v="2025-01-06T00:00:00"/>
    <s v="North"/>
    <s v="EmergencyFoodBank"/>
    <m/>
    <n v="5005"/>
    <s v="Cheque"/>
    <x v="7"/>
    <d v="2025-06-07T00:00:00"/>
    <s v="ACTIVE"/>
    <m/>
    <m/>
    <m/>
    <m/>
  </r>
  <r>
    <n v="1370"/>
    <s v="Donor_058"/>
    <d v="2024-09-16T00:00:00"/>
    <s v="North"/>
    <s v="RamadanFeeding"/>
    <m/>
    <n v="5323"/>
    <s v="UPI"/>
    <x v="0"/>
    <d v="2025-06-22T00:00:00"/>
    <s v="ACTIVE"/>
    <m/>
    <m/>
    <m/>
    <m/>
  </r>
  <r>
    <n v="700"/>
    <s v="Donor_019"/>
    <d v="2025-04-19T00:00:00"/>
    <s v="NOT KNOWN"/>
    <s v="RamadanFeeding"/>
    <m/>
    <n v="423"/>
    <s v="Credit Card"/>
    <x v="17"/>
    <d v="2025-05-28T00:00:00"/>
    <s v="ACTIVE"/>
    <m/>
    <m/>
    <m/>
    <m/>
  </r>
  <r>
    <n v="1638"/>
    <s v="Donor_104"/>
    <d v="2024-01-02T00:00:00"/>
    <s v="South"/>
    <s v="EmergencyFoodBank"/>
    <m/>
    <n v="4256"/>
    <s v="Cheque"/>
    <x v="10"/>
    <d v="2025-05-08T00:00:00"/>
    <s v="ACTIVE"/>
    <m/>
    <m/>
    <m/>
    <m/>
  </r>
  <r>
    <n v="1298"/>
    <s v="Donor_074"/>
    <d v="2025-02-15T00:00:00"/>
    <s v="South"/>
    <s v="SchoolLunchFund"/>
    <m/>
    <n v="695"/>
    <s v="Credit Card"/>
    <x v="13"/>
    <d v="2025-06-18T00:00:00"/>
    <s v="ACTIVE"/>
    <m/>
    <m/>
    <m/>
    <m/>
  </r>
  <r>
    <n v="1065"/>
    <s v="Donor_017"/>
    <d v="2024-03-15T00:00:00"/>
    <s v="Central"/>
    <s v="YearEndGiving"/>
    <m/>
    <n v="871"/>
    <s v="Bank Transfer"/>
    <x v="8"/>
    <d v="2025-02-02T00:00:00"/>
    <s v="LAPSED"/>
    <m/>
    <m/>
    <m/>
    <m/>
  </r>
  <r>
    <n v="1741"/>
    <s v="Donor_001"/>
    <d v="2025-01-17T00:00:00"/>
    <s v="West"/>
    <s v="WinterMealDrive"/>
    <m/>
    <n v="557"/>
    <s v="Cheque"/>
    <x v="7"/>
    <d v="2025-05-18T00:00:00"/>
    <s v="ACTIVE"/>
    <m/>
    <m/>
    <m/>
    <m/>
  </r>
  <r>
    <n v="362"/>
    <s v="Donor_065"/>
    <d v="2024-02-21T00:00:00"/>
    <s v="South"/>
    <s v="YearEndGiving"/>
    <m/>
    <n v="721"/>
    <s v="Credit Card"/>
    <x v="14"/>
    <d v="2025-05-02T00:00:00"/>
    <s v="ACTIVE"/>
    <m/>
    <m/>
    <m/>
    <m/>
  </r>
  <r>
    <n v="979"/>
    <s v="Donor_105"/>
    <d v="2025-01-12T00:00:00"/>
    <s v="Central"/>
    <s v="WinterMealDrive"/>
    <m/>
    <n v="452"/>
    <s v="UPI"/>
    <x v="7"/>
    <d v="2025-06-15T00:00:00"/>
    <s v="ACTIVE"/>
    <m/>
    <m/>
    <m/>
    <m/>
  </r>
  <r>
    <n v="1163"/>
    <s v="Donor_071"/>
    <d v="2025-02-02T00:00:00"/>
    <s v="Central"/>
    <s v="SchoolLunchFund"/>
    <m/>
    <n v="1475"/>
    <s v="Credit Card"/>
    <x v="13"/>
    <d v="2025-06-08T00:00:00"/>
    <s v="ACTIVE"/>
    <m/>
    <m/>
    <m/>
    <m/>
  </r>
  <r>
    <n v="250"/>
    <s v="Donor_050"/>
    <d v="2025-06-07T00:00:00"/>
    <s v="West"/>
    <s v="YearEndGiving"/>
    <m/>
    <n v="1545"/>
    <s v="Cash"/>
    <x v="16"/>
    <d v="2025-06-18T00:00:00"/>
    <s v="ACTIVE"/>
    <m/>
    <m/>
    <m/>
    <m/>
  </r>
  <r>
    <n v="1535"/>
    <s v="Donor_061"/>
    <d v="2024-12-07T00:00:00"/>
    <s v="NOT KNOWN"/>
    <s v="FloodReliefMeals"/>
    <m/>
    <n v="2823"/>
    <s v="Cheque"/>
    <x v="9"/>
    <d v="2025-05-21T00:00:00"/>
    <s v="ACTIVE"/>
    <m/>
    <m/>
    <m/>
    <m/>
  </r>
  <r>
    <n v="25"/>
    <s v="Donor_011"/>
    <d v="2025-06-04T00:00:00"/>
    <s v="South"/>
    <s v="WinterMealDrive"/>
    <m/>
    <n v="1070"/>
    <s v="Credit Card"/>
    <x v="16"/>
    <d v="2025-06-04T00:00:00"/>
    <s v="ACTIVE"/>
    <m/>
    <m/>
    <m/>
    <m/>
  </r>
  <r>
    <n v="111"/>
    <s v="Donor_056"/>
    <d v="2024-08-08T00:00:00"/>
    <s v="West"/>
    <s v="SchoolLunchFund"/>
    <m/>
    <n v="702"/>
    <s v="Cash"/>
    <x v="1"/>
    <d v="2025-05-08T00:00:00"/>
    <s v="ACTIVE"/>
    <m/>
    <m/>
    <m/>
    <m/>
  </r>
  <r>
    <n v="1228"/>
    <s v="Donor_007"/>
    <d v="2025-06-21T00:00:00"/>
    <s v="Central"/>
    <s v="FloodReliefMeals"/>
    <m/>
    <n v="8922"/>
    <s v="Cheque"/>
    <x v="16"/>
    <d v="2025-06-21T00:00:00"/>
    <s v="ACTIVE"/>
    <m/>
    <m/>
    <m/>
    <m/>
  </r>
  <r>
    <n v="1038"/>
    <s v="Donor_096"/>
    <d v="2025-02-26T00:00:00"/>
    <s v="Central"/>
    <s v="YearEndGiving"/>
    <m/>
    <n v="598"/>
    <s v="UPI"/>
    <x v="13"/>
    <d v="2025-06-04T00:00:00"/>
    <s v="ACTIVE"/>
    <m/>
    <m/>
    <m/>
    <m/>
  </r>
  <r>
    <n v="349"/>
    <s v="Donor_057"/>
    <d v="2025-03-02T00:00:00"/>
    <s v="West"/>
    <s v="WinterMealDrive"/>
    <m/>
    <n v="0"/>
    <s v="Credit Card"/>
    <x v="6"/>
    <d v="2025-03-30T00:00:00"/>
    <s v="ACTIVE"/>
    <m/>
    <m/>
    <m/>
    <m/>
  </r>
  <r>
    <n v="952"/>
    <s v="Donor_082"/>
    <d v="2024-04-12T00:00:00"/>
    <s v="West"/>
    <s v="YearEndGiving"/>
    <m/>
    <n v="534"/>
    <s v="Cash"/>
    <x v="3"/>
    <d v="2025-06-02T00:00:00"/>
    <s v="ACTIVE"/>
    <m/>
    <m/>
    <m/>
    <m/>
  </r>
  <r>
    <n v="404"/>
    <s v="Donor_117"/>
    <d v="2025-01-20T00:00:00"/>
    <s v="South"/>
    <s v="YearEndGiving"/>
    <m/>
    <n v="706"/>
    <s v="Bank Transfer"/>
    <x v="7"/>
    <d v="2025-04-05T00:00:00"/>
    <s v="ACTIVE"/>
    <m/>
    <m/>
    <m/>
    <m/>
  </r>
  <r>
    <n v="363"/>
    <s v="Donor_058"/>
    <d v="2025-05-25T00:00:00"/>
    <s v="NOT KNOWN"/>
    <s v="WinterMealDrive"/>
    <m/>
    <n v="329"/>
    <s v="UPI"/>
    <x v="11"/>
    <d v="2025-06-22T00:00:00"/>
    <s v="ACTIVE"/>
    <m/>
    <m/>
    <m/>
    <m/>
  </r>
  <r>
    <n v="464"/>
    <s v="Donor_114"/>
    <d v="2024-07-08T00:00:00"/>
    <s v="North"/>
    <s v="YearEndGiving"/>
    <m/>
    <n v="5552"/>
    <s v="Credit Card"/>
    <x v="5"/>
    <d v="2025-04-04T00:00:00"/>
    <s v="ACTIVE"/>
    <m/>
    <m/>
    <m/>
    <m/>
  </r>
  <r>
    <n v="466"/>
    <s v="Donor_107"/>
    <d v="2024-02-14T00:00:00"/>
    <s v="South"/>
    <s v="SchoolLunchFund"/>
    <m/>
    <n v="440"/>
    <s v="Cash"/>
    <x v="14"/>
    <d v="2025-03-18T00:00:00"/>
    <s v="LAPSED"/>
    <m/>
    <m/>
    <m/>
    <m/>
  </r>
  <r>
    <n v="450"/>
    <s v="Donor_092"/>
    <d v="2024-06-16T00:00:00"/>
    <s v="West"/>
    <s v="RamadanFeeding"/>
    <m/>
    <n v="1810"/>
    <s v="Cash"/>
    <x v="2"/>
    <d v="2025-05-07T00:00:00"/>
    <s v="ACTIVE"/>
    <m/>
    <m/>
    <m/>
    <m/>
  </r>
  <r>
    <n v="1764"/>
    <s v="Donor_070"/>
    <d v="2024-06-27T00:00:00"/>
    <s v="East"/>
    <s v="FloodReliefMeals"/>
    <m/>
    <n v="2327"/>
    <s v="Cheque"/>
    <x v="2"/>
    <d v="2025-03-27T00:00:00"/>
    <s v="ACTIVE"/>
    <m/>
    <m/>
    <m/>
    <m/>
  </r>
  <r>
    <n v="1012"/>
    <s v="Donor_073"/>
    <d v="2024-10-24T00:00:00"/>
    <s v="West"/>
    <s v="EmergencyFoodBank"/>
    <m/>
    <n v="5729"/>
    <s v="UPI"/>
    <x v="12"/>
    <d v="2025-06-23T00:00:00"/>
    <s v="ACTIVE"/>
    <m/>
    <m/>
    <m/>
    <m/>
  </r>
  <r>
    <n v="178"/>
    <s v="Donor_091"/>
    <d v="2025-05-16T00:00:00"/>
    <s v="Central"/>
    <s v="FloodReliefMeals"/>
    <m/>
    <n v="338"/>
    <s v="Bank Transfer"/>
    <x v="11"/>
    <d v="2025-05-16T00:00:00"/>
    <s v="ACTIVE"/>
    <m/>
    <m/>
    <m/>
    <m/>
  </r>
  <r>
    <n v="1744"/>
    <s v="Donor_088"/>
    <d v="2024-11-17T00:00:00"/>
    <s v="North"/>
    <s v="WinterMealDrive"/>
    <m/>
    <n v="271"/>
    <s v="UPI"/>
    <x v="4"/>
    <d v="2025-05-21T00:00:00"/>
    <s v="ACTIVE"/>
    <m/>
    <m/>
    <m/>
    <m/>
  </r>
  <r>
    <n v="703"/>
    <s v="Donor_030"/>
    <d v="2025-05-14T00:00:00"/>
    <s v="North"/>
    <s v="YearEndGiving"/>
    <m/>
    <n v="484"/>
    <s v="Bank Transfer"/>
    <x v="11"/>
    <d v="2025-05-25T00:00:00"/>
    <s v="ACTIVE"/>
    <m/>
    <m/>
    <m/>
    <m/>
  </r>
  <r>
    <n v="831"/>
    <s v="Donor_078"/>
    <d v="2024-12-11T00:00:00"/>
    <s v="West"/>
    <s v="FloodReliefMeals"/>
    <m/>
    <n v="5364"/>
    <s v="Bank Transfer"/>
    <x v="9"/>
    <d v="2025-03-13T00:00:00"/>
    <s v="LAPSED"/>
    <m/>
    <m/>
    <m/>
    <m/>
  </r>
  <r>
    <n v="1082"/>
    <s v="Donor_091"/>
    <d v="2025-02-11T00:00:00"/>
    <s v="South"/>
    <s v="RamadanFeeding"/>
    <m/>
    <n v="312"/>
    <s v="Credit Card"/>
    <x v="13"/>
    <d v="2025-05-16T00:00:00"/>
    <s v="ACTIVE"/>
    <m/>
    <m/>
    <m/>
    <m/>
  </r>
  <r>
    <n v="1187"/>
    <s v="Donor_088"/>
    <d v="2024-04-15T00:00:00"/>
    <s v="East"/>
    <s v="YearEndGiving"/>
    <m/>
    <n v="2057"/>
    <s v="Credit Card"/>
    <x v="3"/>
    <d v="2025-05-21T00:00:00"/>
    <s v="ACTIVE"/>
    <m/>
    <m/>
    <m/>
    <m/>
  </r>
  <r>
    <n v="475"/>
    <s v="Donor_118"/>
    <d v="2024-10-09T00:00:00"/>
    <s v="Central"/>
    <s v="YearEndGiving"/>
    <m/>
    <n v="10283"/>
    <s v="Cheque"/>
    <x v="12"/>
    <d v="2025-04-19T00:00:00"/>
    <s v="ACTIVE"/>
    <m/>
    <m/>
    <m/>
    <m/>
  </r>
  <r>
    <n v="665"/>
    <s v="Donor_113"/>
    <d v="2024-11-20T00:00:00"/>
    <s v="West"/>
    <s v="WinterMealDrive"/>
    <m/>
    <n v="2866"/>
    <s v="Cash"/>
    <x v="4"/>
    <d v="2025-04-17T00:00:00"/>
    <s v="ACTIVE"/>
    <m/>
    <m/>
    <m/>
    <m/>
  </r>
  <r>
    <n v="415"/>
    <s v="Donor_074"/>
    <d v="2024-01-08T00:00:00"/>
    <s v="Central"/>
    <s v="WinterMealDrive"/>
    <m/>
    <n v="8029"/>
    <s v="Credit Card"/>
    <x v="10"/>
    <d v="2025-06-18T00:00:00"/>
    <s v="ACTIVE"/>
    <m/>
    <m/>
    <m/>
    <m/>
  </r>
  <r>
    <n v="47"/>
    <s v="Donor_097"/>
    <d v="2024-11-20T00:00:00"/>
    <s v="West"/>
    <s v="YearEndGiving"/>
    <m/>
    <n v="9707"/>
    <s v="Cheque"/>
    <x v="4"/>
    <d v="2025-06-04T00:00:00"/>
    <s v="ACTIVE"/>
    <m/>
    <m/>
    <m/>
    <m/>
  </r>
  <r>
    <n v="833"/>
    <s v="Donor_004"/>
    <d v="2024-05-22T00:00:00"/>
    <s v="Central"/>
    <s v="WinterMealDrive"/>
    <m/>
    <n v="9118"/>
    <s v="Credit Card"/>
    <x v="15"/>
    <d v="2025-05-26T00:00:00"/>
    <s v="ACTIVE"/>
    <m/>
    <m/>
    <m/>
    <m/>
  </r>
  <r>
    <n v="672"/>
    <s v="Donor_106"/>
    <d v="2025-04-09T00:00:00"/>
    <s v="West"/>
    <s v="WinterMealDrive"/>
    <m/>
    <n v="2171"/>
    <s v="Credit Card"/>
    <x v="17"/>
    <d v="2025-06-11T00:00:00"/>
    <s v="ACTIVE"/>
    <m/>
    <m/>
    <m/>
    <m/>
  </r>
  <r>
    <n v="194"/>
    <s v="Donor_034"/>
    <d v="2024-01-12T00:00:00"/>
    <s v="East"/>
    <s v="EmergencyFoodBank"/>
    <m/>
    <n v="1650"/>
    <s v="UPI"/>
    <x v="10"/>
    <d v="2025-06-21T00:00:00"/>
    <s v="ACTIVE"/>
    <m/>
    <m/>
    <m/>
    <m/>
  </r>
  <r>
    <n v="393"/>
    <s v="Donor_024"/>
    <d v="2024-04-27T00:00:00"/>
    <s v="Central"/>
    <s v="WinterMealDrive"/>
    <m/>
    <n v="9845"/>
    <s v="Cheque"/>
    <x v="3"/>
    <d v="2025-06-07T00:00:00"/>
    <s v="ACTIVE"/>
    <m/>
    <m/>
    <m/>
    <m/>
  </r>
  <r>
    <n v="1784"/>
    <s v="Donor_063"/>
    <d v="2024-10-12T00:00:00"/>
    <s v="East"/>
    <s v="EmergencyFoodBank"/>
    <m/>
    <n v="2185"/>
    <s v="Cheque"/>
    <x v="12"/>
    <d v="2025-04-20T00:00:00"/>
    <s v="ACTIVE"/>
    <m/>
    <m/>
    <m/>
    <m/>
  </r>
  <r>
    <n v="1171"/>
    <s v="Donor_098"/>
    <d v="2024-02-06T00:00:00"/>
    <s v="South"/>
    <s v="SchoolLunchFund"/>
    <m/>
    <n v="9154"/>
    <s v="Credit Card"/>
    <x v="14"/>
    <d v="2025-06-20T00:00:00"/>
    <s v="ACTIVE"/>
    <m/>
    <m/>
    <m/>
    <m/>
  </r>
  <r>
    <n v="1257"/>
    <s v="Donor_009"/>
    <d v="2024-05-31T00:00:00"/>
    <s v="East"/>
    <s v="WinterMealDrive"/>
    <m/>
    <n v="2570"/>
    <s v="UPI"/>
    <x v="15"/>
    <d v="2025-05-15T00:00:00"/>
    <s v="ACTIVE"/>
    <m/>
    <m/>
    <m/>
    <m/>
  </r>
  <r>
    <n v="446"/>
    <s v="Donor_112"/>
    <d v="2025-04-23T00:00:00"/>
    <s v="Central"/>
    <s v="FloodReliefMeals"/>
    <m/>
    <n v="9779"/>
    <s v="Cheque"/>
    <x v="17"/>
    <d v="2025-05-26T00:00:00"/>
    <s v="ACTIVE"/>
    <m/>
    <m/>
    <m/>
    <m/>
  </r>
  <r>
    <n v="27"/>
    <s v="Donor_059"/>
    <d v="2024-11-03T00:00:00"/>
    <s v="East"/>
    <s v="WinterMealDrive"/>
    <m/>
    <n v="492"/>
    <s v="Cheque"/>
    <x v="4"/>
    <d v="2025-06-16T00:00:00"/>
    <s v="ACTIVE"/>
    <m/>
    <m/>
    <m/>
    <m/>
  </r>
  <r>
    <n v="1226"/>
    <s v="Donor_040"/>
    <d v="2024-12-21T00:00:00"/>
    <s v="West"/>
    <s v="RamadanFeeding"/>
    <m/>
    <n v="11937"/>
    <s v="UPI"/>
    <x v="9"/>
    <d v="2025-05-15T00:00:00"/>
    <s v="ACTIVE"/>
    <m/>
    <m/>
    <m/>
    <m/>
  </r>
  <r>
    <n v="1635"/>
    <s v="Donor_059"/>
    <d v="2024-07-02T00:00:00"/>
    <s v="East"/>
    <s v="YearEndGiving"/>
    <m/>
    <n v="860"/>
    <s v="Bank Transfer"/>
    <x v="5"/>
    <d v="2025-06-16T00:00:00"/>
    <s v="ACTIVE"/>
    <m/>
    <m/>
    <m/>
    <m/>
  </r>
  <r>
    <n v="452"/>
    <s v="Donor_090"/>
    <d v="2024-10-05T00:00:00"/>
    <s v="Central"/>
    <s v="RamadanFeeding"/>
    <m/>
    <n v="1857"/>
    <s v="Credit Card"/>
    <x v="12"/>
    <d v="2025-04-25T00:00:00"/>
    <s v="ACTIVE"/>
    <m/>
    <m/>
    <m/>
    <m/>
  </r>
  <r>
    <n v="1201"/>
    <s v="Donor_097"/>
    <d v="2024-07-14T00:00:00"/>
    <s v="North"/>
    <s v="EmergencyFoodBank"/>
    <m/>
    <n v="845"/>
    <s v="Cash"/>
    <x v="5"/>
    <d v="2025-06-04T00:00:00"/>
    <s v="ACTIVE"/>
    <m/>
    <m/>
    <m/>
    <m/>
  </r>
  <r>
    <n v="1490"/>
    <s v="Donor_081"/>
    <d v="2024-07-06T00:00:00"/>
    <s v="West"/>
    <s v="YearEndGiving"/>
    <m/>
    <n v="430"/>
    <s v="UPI"/>
    <x v="5"/>
    <d v="2025-06-07T00:00:00"/>
    <s v="ACTIVE"/>
    <m/>
    <m/>
    <m/>
    <m/>
  </r>
  <r>
    <n v="1491"/>
    <s v="Donor_062"/>
    <d v="2024-01-02T00:00:00"/>
    <s v="South"/>
    <s v="SchoolLunchFund"/>
    <m/>
    <n v="1093"/>
    <s v="Cash"/>
    <x v="10"/>
    <d v="2025-05-17T00:00:00"/>
    <s v="ACTIVE"/>
    <m/>
    <m/>
    <m/>
    <m/>
  </r>
  <r>
    <n v="1787"/>
    <s v="Donor_065"/>
    <d v="2024-05-13T00:00:00"/>
    <s v="North"/>
    <s v="RamadanFeeding"/>
    <m/>
    <n v="5773"/>
    <s v="Cash"/>
    <x v="15"/>
    <d v="2025-05-02T00:00:00"/>
    <s v="ACTIVE"/>
    <m/>
    <m/>
    <m/>
    <m/>
  </r>
  <r>
    <n v="1248"/>
    <s v="Donor_080"/>
    <d v="2025-02-11T00:00:00"/>
    <s v="North"/>
    <s v="SchoolLunchFund"/>
    <m/>
    <n v="836"/>
    <s v="Cheque"/>
    <x v="13"/>
    <d v="2025-05-11T00:00:00"/>
    <s v="ACTIVE"/>
    <m/>
    <m/>
    <m/>
    <m/>
  </r>
  <r>
    <n v="1314"/>
    <s v="Donor_092"/>
    <d v="2024-04-03T00:00:00"/>
    <s v="North"/>
    <s v="WinterMealDrive"/>
    <m/>
    <n v="837"/>
    <s v="Credit Card"/>
    <x v="3"/>
    <d v="2025-05-07T00:00:00"/>
    <s v="ACTIVE"/>
    <m/>
    <m/>
    <m/>
    <m/>
  </r>
  <r>
    <n v="652"/>
    <s v="Donor_113"/>
    <d v="2024-07-03T00:00:00"/>
    <s v="North"/>
    <s v="EmergencyFoodBank"/>
    <m/>
    <n v="11451"/>
    <s v="Cheque"/>
    <x v="5"/>
    <d v="2025-04-17T00:00:00"/>
    <s v="ACTIVE"/>
    <m/>
    <m/>
    <m/>
    <m/>
  </r>
  <r>
    <n v="1445"/>
    <s v="Donor_104"/>
    <d v="2025-03-04T00:00:00"/>
    <s v="South"/>
    <s v="FloodReliefMeals"/>
    <m/>
    <n v="4421"/>
    <s v="Cash"/>
    <x v="6"/>
    <d v="2025-05-08T00:00:00"/>
    <s v="ACTIVE"/>
    <m/>
    <m/>
    <m/>
    <m/>
  </r>
  <r>
    <n v="370"/>
    <s v="Donor_089"/>
    <d v="2024-06-30T00:00:00"/>
    <s v="Central"/>
    <s v="SchoolLunchFund"/>
    <m/>
    <n v="1262"/>
    <s v="Cheque"/>
    <x v="2"/>
    <d v="2025-05-16T00:00:00"/>
    <s v="ACTIVE"/>
    <m/>
    <m/>
    <m/>
    <m/>
  </r>
  <r>
    <n v="159"/>
    <s v="Donor_091"/>
    <d v="2024-09-23T00:00:00"/>
    <s v="West"/>
    <s v="SchoolLunchFund"/>
    <m/>
    <n v="2694"/>
    <s v="Cash"/>
    <x v="0"/>
    <d v="2025-05-16T00:00:00"/>
    <s v="ACTIVE"/>
    <m/>
    <m/>
    <m/>
    <m/>
  </r>
  <r>
    <n v="1679"/>
    <s v="Donor_006"/>
    <d v="2024-09-11T00:00:00"/>
    <s v="East"/>
    <s v="FloodReliefMeals"/>
    <m/>
    <n v="10044"/>
    <s v="Cash"/>
    <x v="0"/>
    <d v="2025-06-06T00:00:00"/>
    <s v="ACTIVE"/>
    <m/>
    <m/>
    <m/>
    <m/>
  </r>
  <r>
    <n v="308"/>
    <s v="Donor_118"/>
    <d v="2024-11-21T00:00:00"/>
    <s v="Central"/>
    <s v="SchoolLunchFund"/>
    <m/>
    <n v="1175"/>
    <s v="Credit Card"/>
    <x v="4"/>
    <d v="2025-04-19T00:00:00"/>
    <s v="ACTIVE"/>
    <m/>
    <m/>
    <m/>
    <m/>
  </r>
  <r>
    <n v="286"/>
    <s v="Donor_043"/>
    <d v="2024-01-10T00:00:00"/>
    <s v="North"/>
    <s v="EmergencyFoodBank"/>
    <m/>
    <n v="855"/>
    <s v="Bank Transfer"/>
    <x v="10"/>
    <d v="2025-06-13T00:00:00"/>
    <s v="ACTIVE"/>
    <m/>
    <m/>
    <m/>
    <m/>
  </r>
  <r>
    <n v="1261"/>
    <s v="Donor_004"/>
    <d v="2024-07-04T00:00:00"/>
    <s v="West"/>
    <s v="EmergencyFoodBank"/>
    <m/>
    <n v="933"/>
    <s v="UPI"/>
    <x v="5"/>
    <d v="2025-05-26T00:00:00"/>
    <s v="ACTIVE"/>
    <m/>
    <m/>
    <m/>
    <m/>
  </r>
  <r>
    <n v="331"/>
    <s v="Donor_110"/>
    <d v="2024-06-15T00:00:00"/>
    <s v="Central"/>
    <s v="SchoolLunchFund"/>
    <m/>
    <n v="2118"/>
    <s v="Credit Card"/>
    <x v="2"/>
    <d v="2025-06-04T00:00:00"/>
    <s v="ACTIVE"/>
    <m/>
    <m/>
    <m/>
    <m/>
  </r>
  <r>
    <n v="1307"/>
    <s v="Donor_090"/>
    <d v="2024-09-01T00:00:00"/>
    <s v="East"/>
    <s v="FloodReliefMeals"/>
    <m/>
    <n v="360"/>
    <s v="Bank Transfer"/>
    <x v="0"/>
    <d v="2025-04-25T00:00:00"/>
    <s v="ACTIVE"/>
    <m/>
    <m/>
    <m/>
    <m/>
  </r>
  <r>
    <n v="1579"/>
    <s v="Donor_070"/>
    <d v="2024-12-09T00:00:00"/>
    <s v="West"/>
    <s v="WinterMealDrive"/>
    <m/>
    <n v="2405"/>
    <s v="Credit Card"/>
    <x v="9"/>
    <d v="2025-03-27T00:00:00"/>
    <s v="ACTIVE"/>
    <m/>
    <m/>
    <m/>
    <m/>
  </r>
  <r>
    <n v="1127"/>
    <s v="Donor_042"/>
    <d v="2024-02-04T00:00:00"/>
    <s v="North"/>
    <s v="EmergencyFoodBank"/>
    <m/>
    <n v="5739"/>
    <s v="UPI"/>
    <x v="14"/>
    <d v="2025-02-10T00:00:00"/>
    <s v="LAPSED"/>
    <m/>
    <m/>
    <m/>
    <m/>
  </r>
  <r>
    <n v="1466"/>
    <s v="Donor_050"/>
    <d v="2025-04-13T00:00:00"/>
    <s v="NOT KNOWN"/>
    <s v="EmergencyFoodBank"/>
    <m/>
    <n v="4398"/>
    <s v="UPI"/>
    <x v="17"/>
    <d v="2025-06-18T00:00:00"/>
    <s v="ACTIVE"/>
    <m/>
    <m/>
    <m/>
    <m/>
  </r>
  <r>
    <n v="554"/>
    <s v="Donor_085"/>
    <d v="2024-06-03T00:00:00"/>
    <s v="West"/>
    <s v="FloodReliefMeals"/>
    <m/>
    <n v="1357"/>
    <s v="Credit Card"/>
    <x v="2"/>
    <d v="2025-06-22T00:00:00"/>
    <s v="ACTIVE"/>
    <m/>
    <m/>
    <m/>
    <m/>
  </r>
  <r>
    <n v="729"/>
    <s v="Donor_102"/>
    <d v="2024-01-29T00:00:00"/>
    <s v="South"/>
    <s v="SchoolLunchFund"/>
    <m/>
    <n v="615"/>
    <s v="Bank Transfer"/>
    <x v="10"/>
    <d v="2025-04-29T00:00:00"/>
    <s v="ACTIVE"/>
    <m/>
    <m/>
    <m/>
    <m/>
  </r>
  <r>
    <n v="253"/>
    <s v="Donor_011"/>
    <d v="2024-06-20T00:00:00"/>
    <s v="Central"/>
    <s v="WinterMealDrive"/>
    <m/>
    <n v="1834"/>
    <s v="Bank Transfer"/>
    <x v="2"/>
    <d v="2025-06-04T00:00:00"/>
    <s v="ACTIVE"/>
    <m/>
    <m/>
    <m/>
    <m/>
  </r>
  <r>
    <n v="622"/>
    <s v="Donor_035"/>
    <d v="2024-11-04T00:00:00"/>
    <s v="East"/>
    <s v="WinterMealDrive"/>
    <m/>
    <n v="10320"/>
    <s v="Credit Card"/>
    <x v="4"/>
    <d v="2025-06-15T00:00:00"/>
    <s v="ACTIVE"/>
    <m/>
    <m/>
    <m/>
    <m/>
  </r>
  <r>
    <n v="110"/>
    <s v="Donor_049"/>
    <d v="2024-11-28T00:00:00"/>
    <s v="Central"/>
    <s v="YearEndGiving"/>
    <m/>
    <n v="2454"/>
    <s v="Cheque"/>
    <x v="4"/>
    <d v="2025-06-19T00:00:00"/>
    <s v="ACTIVE"/>
    <m/>
    <m/>
    <m/>
    <m/>
  </r>
  <r>
    <n v="778"/>
    <s v="Donor_051"/>
    <d v="2024-08-28T00:00:00"/>
    <s v="South"/>
    <s v="FloodReliefMeals"/>
    <m/>
    <n v="867"/>
    <s v="Cheque"/>
    <x v="1"/>
    <d v="2025-06-11T00:00:00"/>
    <s v="ACTIVE"/>
    <m/>
    <m/>
    <m/>
    <m/>
  </r>
  <r>
    <n v="1578"/>
    <s v="Donor_024"/>
    <d v="2024-06-24T00:00:00"/>
    <s v="South"/>
    <s v="EmergencyFoodBank"/>
    <m/>
    <n v="4656"/>
    <s v="Credit Card"/>
    <x v="2"/>
    <d v="2025-06-07T00:00:00"/>
    <s v="ACTIVE"/>
    <m/>
    <m/>
    <m/>
    <m/>
  </r>
  <r>
    <n v="165"/>
    <s v="Donor_045"/>
    <d v="2024-08-18T00:00:00"/>
    <s v="Central"/>
    <s v="FloodReliefMeals"/>
    <m/>
    <n v="900"/>
    <s v="Cheque"/>
    <x v="1"/>
    <d v="2025-05-11T00:00:00"/>
    <s v="ACTIVE"/>
    <m/>
    <m/>
    <m/>
    <m/>
  </r>
  <r>
    <n v="1740"/>
    <s v="Donor_092"/>
    <d v="2024-09-25T00:00:00"/>
    <s v="West"/>
    <s v="SchoolLunchFund"/>
    <m/>
    <n v="854"/>
    <s v="Cash"/>
    <x v="0"/>
    <d v="2025-05-07T00:00:00"/>
    <s v="ACTIVE"/>
    <m/>
    <m/>
    <m/>
    <m/>
  </r>
  <r>
    <n v="761"/>
    <s v="Donor_059"/>
    <d v="2024-01-11T00:00:00"/>
    <s v="West"/>
    <s v="RamadanFeeding"/>
    <m/>
    <n v="864"/>
    <s v="Cheque"/>
    <x v="10"/>
    <d v="2025-06-16T00:00:00"/>
    <s v="ACTIVE"/>
    <m/>
    <m/>
    <m/>
    <m/>
  </r>
  <r>
    <n v="208"/>
    <s v="Donor_081"/>
    <d v="2024-06-28T00:00:00"/>
    <s v="West"/>
    <s v="YearEndGiving"/>
    <m/>
    <n v="246"/>
    <s v="Bank Transfer"/>
    <x v="2"/>
    <d v="2025-06-07T00:00:00"/>
    <s v="ACTIVE"/>
    <m/>
    <m/>
    <m/>
    <m/>
  </r>
  <r>
    <n v="152"/>
    <s v="Donor_016"/>
    <d v="2024-10-06T00:00:00"/>
    <s v="East"/>
    <s v="RamadanFeeding"/>
    <m/>
    <n v="823"/>
    <s v="Cash"/>
    <x v="12"/>
    <d v="2025-06-17T00:00:00"/>
    <s v="ACTIVE"/>
    <m/>
    <m/>
    <m/>
    <m/>
  </r>
  <r>
    <n v="263"/>
    <s v="Donor_013"/>
    <d v="2024-02-17T00:00:00"/>
    <s v="West"/>
    <s v="WinterMealDrive"/>
    <m/>
    <n v="1172"/>
    <s v="Credit Card"/>
    <x v="14"/>
    <d v="2025-04-28T00:00:00"/>
    <s v="ACTIVE"/>
    <m/>
    <m/>
    <m/>
    <m/>
  </r>
  <r>
    <n v="1512"/>
    <s v="Donor_011"/>
    <d v="2024-03-24T00:00:00"/>
    <s v="South"/>
    <s v="RamadanFeeding"/>
    <m/>
    <n v="976"/>
    <s v="Cheque"/>
    <x v="8"/>
    <d v="2025-06-04T00:00:00"/>
    <s v="ACTIVE"/>
    <m/>
    <m/>
    <m/>
    <m/>
  </r>
  <r>
    <n v="699"/>
    <s v="Donor_027"/>
    <d v="2024-01-28T00:00:00"/>
    <s v="West"/>
    <s v="EmergencyFoodBank"/>
    <m/>
    <n v="1590"/>
    <s v="Cash"/>
    <x v="10"/>
    <d v="2025-06-06T00:00:00"/>
    <s v="ACTIVE"/>
    <m/>
    <m/>
    <m/>
    <m/>
  </r>
  <r>
    <n v="1034"/>
    <s v="Donor_045"/>
    <d v="2024-02-06T00:00:00"/>
    <s v="North"/>
    <s v="RamadanFeeding"/>
    <m/>
    <n v="1155"/>
    <s v="Cash"/>
    <x v="14"/>
    <d v="2025-05-11T00:00:00"/>
    <s v="ACTIVE"/>
    <m/>
    <m/>
    <m/>
    <m/>
  </r>
  <r>
    <n v="515"/>
    <s v="Donor_078"/>
    <d v="2025-03-13T00:00:00"/>
    <s v="East"/>
    <s v="FloodReliefMeals"/>
    <m/>
    <n v="10301"/>
    <s v="Cheque"/>
    <x v="6"/>
    <d v="2025-03-13T00:00:00"/>
    <s v="LAPSED"/>
    <m/>
    <m/>
    <m/>
    <m/>
  </r>
  <r>
    <n v="21"/>
    <s v="Donor_060"/>
    <d v="2024-10-12T00:00:00"/>
    <s v="NOT KNOWN"/>
    <s v="WinterMealDrive"/>
    <m/>
    <n v="337"/>
    <s v="Cheque"/>
    <x v="12"/>
    <d v="2025-05-20T00:00:00"/>
    <s v="ACTIVE"/>
    <m/>
    <m/>
    <m/>
    <m/>
  </r>
  <r>
    <n v="1625"/>
    <s v="Donor_005"/>
    <d v="2024-06-26T00:00:00"/>
    <s v="North"/>
    <s v="FloodReliefMeals"/>
    <m/>
    <n v="9956"/>
    <s v="Cash"/>
    <x v="2"/>
    <d v="2025-06-10T00:00:00"/>
    <s v="ACTIVE"/>
    <m/>
    <m/>
    <m/>
    <m/>
  </r>
  <r>
    <n v="98"/>
    <s v="Donor_097"/>
    <d v="2024-05-24T00:00:00"/>
    <s v="South"/>
    <s v="EmergencyFoodBank"/>
    <m/>
    <n v="0"/>
    <s v="Cheque"/>
    <x v="15"/>
    <d v="2025-06-04T00:00:00"/>
    <s v="ACTIVE"/>
    <m/>
    <m/>
    <m/>
    <m/>
  </r>
  <r>
    <n v="1165"/>
    <s v="Donor_103"/>
    <d v="2024-04-23T00:00:00"/>
    <s v="Central"/>
    <s v="FloodReliefMeals"/>
    <m/>
    <n v="1347"/>
    <s v="UPI"/>
    <x v="3"/>
    <d v="2025-02-25T00:00:00"/>
    <s v="LAPSED"/>
    <m/>
    <m/>
    <m/>
    <m/>
  </r>
  <r>
    <n v="973"/>
    <s v="Donor_074"/>
    <d v="2024-03-17T00:00:00"/>
    <s v="West"/>
    <s v="EmergencyFoodBank"/>
    <m/>
    <n v="695"/>
    <s v="Bank Transfer"/>
    <x v="8"/>
    <d v="2025-06-18T00:00:00"/>
    <s v="ACTIVE"/>
    <m/>
    <m/>
    <m/>
    <m/>
  </r>
  <r>
    <n v="1488"/>
    <s v="Donor_083"/>
    <d v="2025-06-05T00:00:00"/>
    <s v="South"/>
    <s v="WinterMealDrive"/>
    <m/>
    <n v="2721"/>
    <s v="Cheque"/>
    <x v="16"/>
    <d v="2025-06-21T00:00:00"/>
    <s v="ACTIVE"/>
    <m/>
    <m/>
    <m/>
    <m/>
  </r>
  <r>
    <n v="140"/>
    <s v="Donor_021"/>
    <d v="2025-03-04T00:00:00"/>
    <s v="South"/>
    <s v="YearEndGiving"/>
    <m/>
    <n v="1724"/>
    <s v="UPI"/>
    <x v="6"/>
    <d v="2025-04-05T00:00:00"/>
    <s v="ACTIVE"/>
    <m/>
    <m/>
    <m/>
    <m/>
  </r>
  <r>
    <n v="439"/>
    <s v="Donor_045"/>
    <d v="2024-05-04T00:00:00"/>
    <s v="Central"/>
    <s v="SchoolLunchFund"/>
    <m/>
    <n v="8698"/>
    <s v="Bank Transfer"/>
    <x v="15"/>
    <d v="2025-05-11T00:00:00"/>
    <s v="ACTIVE"/>
    <m/>
    <m/>
    <m/>
    <m/>
  </r>
  <r>
    <n v="649"/>
    <s v="Donor_026"/>
    <d v="2025-03-22T00:00:00"/>
    <s v="West"/>
    <s v="EmergencyFoodBank"/>
    <m/>
    <n v="1136"/>
    <s v="Cheque"/>
    <x v="6"/>
    <d v="2025-05-28T00:00:00"/>
    <s v="ACTIVE"/>
    <m/>
    <m/>
    <m/>
    <m/>
  </r>
  <r>
    <n v="747"/>
    <s v="Donor_078"/>
    <d v="2024-01-03T00:00:00"/>
    <s v="West"/>
    <s v="WinterMealDrive"/>
    <m/>
    <n v="535"/>
    <s v="Cash"/>
    <x v="10"/>
    <d v="2025-03-13T00:00:00"/>
    <s v="LAPSED"/>
    <m/>
    <m/>
    <m/>
    <m/>
  </r>
  <r>
    <n v="1688"/>
    <s v="Donor_030"/>
    <d v="2024-03-04T00:00:00"/>
    <s v="Central"/>
    <s v="YearEndGiving"/>
    <m/>
    <n v="11230"/>
    <s v="Credit Card"/>
    <x v="8"/>
    <d v="2025-05-25T00:00:00"/>
    <s v="ACTIVE"/>
    <m/>
    <m/>
    <m/>
    <m/>
  </r>
  <r>
    <n v="1489"/>
    <s v="Donor_096"/>
    <d v="2024-11-13T00:00:00"/>
    <s v="West"/>
    <s v="WinterMealDrive"/>
    <m/>
    <n v="1027"/>
    <s v="UPI"/>
    <x v="4"/>
    <d v="2025-06-04T00:00:00"/>
    <s v="ACTIVE"/>
    <m/>
    <m/>
    <m/>
    <m/>
  </r>
  <r>
    <n v="276"/>
    <s v="Donor_051"/>
    <d v="2024-11-30T00:00:00"/>
    <s v="Central"/>
    <s v="EmergencyFoodBank"/>
    <m/>
    <n v="924"/>
    <s v="Cash"/>
    <x v="4"/>
    <d v="2025-06-11T00:00:00"/>
    <s v="ACTIVE"/>
    <m/>
    <m/>
    <m/>
    <m/>
  </r>
  <r>
    <n v="957"/>
    <s v="Donor_030"/>
    <d v="2025-03-23T00:00:00"/>
    <s v="North"/>
    <s v="EmergencyFoodBank"/>
    <m/>
    <n v="1503"/>
    <s v="Cheque"/>
    <x v="6"/>
    <d v="2025-05-25T00:00:00"/>
    <s v="ACTIVE"/>
    <m/>
    <m/>
    <m/>
    <m/>
  </r>
  <r>
    <n v="1009"/>
    <s v="Donor_053"/>
    <d v="2025-03-06T00:00:00"/>
    <s v="West"/>
    <s v="WinterMealDrive"/>
    <m/>
    <n v="8106"/>
    <s v="Cash"/>
    <x v="6"/>
    <d v="2025-04-16T00:00:00"/>
    <s v="ACTIVE"/>
    <m/>
    <m/>
    <m/>
    <m/>
  </r>
  <r>
    <n v="758"/>
    <s v="Donor_067"/>
    <d v="2024-12-07T00:00:00"/>
    <s v="South"/>
    <s v="WinterMealDrive"/>
    <m/>
    <n v="332"/>
    <s v="Cash"/>
    <x v="9"/>
    <d v="2025-06-15T00:00:00"/>
    <s v="ACTIVE"/>
    <m/>
    <m/>
    <m/>
    <m/>
  </r>
  <r>
    <n v="214"/>
    <s v="Donor_049"/>
    <d v="2024-10-16T00:00:00"/>
    <s v="West"/>
    <s v="YearEndGiving"/>
    <m/>
    <n v="4617"/>
    <s v="Bank Transfer"/>
    <x v="12"/>
    <d v="2025-06-19T00:00:00"/>
    <s v="ACTIVE"/>
    <m/>
    <m/>
    <m/>
    <m/>
  </r>
  <r>
    <n v="1258"/>
    <s v="Donor_028"/>
    <d v="2025-02-09T00:00:00"/>
    <s v="West"/>
    <s v="FloodReliefMeals"/>
    <m/>
    <n v="10789"/>
    <s v="Bank Transfer"/>
    <x v="13"/>
    <d v="2025-03-09T00:00:00"/>
    <s v="LAPSED"/>
    <m/>
    <m/>
    <m/>
    <m/>
  </r>
  <r>
    <n v="359"/>
    <s v="Donor_034"/>
    <d v="2024-03-05T00:00:00"/>
    <s v="East"/>
    <s v="WinterMealDrive"/>
    <m/>
    <n v="11070"/>
    <s v="Cheque"/>
    <x v="8"/>
    <d v="2025-06-21T00:00:00"/>
    <s v="ACTIVE"/>
    <m/>
    <m/>
    <m/>
    <m/>
  </r>
  <r>
    <n v="1309"/>
    <s v="Donor_049"/>
    <d v="2025-04-26T00:00:00"/>
    <s v="West"/>
    <s v="WinterMealDrive"/>
    <m/>
    <n v="2697"/>
    <s v="Bank Transfer"/>
    <x v="17"/>
    <d v="2025-06-19T00:00:00"/>
    <s v="ACTIVE"/>
    <m/>
    <m/>
    <m/>
    <m/>
  </r>
  <r>
    <n v="611"/>
    <s v="Donor_026"/>
    <d v="2024-10-11T00:00:00"/>
    <s v="North"/>
    <s v="WinterMealDrive"/>
    <m/>
    <n v="11398"/>
    <s v="UPI"/>
    <x v="12"/>
    <d v="2025-05-28T00:00:00"/>
    <s v="ACTIVE"/>
    <m/>
    <m/>
    <m/>
    <m/>
  </r>
  <r>
    <n v="129"/>
    <s v="Donor_058"/>
    <d v="2025-04-17T00:00:00"/>
    <s v="North"/>
    <s v="WinterMealDrive"/>
    <m/>
    <n v="5663"/>
    <s v="UPI"/>
    <x v="17"/>
    <d v="2025-06-22T00:00:00"/>
    <s v="ACTIVE"/>
    <m/>
    <m/>
    <m/>
    <m/>
  </r>
  <r>
    <n v="1229"/>
    <s v="Donor_108"/>
    <d v="2024-08-19T00:00:00"/>
    <s v="South"/>
    <s v="YearEndGiving"/>
    <m/>
    <n v="857"/>
    <s v="Bank Transfer"/>
    <x v="1"/>
    <d v="2025-05-21T00:00:00"/>
    <s v="ACTIVE"/>
    <m/>
    <m/>
    <m/>
    <m/>
  </r>
  <r>
    <n v="1432"/>
    <s v="Donor_086"/>
    <d v="2024-03-22T00:00:00"/>
    <s v="West"/>
    <s v="FloodReliefMeals"/>
    <m/>
    <n v="5701"/>
    <s v="Bank Transfer"/>
    <x v="8"/>
    <d v="2025-05-29T00:00:00"/>
    <s v="ACTIVE"/>
    <m/>
    <m/>
    <m/>
    <m/>
  </r>
  <r>
    <n v="1481"/>
    <s v="Donor_092"/>
    <d v="2024-05-15T00:00:00"/>
    <s v="North"/>
    <s v="SchoolLunchFund"/>
    <m/>
    <n v="2196"/>
    <s v="UPI"/>
    <x v="15"/>
    <d v="2025-05-07T00:00:00"/>
    <s v="ACTIVE"/>
    <m/>
    <m/>
    <m/>
    <m/>
  </r>
  <r>
    <n v="1702"/>
    <s v="Donor_048"/>
    <d v="2024-06-21T00:00:00"/>
    <s v="East"/>
    <s v="YearEndGiving"/>
    <m/>
    <n v="1386"/>
    <s v="UPI"/>
    <x v="2"/>
    <d v="2025-06-08T00:00:00"/>
    <s v="ACTIVE"/>
    <m/>
    <m/>
    <m/>
    <m/>
  </r>
  <r>
    <n v="265"/>
    <s v="Donor_081"/>
    <d v="2025-02-09T00:00:00"/>
    <s v="East"/>
    <s v="EmergencyFoodBank"/>
    <m/>
    <n v="1943"/>
    <s v="UPI"/>
    <x v="13"/>
    <d v="2025-06-07T00:00:00"/>
    <s v="ACTIVE"/>
    <m/>
    <m/>
    <m/>
    <m/>
  </r>
  <r>
    <n v="803"/>
    <s v="Donor_117"/>
    <d v="2025-01-18T00:00:00"/>
    <s v="South"/>
    <s v="SchoolLunchFund"/>
    <m/>
    <n v="806"/>
    <s v="UPI"/>
    <x v="7"/>
    <d v="2025-04-05T00:00:00"/>
    <s v="ACTIVE"/>
    <m/>
    <m/>
    <m/>
    <m/>
  </r>
  <r>
    <n v="763"/>
    <s v="Donor_082"/>
    <d v="2024-05-09T00:00:00"/>
    <s v="Central"/>
    <s v="FloodReliefMeals"/>
    <m/>
    <n v="4842"/>
    <s v="Cheque"/>
    <x v="15"/>
    <d v="2025-06-02T00:00:00"/>
    <s v="ACTIVE"/>
    <m/>
    <m/>
    <m/>
    <m/>
  </r>
  <r>
    <n v="1437"/>
    <s v="Donor_056"/>
    <d v="2024-02-28T00:00:00"/>
    <s v="West"/>
    <s v="RamadanFeeding"/>
    <m/>
    <n v="1449"/>
    <s v="UPI"/>
    <x v="14"/>
    <d v="2025-05-08T00:00:00"/>
    <s v="ACTIVE"/>
    <m/>
    <m/>
    <m/>
    <m/>
  </r>
  <r>
    <n v="499"/>
    <s v="Donor_119"/>
    <d v="2024-01-16T00:00:00"/>
    <s v="East"/>
    <s v="RamadanFeeding"/>
    <m/>
    <n v="2194"/>
    <s v="Credit Card"/>
    <x v="10"/>
    <d v="2025-05-18T00:00:00"/>
    <s v="ACTIVE"/>
    <m/>
    <m/>
    <m/>
    <m/>
  </r>
  <r>
    <n v="1206"/>
    <s v="Donor_055"/>
    <d v="2024-06-16T00:00:00"/>
    <s v="East"/>
    <s v="SchoolLunchFund"/>
    <m/>
    <n v="2218"/>
    <s v="UPI"/>
    <x v="2"/>
    <d v="2025-05-11T00:00:00"/>
    <s v="ACTIVE"/>
    <m/>
    <m/>
    <m/>
    <m/>
  </r>
  <r>
    <n v="1502"/>
    <s v="Donor_069"/>
    <d v="2024-02-05T00:00:00"/>
    <s v="South"/>
    <s v="EmergencyFoodBank"/>
    <m/>
    <n v="633"/>
    <s v="Credit Card"/>
    <x v="14"/>
    <d v="2025-06-13T00:00:00"/>
    <s v="ACTIVE"/>
    <m/>
    <m/>
    <m/>
    <m/>
  </r>
  <r>
    <n v="732"/>
    <s v="Donor_050"/>
    <d v="2025-02-23T00:00:00"/>
    <s v="South"/>
    <s v="RamadanFeeding"/>
    <m/>
    <n v="5082"/>
    <s v="Cash"/>
    <x v="13"/>
    <d v="2025-06-18T00:00:00"/>
    <s v="ACTIVE"/>
    <m/>
    <m/>
    <m/>
    <m/>
  </r>
  <r>
    <n v="433"/>
    <s v="Donor_059"/>
    <d v="2024-06-27T00:00:00"/>
    <s v="North"/>
    <s v="EmergencyFoodBank"/>
    <m/>
    <n v="9840"/>
    <s v="UPI"/>
    <x v="2"/>
    <d v="2025-06-16T00:00:00"/>
    <s v="ACTIVE"/>
    <m/>
    <m/>
    <m/>
    <m/>
  </r>
  <r>
    <n v="1048"/>
    <s v="Donor_034"/>
    <d v="2025-06-15T00:00:00"/>
    <s v="South"/>
    <s v="RamadanFeeding"/>
    <m/>
    <n v="329"/>
    <s v="Credit Card"/>
    <x v="16"/>
    <d v="2025-06-21T00:00:00"/>
    <s v="ACTIVE"/>
    <m/>
    <m/>
    <m/>
    <m/>
  </r>
  <r>
    <n v="982"/>
    <s v="Donor_029"/>
    <d v="2025-05-09T00:00:00"/>
    <s v="North"/>
    <s v="FloodReliefMeals"/>
    <m/>
    <n v="2711"/>
    <s v="Bank Transfer"/>
    <x v="11"/>
    <d v="2025-06-05T00:00:00"/>
    <s v="ACTIVE"/>
    <m/>
    <m/>
    <m/>
    <m/>
  </r>
  <r>
    <n v="69"/>
    <s v="Donor_104"/>
    <d v="2024-06-01T00:00:00"/>
    <s v="Central"/>
    <s v="FloodReliefMeals"/>
    <m/>
    <n v="1198"/>
    <s v="UPI"/>
    <x v="2"/>
    <d v="2025-05-08T00:00:00"/>
    <s v="ACTIVE"/>
    <m/>
    <m/>
    <m/>
    <m/>
  </r>
  <r>
    <n v="659"/>
    <s v="Donor_033"/>
    <d v="2025-06-21T00:00:00"/>
    <s v="West"/>
    <s v="WinterMealDrive"/>
    <m/>
    <n v="2080"/>
    <s v="Bank Transfer"/>
    <x v="16"/>
    <d v="2025-06-21T00:00:00"/>
    <s v="ACTIVE"/>
    <m/>
    <m/>
    <m/>
    <m/>
  </r>
  <r>
    <n v="949"/>
    <s v="Donor_039"/>
    <d v="2024-01-17T00:00:00"/>
    <s v="East"/>
    <s v="YearEndGiving"/>
    <m/>
    <n v="1080"/>
    <s v="Cash"/>
    <x v="10"/>
    <d v="2025-04-25T00:00:00"/>
    <s v="ACTIVE"/>
    <m/>
    <m/>
    <m/>
    <m/>
  </r>
  <r>
    <n v="1011"/>
    <s v="Donor_104"/>
    <d v="2025-04-18T00:00:00"/>
    <s v="Central"/>
    <s v="RamadanFeeding"/>
    <m/>
    <n v="417"/>
    <s v="Bank Transfer"/>
    <x v="17"/>
    <d v="2025-05-08T00:00:00"/>
    <s v="ACTIVE"/>
    <m/>
    <m/>
    <m/>
    <m/>
  </r>
  <r>
    <n v="718"/>
    <s v="Donor_090"/>
    <d v="2024-05-30T00:00:00"/>
    <s v="West"/>
    <s v="RamadanFeeding"/>
    <m/>
    <n v="2310"/>
    <s v="Cheque"/>
    <x v="15"/>
    <d v="2025-04-25T00:00:00"/>
    <s v="ACTIVE"/>
    <m/>
    <m/>
    <m/>
    <m/>
  </r>
  <r>
    <n v="384"/>
    <s v="Donor_004"/>
    <d v="2024-10-16T00:00:00"/>
    <s v="Central"/>
    <s v="FloodReliefMeals"/>
    <m/>
    <n v="11211"/>
    <s v="Cash"/>
    <x v="12"/>
    <d v="2025-05-26T00:00:00"/>
    <s v="ACTIVE"/>
    <m/>
    <m/>
    <m/>
    <m/>
  </r>
  <r>
    <n v="1699"/>
    <s v="Donor_074"/>
    <d v="2024-06-26T00:00:00"/>
    <s v="Central"/>
    <s v="FloodReliefMeals"/>
    <m/>
    <n v="352"/>
    <s v="UPI"/>
    <x v="2"/>
    <d v="2025-06-18T00:00:00"/>
    <s v="ACTIVE"/>
    <m/>
    <m/>
    <m/>
    <m/>
  </r>
  <r>
    <n v="56"/>
    <s v="Donor_060"/>
    <d v="2024-08-11T00:00:00"/>
    <s v="East"/>
    <s v="FloodReliefMeals"/>
    <m/>
    <n v="1564"/>
    <s v="UPI"/>
    <x v="1"/>
    <d v="2025-05-20T00:00:00"/>
    <s v="ACTIVE"/>
    <m/>
    <m/>
    <m/>
    <m/>
  </r>
  <r>
    <n v="1479"/>
    <s v="Donor_117"/>
    <d v="2025-02-25T00:00:00"/>
    <s v="NOT KNOWN"/>
    <s v="FloodReliefMeals"/>
    <m/>
    <n v="2249"/>
    <s v="UPI"/>
    <x v="13"/>
    <d v="2025-04-05T00:00:00"/>
    <s v="ACTIVE"/>
    <m/>
    <m/>
    <m/>
    <m/>
  </r>
  <r>
    <n v="613"/>
    <s v="Donor_112"/>
    <d v="2025-04-01T00:00:00"/>
    <s v="Central"/>
    <s v="WinterMealDrive"/>
    <m/>
    <n v="2182"/>
    <s v="Cash"/>
    <x v="17"/>
    <d v="2025-05-26T00:00:00"/>
    <s v="ACTIVE"/>
    <m/>
    <m/>
    <m/>
    <m/>
  </r>
  <r>
    <n v="1524"/>
    <s v="Donor_112"/>
    <d v="2025-04-18T00:00:00"/>
    <s v="North"/>
    <s v="RamadanFeeding"/>
    <m/>
    <n v="2945"/>
    <s v="Cash"/>
    <x v="17"/>
    <d v="2025-05-26T00:00:00"/>
    <s v="ACTIVE"/>
    <m/>
    <m/>
    <m/>
    <m/>
  </r>
  <r>
    <n v="171"/>
    <s v="Donor_111"/>
    <d v="2024-09-11T00:00:00"/>
    <s v="South"/>
    <s v="FloodReliefMeals"/>
    <m/>
    <n v="4380"/>
    <s v="Credit Card"/>
    <x v="0"/>
    <d v="2025-04-26T00:00:00"/>
    <s v="ACTIVE"/>
    <m/>
    <m/>
    <m/>
    <m/>
  </r>
  <r>
    <n v="821"/>
    <s v="Donor_066"/>
    <d v="2024-12-22T00:00:00"/>
    <s v="West"/>
    <s v="EmergencyFoodBank"/>
    <m/>
    <n v="5393"/>
    <s v="Cash"/>
    <x v="9"/>
    <d v="2025-03-22T00:00:00"/>
    <s v="LAPSED"/>
    <m/>
    <m/>
    <m/>
    <m/>
  </r>
  <r>
    <n v="1538"/>
    <s v="Donor_025"/>
    <d v="2025-02-21T00:00:00"/>
    <s v="South"/>
    <s v="EmergencyFoodBank"/>
    <m/>
    <n v="1765"/>
    <s v="Cheque"/>
    <x v="13"/>
    <d v="2025-06-07T00:00:00"/>
    <s v="ACTIVE"/>
    <m/>
    <m/>
    <m/>
    <m/>
  </r>
  <r>
    <n v="327"/>
    <s v="Donor_117"/>
    <d v="2024-08-04T00:00:00"/>
    <s v="West"/>
    <s v="EmergencyFoodBank"/>
    <m/>
    <n v="331"/>
    <s v="Bank Transfer"/>
    <x v="1"/>
    <d v="2025-04-05T00:00:00"/>
    <s v="ACTIVE"/>
    <m/>
    <m/>
    <m/>
    <m/>
  </r>
  <r>
    <n v="504"/>
    <s v="Donor_051"/>
    <d v="2024-05-18T00:00:00"/>
    <s v="West"/>
    <s v="FloodReliefMeals"/>
    <m/>
    <n v="243"/>
    <s v="Cash"/>
    <x v="15"/>
    <d v="2025-06-11T00:00:00"/>
    <s v="ACTIVE"/>
    <m/>
    <m/>
    <m/>
    <m/>
  </r>
  <r>
    <n v="1753"/>
    <s v="Donor_094"/>
    <d v="2024-07-06T00:00:00"/>
    <s v="North"/>
    <s v="YearEndGiving"/>
    <m/>
    <n v="508"/>
    <s v="Bank Transfer"/>
    <x v="5"/>
    <d v="2025-06-19T00:00:00"/>
    <s v="ACTIVE"/>
    <m/>
    <m/>
    <m/>
    <m/>
  </r>
  <r>
    <n v="410"/>
    <s v="Donor_080"/>
    <d v="2024-07-05T00:00:00"/>
    <s v="Central"/>
    <s v="FloodReliefMeals"/>
    <m/>
    <n v="1635"/>
    <s v="Bank Transfer"/>
    <x v="5"/>
    <d v="2025-05-11T00:00:00"/>
    <s v="ACTIVE"/>
    <m/>
    <m/>
    <m/>
    <m/>
  </r>
  <r>
    <n v="298"/>
    <s v="Donor_054"/>
    <d v="2024-05-20T00:00:00"/>
    <s v="South"/>
    <s v="EmergencyFoodBank"/>
    <m/>
    <n v="8997"/>
    <s v="Cheque"/>
    <x v="15"/>
    <d v="2025-06-18T00:00:00"/>
    <s v="ACTIVE"/>
    <m/>
    <m/>
    <m/>
    <m/>
  </r>
  <r>
    <n v="1158"/>
    <s v="Donor_111"/>
    <d v="2024-07-01T00:00:00"/>
    <s v="South"/>
    <s v="EmergencyFoodBank"/>
    <m/>
    <n v="765"/>
    <s v="Bank Transfer"/>
    <x v="5"/>
    <d v="2025-04-26T00:00:00"/>
    <s v="ACTIVE"/>
    <m/>
    <m/>
    <m/>
    <m/>
  </r>
  <r>
    <n v="958"/>
    <s v="Donor_042"/>
    <d v="2024-06-11T00:00:00"/>
    <s v="South"/>
    <s v="WinterMealDrive"/>
    <m/>
    <n v="810"/>
    <s v="UPI"/>
    <x v="2"/>
    <d v="2025-02-10T00:00:00"/>
    <s v="LAPSED"/>
    <m/>
    <m/>
    <m/>
    <m/>
  </r>
  <r>
    <n v="563"/>
    <s v="Donor_060"/>
    <d v="2024-10-28T00:00:00"/>
    <s v="North"/>
    <s v="EmergencyFoodBank"/>
    <m/>
    <n v="351"/>
    <s v="Bank Transfer"/>
    <x v="12"/>
    <d v="2025-05-20T00:00:00"/>
    <s v="ACTIVE"/>
    <m/>
    <m/>
    <m/>
    <m/>
  </r>
  <r>
    <n v="1308"/>
    <s v="Donor_043"/>
    <d v="2024-03-23T00:00:00"/>
    <s v="Central"/>
    <s v="WinterMealDrive"/>
    <m/>
    <n v="1723"/>
    <s v="Cheque"/>
    <x v="8"/>
    <d v="2025-06-13T00:00:00"/>
    <s v="ACTIVE"/>
    <m/>
    <m/>
    <m/>
    <m/>
  </r>
  <r>
    <n v="680"/>
    <s v="Donor_041"/>
    <d v="2025-06-13T00:00:00"/>
    <s v="West"/>
    <s v="SchoolLunchFund"/>
    <m/>
    <n v="5474"/>
    <s v="Cash"/>
    <x v="16"/>
    <d v="2025-06-13T00:00:00"/>
    <s v="ACTIVE"/>
    <m/>
    <m/>
    <m/>
    <m/>
  </r>
  <r>
    <n v="1525"/>
    <s v="Donor_024"/>
    <d v="2024-02-13T00:00:00"/>
    <s v="West"/>
    <s v="SchoolLunchFund"/>
    <m/>
    <n v="4680"/>
    <s v="Credit Card"/>
    <x v="14"/>
    <d v="2025-06-07T00:00:00"/>
    <s v="ACTIVE"/>
    <m/>
    <m/>
    <m/>
    <m/>
  </r>
  <r>
    <n v="1390"/>
    <s v="Donor_099"/>
    <d v="2024-05-29T00:00:00"/>
    <s v="North"/>
    <s v="FloodReliefMeals"/>
    <m/>
    <n v="2393"/>
    <s v="Cash"/>
    <x v="15"/>
    <d v="2025-05-30T00:00:00"/>
    <s v="ACTIVE"/>
    <m/>
    <m/>
    <m/>
    <m/>
  </r>
  <r>
    <n v="1775"/>
    <s v="Donor_103"/>
    <d v="2024-07-02T00:00:00"/>
    <s v="North"/>
    <s v="EmergencyFoodBank"/>
    <m/>
    <n v="1475"/>
    <s v="Bank Transfer"/>
    <x v="5"/>
    <d v="2025-02-25T00:00:00"/>
    <s v="LAPSED"/>
    <m/>
    <m/>
    <m/>
    <m/>
  </r>
  <r>
    <n v="726"/>
    <s v="Donor_094"/>
    <d v="2025-05-16T00:00:00"/>
    <s v="West"/>
    <s v="SchoolLunchFund"/>
    <m/>
    <n v="1503"/>
    <s v="Cash"/>
    <x v="11"/>
    <d v="2025-06-19T00:00:00"/>
    <s v="ACTIVE"/>
    <m/>
    <m/>
    <m/>
    <m/>
  </r>
  <r>
    <n v="532"/>
    <s v="Donor_079"/>
    <d v="2025-04-01T00:00:00"/>
    <s v="East"/>
    <s v="FloodReliefMeals"/>
    <m/>
    <n v="5635"/>
    <s v="Cheque"/>
    <x v="17"/>
    <d v="2025-06-07T00:00:00"/>
    <s v="ACTIVE"/>
    <m/>
    <m/>
    <m/>
    <m/>
  </r>
  <r>
    <n v="408"/>
    <s v="Donor_034"/>
    <d v="2024-06-19T00:00:00"/>
    <s v="South"/>
    <s v="YearEndGiving"/>
    <m/>
    <n v="780"/>
    <s v="Cheque"/>
    <x v="2"/>
    <d v="2025-06-21T00:00:00"/>
    <s v="ACTIVE"/>
    <m/>
    <m/>
    <m/>
    <m/>
  </r>
  <r>
    <n v="200"/>
    <s v="Donor_105"/>
    <d v="2024-09-17T00:00:00"/>
    <s v="North"/>
    <s v="EmergencyFoodBank"/>
    <m/>
    <n v="2063"/>
    <s v="UPI"/>
    <x v="0"/>
    <d v="2025-06-15T00:00:00"/>
    <s v="ACTIVE"/>
    <m/>
    <m/>
    <m/>
    <m/>
  </r>
  <r>
    <n v="474"/>
    <s v="Donor_001"/>
    <d v="2025-02-10T00:00:00"/>
    <s v="North"/>
    <s v="FloodReliefMeals"/>
    <m/>
    <n v="504"/>
    <s v="Bank Transfer"/>
    <x v="13"/>
    <d v="2025-05-18T00:00:00"/>
    <s v="ACTIVE"/>
    <m/>
    <m/>
    <m/>
    <m/>
  </r>
  <r>
    <n v="1269"/>
    <s v="Donor_101"/>
    <d v="2025-02-02T00:00:00"/>
    <s v="West"/>
    <s v="WinterMealDrive"/>
    <m/>
    <n v="8262"/>
    <s v="Credit Card"/>
    <x v="13"/>
    <d v="2025-05-11T00:00:00"/>
    <s v="ACTIVE"/>
    <m/>
    <m/>
    <m/>
    <m/>
  </r>
  <r>
    <n v="217"/>
    <s v="Donor_098"/>
    <d v="2024-09-20T00:00:00"/>
    <s v="West"/>
    <s v="EmergencyFoodBank"/>
    <m/>
    <n v="295"/>
    <s v="Bank Transfer"/>
    <x v="0"/>
    <d v="2025-06-20T00:00:00"/>
    <s v="ACTIVE"/>
    <m/>
    <m/>
    <m/>
    <m/>
  </r>
  <r>
    <n v="254"/>
    <s v="Donor_071"/>
    <d v="2025-05-22T00:00:00"/>
    <s v="Central"/>
    <s v="WinterMealDrive"/>
    <m/>
    <n v="907"/>
    <s v="Cheque"/>
    <x v="11"/>
    <d v="2025-06-08T00:00:00"/>
    <s v="ACTIVE"/>
    <m/>
    <m/>
    <m/>
    <m/>
  </r>
  <r>
    <n v="153"/>
    <s v="Donor_035"/>
    <d v="2025-06-15T00:00:00"/>
    <s v="North"/>
    <s v="EmergencyFoodBank"/>
    <m/>
    <n v="624"/>
    <s v="Cheque"/>
    <x v="16"/>
    <d v="2025-06-15T00:00:00"/>
    <s v="ACTIVE"/>
    <m/>
    <m/>
    <m/>
    <m/>
  </r>
  <r>
    <n v="740"/>
    <s v="Donor_117"/>
    <d v="2024-08-27T00:00:00"/>
    <s v="North"/>
    <s v="FloodReliefMeals"/>
    <m/>
    <n v="11854"/>
    <s v="UPI"/>
    <x v="1"/>
    <d v="2025-04-05T00:00:00"/>
    <s v="ACTIVE"/>
    <m/>
    <m/>
    <m/>
    <m/>
  </r>
  <r>
    <n v="743"/>
    <s v="Donor_120"/>
    <d v="2024-03-02T00:00:00"/>
    <s v="West"/>
    <s v="FloodReliefMeals"/>
    <m/>
    <n v="2839"/>
    <s v="Cash"/>
    <x v="8"/>
    <d v="2025-06-19T00:00:00"/>
    <s v="ACTIVE"/>
    <m/>
    <m/>
    <m/>
    <m/>
  </r>
  <r>
    <n v="1140"/>
    <s v="Donor_103"/>
    <d v="2025-02-18T00:00:00"/>
    <s v="North"/>
    <s v="SchoolLunchFund"/>
    <m/>
    <n v="4257"/>
    <s v="Cheque"/>
    <x v="13"/>
    <d v="2025-02-25T00:00:00"/>
    <s v="LAPSED"/>
    <m/>
    <m/>
    <m/>
    <m/>
  </r>
  <r>
    <n v="1233"/>
    <s v="Donor_093"/>
    <d v="2024-05-06T00:00:00"/>
    <s v="Central"/>
    <s v="EmergencyFoodBank"/>
    <m/>
    <n v="0"/>
    <s v="Credit Card"/>
    <x v="15"/>
    <d v="2025-03-24T00:00:00"/>
    <s v="LAPSED"/>
    <m/>
    <m/>
    <m/>
    <m/>
  </r>
  <r>
    <n v="1459"/>
    <s v="Donor_003"/>
    <d v="2025-05-06T00:00:00"/>
    <s v="North"/>
    <s v="SchoolLunchFund"/>
    <m/>
    <n v="2169"/>
    <s v="Bank Transfer"/>
    <x v="11"/>
    <d v="2025-05-08T00:00:00"/>
    <s v="ACTIVE"/>
    <m/>
    <m/>
    <m/>
    <m/>
  </r>
  <r>
    <n v="1124"/>
    <s v="Donor_005"/>
    <d v="2024-06-23T00:00:00"/>
    <s v="Central"/>
    <s v="RamadanFeeding"/>
    <m/>
    <n v="1523"/>
    <s v="Credit Card"/>
    <x v="2"/>
    <d v="2025-06-10T00:00:00"/>
    <s v="ACTIVE"/>
    <m/>
    <m/>
    <m/>
    <m/>
  </r>
  <r>
    <n v="531"/>
    <s v="Donor_014"/>
    <d v="2024-02-21T00:00:00"/>
    <s v="West"/>
    <s v="WinterMealDrive"/>
    <m/>
    <n v="971"/>
    <s v="Credit Card"/>
    <x v="14"/>
    <d v="2025-06-03T00:00:00"/>
    <s v="ACTIVE"/>
    <m/>
    <m/>
    <m/>
    <m/>
  </r>
  <r>
    <n v="1788"/>
    <s v="Donor_092"/>
    <d v="2024-12-18T00:00:00"/>
    <s v="Central"/>
    <s v="SchoolLunchFund"/>
    <m/>
    <n v="295"/>
    <s v="Bank Transfer"/>
    <x v="9"/>
    <d v="2025-05-07T00:00:00"/>
    <s v="ACTIVE"/>
    <m/>
    <m/>
    <m/>
    <m/>
  </r>
  <r>
    <n v="1780"/>
    <s v="Donor_049"/>
    <d v="2024-04-06T00:00:00"/>
    <s v="Central"/>
    <s v="YearEndGiving"/>
    <m/>
    <n v="542"/>
    <s v="Bank Transfer"/>
    <x v="3"/>
    <d v="2025-06-19T00:00:00"/>
    <s v="ACTIVE"/>
    <m/>
    <m/>
    <m/>
    <m/>
  </r>
  <r>
    <n v="241"/>
    <s v="Donor_073"/>
    <d v="2024-02-15T00:00:00"/>
    <s v="West"/>
    <s v="FloodReliefMeals"/>
    <m/>
    <n v="632"/>
    <s v="UPI"/>
    <x v="14"/>
    <d v="2025-06-23T00:00:00"/>
    <s v="ACTIVE"/>
    <m/>
    <m/>
    <m/>
    <m/>
  </r>
  <r>
    <n v="1294"/>
    <s v="Donor_093"/>
    <d v="2024-05-16T00:00:00"/>
    <s v="Central"/>
    <s v="SchoolLunchFund"/>
    <m/>
    <n v="1774"/>
    <s v="Credit Card"/>
    <x v="15"/>
    <d v="2025-03-24T00:00:00"/>
    <s v="LAPSED"/>
    <m/>
    <m/>
    <m/>
    <m/>
  </r>
  <r>
    <n v="798"/>
    <s v="Donor_049"/>
    <d v="2025-04-17T00:00:00"/>
    <s v="East"/>
    <s v="EmergencyFoodBank"/>
    <m/>
    <n v="857"/>
    <s v="Cash"/>
    <x v="17"/>
    <d v="2025-06-19T00:00:00"/>
    <s v="ACTIVE"/>
    <m/>
    <m/>
    <m/>
    <m/>
  </r>
  <r>
    <n v="188"/>
    <s v="Donor_097"/>
    <d v="2024-07-23T00:00:00"/>
    <s v="East"/>
    <s v="FloodReliefMeals"/>
    <m/>
    <n v="2646"/>
    <s v="UPI"/>
    <x v="5"/>
    <d v="2025-06-04T00:00:00"/>
    <s v="ACTIVE"/>
    <m/>
    <m/>
    <m/>
    <m/>
  </r>
  <r>
    <n v="1495"/>
    <s v="Donor_005"/>
    <d v="2024-04-09T00:00:00"/>
    <s v="East"/>
    <s v="WinterMealDrive"/>
    <m/>
    <n v="636"/>
    <s v="Bank Transfer"/>
    <x v="3"/>
    <d v="2025-06-10T00:00:00"/>
    <s v="ACTIVE"/>
    <m/>
    <m/>
    <m/>
    <m/>
  </r>
  <r>
    <n v="1264"/>
    <s v="Donor_072"/>
    <d v="2024-03-03T00:00:00"/>
    <s v="North"/>
    <s v="EmergencyFoodBank"/>
    <m/>
    <n v="0"/>
    <s v="UPI"/>
    <x v="8"/>
    <d v="2025-04-13T00:00:00"/>
    <s v="ACTIVE"/>
    <m/>
    <m/>
    <m/>
    <m/>
  </r>
  <r>
    <n v="1297"/>
    <s v="Donor_057"/>
    <d v="2024-07-03T00:00:00"/>
    <s v="North"/>
    <s v="EmergencyFoodBank"/>
    <m/>
    <n v="1909"/>
    <s v="Credit Card"/>
    <x v="5"/>
    <d v="2025-03-30T00:00:00"/>
    <s v="ACTIVE"/>
    <m/>
    <m/>
    <m/>
    <m/>
  </r>
  <r>
    <n v="722"/>
    <s v="Donor_007"/>
    <d v="2024-05-06T00:00:00"/>
    <s v="North"/>
    <s v="RamadanFeeding"/>
    <m/>
    <n v="2572"/>
    <s v="UPI"/>
    <x v="15"/>
    <d v="2025-06-21T00:00:00"/>
    <s v="ACTIVE"/>
    <m/>
    <m/>
    <m/>
    <m/>
  </r>
  <r>
    <n v="303"/>
    <s v="Donor_063"/>
    <d v="2024-06-28T00:00:00"/>
    <s v="North"/>
    <s v="WinterMealDrive"/>
    <m/>
    <n v="447"/>
    <s v="Credit Card"/>
    <x v="2"/>
    <d v="2025-04-20T00:00:00"/>
    <s v="ACTIVE"/>
    <m/>
    <m/>
    <m/>
    <m/>
  </r>
  <r>
    <n v="284"/>
    <s v="Donor_071"/>
    <d v="2024-03-29T00:00:00"/>
    <s v="West"/>
    <s v="WinterMealDrive"/>
    <m/>
    <n v="4401"/>
    <s v="Cheque"/>
    <x v="8"/>
    <d v="2025-06-08T00:00:00"/>
    <s v="ACTIVE"/>
    <m/>
    <m/>
    <m/>
    <m/>
  </r>
  <r>
    <n v="719"/>
    <s v="Donor_100"/>
    <d v="2025-02-18T00:00:00"/>
    <s v="South"/>
    <s v="FloodReliefMeals"/>
    <m/>
    <n v="815"/>
    <s v="Bank Transfer"/>
    <x v="13"/>
    <d v="2025-06-14T00:00:00"/>
    <s v="ACTIVE"/>
    <m/>
    <m/>
    <m/>
    <m/>
  </r>
  <r>
    <n v="506"/>
    <s v="Donor_079"/>
    <d v="2025-06-07T00:00:00"/>
    <s v="South"/>
    <s v="RamadanFeeding"/>
    <m/>
    <n v="9522"/>
    <s v="Credit Card"/>
    <x v="16"/>
    <d v="2025-06-07T00:00:00"/>
    <s v="ACTIVE"/>
    <m/>
    <m/>
    <m/>
    <m/>
  </r>
  <r>
    <n v="1739"/>
    <s v="Donor_114"/>
    <d v="2024-12-01T00:00:00"/>
    <s v="East"/>
    <s v="WinterMealDrive"/>
    <m/>
    <n v="418"/>
    <s v="Cheque"/>
    <x v="9"/>
    <d v="2025-04-04T00:00:00"/>
    <s v="ACTIVE"/>
    <m/>
    <m/>
    <m/>
    <m/>
  </r>
  <r>
    <n v="871"/>
    <s v="Donor_012"/>
    <d v="2024-09-02T00:00:00"/>
    <s v="South"/>
    <s v="YearEndGiving"/>
    <m/>
    <n v="417"/>
    <s v="Bank Transfer"/>
    <x v="0"/>
    <d v="2025-06-23T00:00:00"/>
    <s v="ACTIVE"/>
    <m/>
    <m/>
    <m/>
    <m/>
  </r>
  <r>
    <n v="1603"/>
    <s v="Donor_054"/>
    <d v="2025-03-14T00:00:00"/>
    <s v="North"/>
    <s v="FloodReliefMeals"/>
    <m/>
    <n v="9662"/>
    <s v="Cash"/>
    <x v="6"/>
    <d v="2025-06-18T00:00:00"/>
    <s v="ACTIVE"/>
    <m/>
    <m/>
    <m/>
    <m/>
  </r>
  <r>
    <n v="1403"/>
    <s v="Donor_027"/>
    <d v="2025-01-27T00:00:00"/>
    <s v="Central"/>
    <s v="YearEndGiving"/>
    <m/>
    <n v="591"/>
    <s v="UPI"/>
    <x v="7"/>
    <d v="2025-06-06T00:00:00"/>
    <s v="ACTIVE"/>
    <m/>
    <m/>
    <m/>
    <m/>
  </r>
  <r>
    <n v="1353"/>
    <s v="Donor_010"/>
    <d v="2024-09-11T00:00:00"/>
    <s v="NOT KNOWN"/>
    <s v="WinterMealDrive"/>
    <m/>
    <n v="571"/>
    <s v="Cheque"/>
    <x v="0"/>
    <d v="2025-06-01T00:00:00"/>
    <s v="ACTIVE"/>
    <m/>
    <m/>
    <m/>
    <m/>
  </r>
  <r>
    <n v="123"/>
    <s v="Donor_038"/>
    <d v="2025-03-03T00:00:00"/>
    <s v="North"/>
    <s v="RamadanFeeding"/>
    <m/>
    <n v="593"/>
    <s v="Credit Card"/>
    <x v="6"/>
    <d v="2025-04-26T00:00:00"/>
    <s v="ACTIVE"/>
    <m/>
    <m/>
    <m/>
    <m/>
  </r>
  <r>
    <n v="883"/>
    <s v="Donor_017"/>
    <d v="2025-02-02T00:00:00"/>
    <s v="North"/>
    <s v="WinterMealDrive"/>
    <m/>
    <n v="425"/>
    <s v="Bank Transfer"/>
    <x v="13"/>
    <d v="2025-02-02T00:00:00"/>
    <s v="LAPSED"/>
    <m/>
    <m/>
    <m/>
    <m/>
  </r>
  <r>
    <n v="511"/>
    <s v="Donor_118"/>
    <d v="2024-12-05T00:00:00"/>
    <s v="North"/>
    <s v="WinterMealDrive"/>
    <m/>
    <n v="967"/>
    <s v="Credit Card"/>
    <x v="9"/>
    <d v="2025-04-19T00:00:00"/>
    <s v="ACTIVE"/>
    <m/>
    <m/>
    <m/>
    <m/>
  </r>
  <r>
    <n v="281"/>
    <s v="Donor_006"/>
    <d v="2024-09-07T00:00:00"/>
    <s v="West"/>
    <s v="FloodReliefMeals"/>
    <m/>
    <n v="876"/>
    <s v="Credit Card"/>
    <x v="0"/>
    <d v="2025-06-06T00:00:00"/>
    <s v="ACTIVE"/>
    <m/>
    <m/>
    <m/>
    <m/>
  </r>
  <r>
    <n v="928"/>
    <s v="Donor_006"/>
    <d v="2025-05-10T00:00:00"/>
    <s v="North"/>
    <s v="FloodReliefMeals"/>
    <m/>
    <n v="1177"/>
    <s v="UPI"/>
    <x v="11"/>
    <d v="2025-06-06T00:00:00"/>
    <s v="ACTIVE"/>
    <m/>
    <m/>
    <m/>
    <m/>
  </r>
  <r>
    <n v="1664"/>
    <s v="Donor_094"/>
    <d v="2024-01-23T00:00:00"/>
    <s v="Central"/>
    <s v="YearEndGiving"/>
    <m/>
    <n v="2928"/>
    <s v="Cheque"/>
    <x v="10"/>
    <d v="2025-06-19T00:00:00"/>
    <s v="ACTIVE"/>
    <m/>
    <m/>
    <m/>
    <m/>
  </r>
  <r>
    <n v="1330"/>
    <s v="Donor_082"/>
    <d v="2024-11-16T00:00:00"/>
    <s v="West"/>
    <s v="FloodReliefMeals"/>
    <m/>
    <n v="9363"/>
    <s v="Bank Transfer"/>
    <x v="4"/>
    <d v="2025-06-02T00:00:00"/>
    <s v="ACTIVE"/>
    <m/>
    <m/>
    <m/>
    <m/>
  </r>
  <r>
    <n v="841"/>
    <s v="Donor_012"/>
    <d v="2024-10-24T00:00:00"/>
    <s v="North"/>
    <s v="WinterMealDrive"/>
    <m/>
    <n v="5481"/>
    <s v="Credit Card"/>
    <x v="12"/>
    <d v="2025-06-23T00:00:00"/>
    <s v="ACTIVE"/>
    <m/>
    <m/>
    <m/>
    <m/>
  </r>
  <r>
    <n v="519"/>
    <s v="Donor_107"/>
    <d v="2024-01-30T00:00:00"/>
    <s v="South"/>
    <s v="SchoolLunchFund"/>
    <m/>
    <n v="5668"/>
    <s v="Cash"/>
    <x v="10"/>
    <d v="2025-03-18T00:00:00"/>
    <s v="LAPSED"/>
    <m/>
    <m/>
    <m/>
    <m/>
  </r>
  <r>
    <n v="856"/>
    <s v="Donor_009"/>
    <d v="2025-05-15T00:00:00"/>
    <s v="Central"/>
    <s v="YearEndGiving"/>
    <m/>
    <n v="10855"/>
    <s v="UPI"/>
    <x v="11"/>
    <d v="2025-05-15T00:00:00"/>
    <s v="ACTIVE"/>
    <m/>
    <m/>
    <m/>
    <m/>
  </r>
  <r>
    <n v="1598"/>
    <s v="Donor_051"/>
    <d v="2024-08-03T00:00:00"/>
    <s v="East"/>
    <s v="WinterMealDrive"/>
    <m/>
    <n v="4587"/>
    <s v="UPI"/>
    <x v="1"/>
    <d v="2025-06-11T00:00:00"/>
    <s v="ACTIVE"/>
    <m/>
    <m/>
    <m/>
    <m/>
  </r>
  <r>
    <n v="68"/>
    <s v="Donor_024"/>
    <d v="2024-12-14T00:00:00"/>
    <s v="North"/>
    <s v="FloodReliefMeals"/>
    <m/>
    <n v="254"/>
    <s v="UPI"/>
    <x v="9"/>
    <d v="2025-06-07T00:00:00"/>
    <s v="ACTIVE"/>
    <m/>
    <m/>
    <m/>
    <m/>
  </r>
  <r>
    <n v="1738"/>
    <s v="Donor_053"/>
    <d v="2024-12-16T00:00:00"/>
    <s v="East"/>
    <s v="WinterMealDrive"/>
    <m/>
    <n v="261"/>
    <s v="Credit Card"/>
    <x v="9"/>
    <d v="2025-04-16T00:00:00"/>
    <s v="ACTIVE"/>
    <m/>
    <m/>
    <m/>
    <m/>
  </r>
  <r>
    <n v="569"/>
    <s v="Donor_043"/>
    <d v="2025-01-02T00:00:00"/>
    <s v="East"/>
    <s v="RamadanFeeding"/>
    <m/>
    <n v="526"/>
    <s v="UPI"/>
    <x v="7"/>
    <d v="2025-06-13T00:00:00"/>
    <s v="ACTIVE"/>
    <m/>
    <m/>
    <m/>
    <m/>
  </r>
  <r>
    <n v="956"/>
    <s v="Donor_107"/>
    <d v="2025-02-06T00:00:00"/>
    <s v="North"/>
    <s v="YearEndGiving"/>
    <m/>
    <n v="639"/>
    <s v="Cash"/>
    <x v="13"/>
    <d v="2025-03-18T00:00:00"/>
    <s v="LAPSED"/>
    <m/>
    <m/>
    <m/>
    <m/>
  </r>
  <r>
    <n v="1086"/>
    <s v="Donor_117"/>
    <d v="2024-12-07T00:00:00"/>
    <s v="East"/>
    <s v="YearEndGiving"/>
    <m/>
    <n v="1062"/>
    <s v="Cheque"/>
    <x v="9"/>
    <d v="2025-04-05T00:00:00"/>
    <s v="ACTIVE"/>
    <m/>
    <m/>
    <m/>
    <m/>
  </r>
  <r>
    <n v="1299"/>
    <s v="Donor_087"/>
    <d v="2024-02-06T00:00:00"/>
    <s v="North"/>
    <s v="WinterMealDrive"/>
    <m/>
    <n v="809"/>
    <s v="UPI"/>
    <x v="14"/>
    <d v="2025-06-09T00:00:00"/>
    <s v="ACTIVE"/>
    <m/>
    <m/>
    <m/>
    <m/>
  </r>
  <r>
    <n v="838"/>
    <s v="Donor_014"/>
    <d v="2024-04-01T00:00:00"/>
    <s v="West"/>
    <s v="EmergencyFoodBank"/>
    <m/>
    <n v="432"/>
    <s v="Bank Transfer"/>
    <x v="3"/>
    <d v="2025-06-03T00:00:00"/>
    <s v="ACTIVE"/>
    <m/>
    <m/>
    <m/>
    <m/>
  </r>
  <r>
    <n v="473"/>
    <s v="Donor_078"/>
    <d v="2024-11-27T00:00:00"/>
    <s v="South"/>
    <s v="YearEndGiving"/>
    <m/>
    <n v="8856"/>
    <s v="Cheque"/>
    <x v="4"/>
    <d v="2025-03-13T00:00:00"/>
    <s v="LAPSED"/>
    <m/>
    <m/>
    <m/>
    <m/>
  </r>
  <r>
    <n v="1636"/>
    <s v="Donor_081"/>
    <d v="2025-02-08T00:00:00"/>
    <s v="Central"/>
    <s v="SchoolLunchFund"/>
    <m/>
    <n v="5720"/>
    <s v="Cheque"/>
    <x v="13"/>
    <d v="2025-06-07T00:00:00"/>
    <s v="ACTIVE"/>
    <m/>
    <m/>
    <m/>
    <m/>
  </r>
  <r>
    <n v="512"/>
    <s v="Donor_059"/>
    <d v="2024-06-30T00:00:00"/>
    <s v="Central"/>
    <s v="FloodReliefMeals"/>
    <m/>
    <n v="419"/>
    <s v="Bank Transfer"/>
    <x v="2"/>
    <d v="2025-06-16T00:00:00"/>
    <s v="ACTIVE"/>
    <m/>
    <m/>
    <m/>
    <m/>
  </r>
  <r>
    <n v="1133"/>
    <s v="Donor_024"/>
    <d v="2024-03-23T00:00:00"/>
    <s v="NOT KNOWN"/>
    <s v="SchoolLunchFund"/>
    <m/>
    <n v="627"/>
    <s v="Credit Card"/>
    <x v="8"/>
    <d v="2025-06-07T00:00:00"/>
    <s v="ACTIVE"/>
    <m/>
    <m/>
    <m/>
    <m/>
  </r>
  <r>
    <n v="1564"/>
    <s v="Donor_114"/>
    <d v="2025-04-04T00:00:00"/>
    <s v="South"/>
    <s v="EmergencyFoodBank"/>
    <m/>
    <n v="829"/>
    <s v="Cash"/>
    <x v="17"/>
    <d v="2025-04-04T00:00:00"/>
    <s v="ACTIVE"/>
    <m/>
    <m/>
    <m/>
    <m/>
  </r>
  <r>
    <n v="1505"/>
    <s v="Donor_041"/>
    <d v="2024-10-12T00:00:00"/>
    <s v="East"/>
    <s v="YearEndGiving"/>
    <m/>
    <n v="2341"/>
    <s v="UPI"/>
    <x v="12"/>
    <d v="2025-06-13T00:00:00"/>
    <s v="ACTIVE"/>
    <m/>
    <m/>
    <m/>
    <m/>
  </r>
  <r>
    <n v="319"/>
    <s v="Donor_074"/>
    <d v="2025-05-01T00:00:00"/>
    <s v="South"/>
    <s v="RamadanFeeding"/>
    <m/>
    <n v="2079"/>
    <s v="UPI"/>
    <x v="11"/>
    <d v="2025-06-18T00:00:00"/>
    <s v="ACTIVE"/>
    <m/>
    <m/>
    <m/>
    <m/>
  </r>
  <r>
    <n v="1552"/>
    <s v="Donor_053"/>
    <d v="2024-02-26T00:00:00"/>
    <s v="Central"/>
    <s v="EmergencyFoodBank"/>
    <m/>
    <n v="598"/>
    <s v="Cash"/>
    <x v="14"/>
    <d v="2025-04-16T00:00:00"/>
    <s v="ACTIVE"/>
    <m/>
    <m/>
    <m/>
    <m/>
  </r>
  <r>
    <n v="922"/>
    <s v="Donor_061"/>
    <d v="2024-11-02T00:00:00"/>
    <s v="West"/>
    <s v="EmergencyFoodBank"/>
    <m/>
    <n v="4888"/>
    <s v="UPI"/>
    <x v="4"/>
    <d v="2025-05-21T00:00:00"/>
    <s v="ACTIVE"/>
    <m/>
    <m/>
    <m/>
    <m/>
  </r>
  <r>
    <n v="582"/>
    <s v="Donor_029"/>
    <d v="2025-06-03T00:00:00"/>
    <s v="West"/>
    <s v="EmergencyFoodBank"/>
    <m/>
    <n v="1821"/>
    <s v="Credit Card"/>
    <x v="16"/>
    <d v="2025-06-05T00:00:00"/>
    <s v="ACTIVE"/>
    <m/>
    <m/>
    <m/>
    <m/>
  </r>
  <r>
    <n v="133"/>
    <s v="Donor_013"/>
    <d v="2024-12-03T00:00:00"/>
    <s v="Central"/>
    <s v="EmergencyFoodBank"/>
    <m/>
    <n v="685"/>
    <s v="Cheque"/>
    <x v="9"/>
    <d v="2025-04-28T00:00:00"/>
    <s v="ACTIVE"/>
    <m/>
    <m/>
    <m/>
    <m/>
  </r>
  <r>
    <n v="673"/>
    <s v="Donor_017"/>
    <d v="2025-01-26T00:00:00"/>
    <s v="West"/>
    <s v="SchoolLunchFund"/>
    <m/>
    <n v="2396"/>
    <s v="Bank Transfer"/>
    <x v="7"/>
    <d v="2025-02-02T00:00:00"/>
    <s v="LAPSED"/>
    <m/>
    <m/>
    <m/>
    <m/>
  </r>
  <r>
    <n v="641"/>
    <s v="Donor_098"/>
    <d v="2024-01-19T00:00:00"/>
    <s v="North"/>
    <s v="RamadanFeeding"/>
    <m/>
    <n v="953"/>
    <s v="Bank Transfer"/>
    <x v="10"/>
    <d v="2025-06-20T00:00:00"/>
    <s v="ACTIVE"/>
    <m/>
    <m/>
    <m/>
    <m/>
  </r>
  <r>
    <n v="1759"/>
    <s v="Donor_103"/>
    <d v="2024-12-21T00:00:00"/>
    <s v="Central"/>
    <s v="FloodReliefMeals"/>
    <m/>
    <n v="316"/>
    <s v="Cheque"/>
    <x v="9"/>
    <d v="2025-02-25T00:00:00"/>
    <s v="LAPSED"/>
    <m/>
    <m/>
    <m/>
    <m/>
  </r>
  <r>
    <n v="1049"/>
    <s v="Donor_032"/>
    <d v="2024-03-28T00:00:00"/>
    <s v="Central"/>
    <s v="FloodReliefMeals"/>
    <m/>
    <n v="5142"/>
    <s v="UPI"/>
    <x v="8"/>
    <d v="2025-04-29T00:00:00"/>
    <s v="ACTIVE"/>
    <m/>
    <m/>
    <m/>
    <m/>
  </r>
  <r>
    <n v="1549"/>
    <s v="Donor_112"/>
    <d v="2025-01-19T00:00:00"/>
    <s v="East"/>
    <s v="YearEndGiving"/>
    <m/>
    <n v="251"/>
    <s v="Cheque"/>
    <x v="7"/>
    <d v="2025-05-26T00:00:00"/>
    <s v="ACTIVE"/>
    <m/>
    <m/>
    <m/>
    <m/>
  </r>
  <r>
    <n v="126"/>
    <s v="Donor_031"/>
    <d v="2024-05-31T00:00:00"/>
    <s v="North"/>
    <s v="SchoolLunchFund"/>
    <m/>
    <n v="2197"/>
    <s v="Cheque"/>
    <x v="15"/>
    <d v="2025-05-17T00:00:00"/>
    <s v="ACTIVE"/>
    <m/>
    <m/>
    <m/>
    <m/>
  </r>
  <r>
    <n v="1341"/>
    <s v="Donor_020"/>
    <d v="2024-05-23T00:00:00"/>
    <s v="North"/>
    <s v="YearEndGiving"/>
    <m/>
    <n v="1764"/>
    <s v="Credit Card"/>
    <x v="15"/>
    <d v="2025-05-31T00:00:00"/>
    <s v="ACTIVE"/>
    <m/>
    <m/>
    <m/>
    <m/>
  </r>
  <r>
    <n v="869"/>
    <s v="Donor_091"/>
    <d v="2025-01-14T00:00:00"/>
    <s v="South"/>
    <s v="EmergencyFoodBank"/>
    <m/>
    <n v="812"/>
    <s v="Credit Card"/>
    <x v="7"/>
    <d v="2025-05-16T00:00:00"/>
    <s v="ACTIVE"/>
    <m/>
    <m/>
    <m/>
    <m/>
  </r>
  <r>
    <n v="257"/>
    <s v="Donor_101"/>
    <d v="2024-05-22T00:00:00"/>
    <s v="South"/>
    <s v="SchoolLunchFund"/>
    <m/>
    <n v="514"/>
    <s v="Cheque"/>
    <x v="15"/>
    <d v="2025-05-11T00:00:00"/>
    <s v="ACTIVE"/>
    <m/>
    <m/>
    <m/>
    <m/>
  </r>
  <r>
    <n v="1773"/>
    <s v="Donor_037"/>
    <d v="2024-01-07T00:00:00"/>
    <s v="East"/>
    <s v="RamadanFeeding"/>
    <m/>
    <n v="5508"/>
    <s v="Cheque"/>
    <x v="10"/>
    <d v="2025-05-23T00:00:00"/>
    <s v="ACTIVE"/>
    <m/>
    <m/>
    <m/>
    <m/>
  </r>
  <r>
    <n v="290"/>
    <s v="Donor_020"/>
    <d v="2024-04-21T00:00:00"/>
    <s v="North"/>
    <s v="SchoolLunchFund"/>
    <m/>
    <n v="296"/>
    <s v="Cash"/>
    <x v="3"/>
    <d v="2025-05-31T00:00:00"/>
    <s v="ACTIVE"/>
    <m/>
    <m/>
    <m/>
    <m/>
  </r>
  <r>
    <n v="82"/>
    <s v="Donor_064"/>
    <d v="2024-06-06T00:00:00"/>
    <s v="East"/>
    <s v="YearEndGiving"/>
    <m/>
    <n v="2415"/>
    <s v="Cash"/>
    <x v="2"/>
    <d v="2025-06-20T00:00:00"/>
    <s v="ACTIVE"/>
    <m/>
    <m/>
    <m/>
    <m/>
  </r>
  <r>
    <n v="54"/>
    <s v="Donor_033"/>
    <d v="2025-03-07T00:00:00"/>
    <s v="North"/>
    <s v="RamadanFeeding"/>
    <m/>
    <n v="550"/>
    <s v="UPI"/>
    <x v="6"/>
    <d v="2025-06-21T00:00:00"/>
    <s v="ACTIVE"/>
    <m/>
    <m/>
    <m/>
    <m/>
  </r>
  <r>
    <n v="858"/>
    <s v="Donor_011"/>
    <d v="2024-02-05T00:00:00"/>
    <s v="North"/>
    <s v="YearEndGiving"/>
    <m/>
    <n v="2364"/>
    <s v="Cheque"/>
    <x v="14"/>
    <d v="2025-06-04T00:00:00"/>
    <s v="ACTIVE"/>
    <m/>
    <m/>
    <m/>
    <m/>
  </r>
  <r>
    <n v="993"/>
    <s v="Donor_019"/>
    <d v="2025-04-11T00:00:00"/>
    <s v="North"/>
    <s v="EmergencyFoodBank"/>
    <m/>
    <n v="291"/>
    <s v="UPI"/>
    <x v="17"/>
    <d v="2025-05-28T00:00:00"/>
    <s v="ACTIVE"/>
    <m/>
    <m/>
    <m/>
    <m/>
  </r>
  <r>
    <n v="41"/>
    <s v="Donor_090"/>
    <d v="2025-02-16T00:00:00"/>
    <s v="East"/>
    <s v="YearEndGiving"/>
    <m/>
    <n v="1315"/>
    <s v="Cash"/>
    <x v="13"/>
    <d v="2025-04-25T00:00:00"/>
    <s v="ACTIVE"/>
    <m/>
    <m/>
    <m/>
    <m/>
  </r>
  <r>
    <n v="1313"/>
    <s v="Donor_081"/>
    <d v="2025-04-16T00:00:00"/>
    <s v="East"/>
    <s v="EmergencyFoodBank"/>
    <m/>
    <n v="1045"/>
    <s v="UPI"/>
    <x v="17"/>
    <d v="2025-06-07T00:00:00"/>
    <s v="ACTIVE"/>
    <m/>
    <m/>
    <m/>
    <m/>
  </r>
  <r>
    <n v="262"/>
    <s v="Donor_107"/>
    <d v="2024-11-26T00:00:00"/>
    <s v="East"/>
    <s v="FloodReliefMeals"/>
    <m/>
    <n v="10312"/>
    <s v="Cheque"/>
    <x v="4"/>
    <d v="2025-03-18T00:00:00"/>
    <s v="LAPSED"/>
    <m/>
    <m/>
    <m/>
    <m/>
  </r>
  <r>
    <n v="1695"/>
    <s v="Donor_002"/>
    <d v="2024-02-24T00:00:00"/>
    <s v="West"/>
    <s v="SchoolLunchFund"/>
    <m/>
    <n v="1271"/>
    <s v="Credit Card"/>
    <x v="14"/>
    <d v="2025-04-12T00:00:00"/>
    <s v="ACTIVE"/>
    <m/>
    <m/>
    <m/>
    <m/>
  </r>
  <r>
    <n v="84"/>
    <s v="Donor_108"/>
    <d v="2024-11-01T00:00:00"/>
    <s v="Central"/>
    <s v="YearEndGiving"/>
    <m/>
    <n v="344"/>
    <s v="Cash"/>
    <x v="4"/>
    <d v="2025-05-21T00:00:00"/>
    <s v="ACTIVE"/>
    <m/>
    <m/>
    <m/>
    <m/>
  </r>
  <r>
    <n v="1352"/>
    <s v="Donor_059"/>
    <d v="2024-12-01T00:00:00"/>
    <s v="West"/>
    <s v="YearEndGiving"/>
    <m/>
    <n v="1752"/>
    <s v="Cash"/>
    <x v="9"/>
    <d v="2025-06-16T00:00:00"/>
    <s v="ACTIVE"/>
    <m/>
    <m/>
    <m/>
    <m/>
  </r>
  <r>
    <n v="1443"/>
    <s v="Donor_018"/>
    <d v="2024-10-18T00:00:00"/>
    <s v="North"/>
    <s v="RamadanFeeding"/>
    <m/>
    <n v="2157"/>
    <s v="Cheque"/>
    <x v="12"/>
    <d v="2025-06-16T00:00:00"/>
    <s v="ACTIVE"/>
    <m/>
    <m/>
    <m/>
    <m/>
  </r>
  <r>
    <n v="1401"/>
    <s v="Donor_115"/>
    <d v="2024-02-10T00:00:00"/>
    <s v="Central"/>
    <s v="WinterMealDrive"/>
    <m/>
    <n v="422"/>
    <s v="Cheque"/>
    <x v="14"/>
    <d v="2025-06-20T00:00:00"/>
    <s v="ACTIVE"/>
    <m/>
    <m/>
    <m/>
    <m/>
  </r>
  <r>
    <n v="654"/>
    <s v="Donor_109"/>
    <d v="2024-11-03T00:00:00"/>
    <s v="West"/>
    <s v="RamadanFeeding"/>
    <m/>
    <n v="5720"/>
    <s v="UPI"/>
    <x v="4"/>
    <d v="2025-06-22T00:00:00"/>
    <s v="ACTIVE"/>
    <m/>
    <m/>
    <m/>
    <m/>
  </r>
  <r>
    <n v="31"/>
    <s v="Donor_107"/>
    <d v="2025-03-09T00:00:00"/>
    <s v="East"/>
    <s v="WinterMealDrive"/>
    <m/>
    <n v="467"/>
    <s v="Credit Card"/>
    <x v="6"/>
    <d v="2025-03-18T00:00:00"/>
    <s v="LAPSED"/>
    <m/>
    <m/>
    <m/>
    <m/>
  </r>
  <r>
    <n v="514"/>
    <s v="Donor_014"/>
    <d v="2024-02-29T00:00:00"/>
    <s v="Central"/>
    <s v="EmergencyFoodBank"/>
    <m/>
    <n v="11949"/>
    <s v="Cash"/>
    <x v="14"/>
    <d v="2025-06-03T00:00:00"/>
    <s v="ACTIVE"/>
    <m/>
    <m/>
    <m/>
    <m/>
  </r>
  <r>
    <n v="1444"/>
    <s v="Donor_086"/>
    <d v="2024-12-12T00:00:00"/>
    <s v="South"/>
    <s v="EmergencyFoodBank"/>
    <m/>
    <n v="337"/>
    <s v="Bank Transfer"/>
    <x v="9"/>
    <d v="2025-05-29T00:00:00"/>
    <s v="ACTIVE"/>
    <m/>
    <m/>
    <m/>
    <m/>
  </r>
  <r>
    <n v="1517"/>
    <s v="Donor_031"/>
    <d v="2024-05-05T00:00:00"/>
    <s v="West"/>
    <s v="SchoolLunchFund"/>
    <m/>
    <n v="2512"/>
    <s v="Bank Transfer"/>
    <x v="15"/>
    <d v="2025-05-17T00:00:00"/>
    <s v="ACTIVE"/>
    <m/>
    <m/>
    <m/>
    <m/>
  </r>
  <r>
    <n v="1462"/>
    <s v="Donor_016"/>
    <d v="2025-06-07T00:00:00"/>
    <s v="West"/>
    <s v="EmergencyFoodBank"/>
    <m/>
    <n v="2785"/>
    <s v="Bank Transfer"/>
    <x v="16"/>
    <d v="2025-06-17T00:00:00"/>
    <s v="ACTIVE"/>
    <m/>
    <m/>
    <m/>
    <m/>
  </r>
  <r>
    <n v="1424"/>
    <s v="Donor_038"/>
    <d v="2024-04-13T00:00:00"/>
    <s v="East"/>
    <s v="WinterMealDrive"/>
    <m/>
    <n v="4930"/>
    <s v="Cash"/>
    <x v="3"/>
    <d v="2025-04-26T00:00:00"/>
    <s v="ACTIVE"/>
    <m/>
    <m/>
    <m/>
    <m/>
  </r>
  <r>
    <n v="1184"/>
    <s v="Donor_112"/>
    <d v="2024-09-27T00:00:00"/>
    <s v="Central"/>
    <s v="SchoolLunchFund"/>
    <m/>
    <n v="4551"/>
    <s v="Cheque"/>
    <x v="0"/>
    <d v="2025-05-26T00:00:00"/>
    <s v="ACTIVE"/>
    <m/>
    <m/>
    <m/>
    <m/>
  </r>
  <r>
    <n v="1439"/>
    <s v="Donor_076"/>
    <d v="2024-11-30T00:00:00"/>
    <s v="West"/>
    <s v="WinterMealDrive"/>
    <m/>
    <n v="833"/>
    <s v="UPI"/>
    <x v="4"/>
    <d v="2025-06-08T00:00:00"/>
    <s v="ACTIVE"/>
    <m/>
    <m/>
    <m/>
    <m/>
  </r>
  <r>
    <n v="759"/>
    <s v="Donor_114"/>
    <d v="2024-11-16T00:00:00"/>
    <s v="North"/>
    <s v="SchoolLunchFund"/>
    <m/>
    <n v="584"/>
    <s v="Cash"/>
    <x v="4"/>
    <d v="2025-04-04T00:00:00"/>
    <s v="ACTIVE"/>
    <m/>
    <m/>
    <m/>
    <m/>
  </r>
  <r>
    <n v="682"/>
    <s v="Donor_006"/>
    <d v="2025-05-21T00:00:00"/>
    <s v="West"/>
    <s v="FloodReliefMeals"/>
    <m/>
    <n v="9941"/>
    <s v="Cash"/>
    <x v="11"/>
    <d v="2025-06-06T00:00:00"/>
    <s v="ACTIVE"/>
    <m/>
    <m/>
    <m/>
    <m/>
  </r>
  <r>
    <n v="1654"/>
    <s v="Donor_054"/>
    <d v="2025-02-16T00:00:00"/>
    <s v="West"/>
    <s v="WinterMealDrive"/>
    <m/>
    <n v="2965"/>
    <s v="Cheque"/>
    <x v="13"/>
    <d v="2025-06-18T00:00:00"/>
    <s v="ACTIVE"/>
    <m/>
    <m/>
    <m/>
    <m/>
  </r>
  <r>
    <n v="49"/>
    <s v="Donor_018"/>
    <d v="2024-03-23T00:00:00"/>
    <s v="South"/>
    <s v="SchoolLunchFund"/>
    <m/>
    <n v="808"/>
    <s v="Credit Card"/>
    <x v="8"/>
    <d v="2025-06-16T00:00:00"/>
    <s v="ACTIVE"/>
    <m/>
    <m/>
    <m/>
    <m/>
  </r>
  <r>
    <n v="1079"/>
    <s v="Donor_005"/>
    <d v="2024-07-01T00:00:00"/>
    <s v="West"/>
    <s v="EmergencyFoodBank"/>
    <m/>
    <n v="2613"/>
    <s v="Cheque"/>
    <x v="5"/>
    <d v="2025-06-10T00:00:00"/>
    <s v="ACTIVE"/>
    <m/>
    <m/>
    <m/>
    <m/>
  </r>
  <r>
    <n v="468"/>
    <s v="Donor_119"/>
    <d v="2025-05-18T00:00:00"/>
    <s v="North"/>
    <s v="RamadanFeeding"/>
    <m/>
    <n v="472"/>
    <s v="Cash"/>
    <x v="11"/>
    <d v="2025-05-18T00:00:00"/>
    <s v="ACTIVE"/>
    <m/>
    <m/>
    <m/>
    <m/>
  </r>
  <r>
    <n v="154"/>
    <s v="Donor_085"/>
    <d v="2024-12-01T00:00:00"/>
    <s v="East"/>
    <s v="FloodReliefMeals"/>
    <m/>
    <n v="312"/>
    <s v="Cash"/>
    <x v="9"/>
    <d v="2025-06-22T00:00:00"/>
    <s v="ACTIVE"/>
    <m/>
    <m/>
    <m/>
    <m/>
  </r>
  <r>
    <n v="1691"/>
    <s v="Donor_101"/>
    <d v="2024-10-07T00:00:00"/>
    <s v="NOT KNOWN"/>
    <s v="YearEndGiving"/>
    <m/>
    <n v="729"/>
    <s v="Cash"/>
    <x v="12"/>
    <d v="2025-05-11T00:00:00"/>
    <s v="ACTIVE"/>
    <m/>
    <m/>
    <m/>
    <m/>
  </r>
  <r>
    <n v="395"/>
    <s v="Donor_089"/>
    <d v="2024-11-09T00:00:00"/>
    <s v="Central"/>
    <s v="SchoolLunchFund"/>
    <m/>
    <n v="5615"/>
    <s v="Cash"/>
    <x v="4"/>
    <d v="2025-05-16T00:00:00"/>
    <s v="ACTIVE"/>
    <m/>
    <m/>
    <m/>
    <m/>
  </r>
  <r>
    <n v="124"/>
    <s v="Donor_056"/>
    <d v="2024-03-31T00:00:00"/>
    <s v="North"/>
    <s v="SchoolLunchFund"/>
    <m/>
    <n v="777"/>
    <s v="Cheque"/>
    <x v="8"/>
    <d v="2025-05-08T00:00:00"/>
    <s v="ACTIVE"/>
    <m/>
    <m/>
    <m/>
    <m/>
  </r>
  <r>
    <n v="356"/>
    <s v="Donor_024"/>
    <d v="2024-12-16T00:00:00"/>
    <s v="North"/>
    <s v="RamadanFeeding"/>
    <m/>
    <n v="889"/>
    <s v="Bank Transfer"/>
    <x v="9"/>
    <d v="2025-06-07T00:00:00"/>
    <s v="ACTIVE"/>
    <m/>
    <m/>
    <m/>
    <m/>
  </r>
  <r>
    <n v="135"/>
    <s v="Donor_012"/>
    <d v="2025-06-23T00:00:00"/>
    <s v="West"/>
    <s v="YearEndGiving"/>
    <m/>
    <n v="4036"/>
    <s v="Bank Transfer"/>
    <x v="16"/>
    <d v="2025-06-23T00:00:00"/>
    <s v="ACTIVE"/>
    <m/>
    <m/>
    <m/>
    <m/>
  </r>
  <r>
    <n v="269"/>
    <s v="Donor_079"/>
    <d v="2025-02-25T00:00:00"/>
    <s v="West"/>
    <s v="SchoolLunchFund"/>
    <m/>
    <n v="1159"/>
    <s v="Credit Card"/>
    <x v="13"/>
    <d v="2025-06-07T00:00:00"/>
    <s v="ACTIVE"/>
    <m/>
    <m/>
    <m/>
    <m/>
  </r>
  <r>
    <n v="386"/>
    <s v="Donor_027"/>
    <d v="2024-04-16T00:00:00"/>
    <s v="Central"/>
    <s v="EmergencyFoodBank"/>
    <m/>
    <n v="794"/>
    <s v="UPI"/>
    <x v="3"/>
    <d v="2025-06-06T00:00:00"/>
    <s v="ACTIVE"/>
    <m/>
    <m/>
    <m/>
    <m/>
  </r>
  <r>
    <n v="610"/>
    <s v="Donor_040"/>
    <d v="2024-04-29T00:00:00"/>
    <s v="North"/>
    <s v="RamadanFeeding"/>
    <m/>
    <n v="1957"/>
    <s v="UPI"/>
    <x v="3"/>
    <d v="2025-05-15T00:00:00"/>
    <s v="ACTIVE"/>
    <m/>
    <m/>
    <m/>
    <m/>
  </r>
  <r>
    <n v="221"/>
    <s v="Donor_014"/>
    <d v="2024-07-02T00:00:00"/>
    <s v="North"/>
    <s v="YearEndGiving"/>
    <m/>
    <n v="1345"/>
    <s v="Cheque"/>
    <x v="5"/>
    <d v="2025-06-03T00:00:00"/>
    <s v="ACTIVE"/>
    <m/>
    <m/>
    <m/>
    <m/>
  </r>
  <r>
    <n v="42"/>
    <s v="Donor_039"/>
    <d v="2024-01-01T00:00:00"/>
    <s v="East"/>
    <s v="SchoolLunchFund"/>
    <m/>
    <n v="836"/>
    <s v="Cheque"/>
    <x v="10"/>
    <d v="2025-04-25T00:00:00"/>
    <s v="ACTIVE"/>
    <m/>
    <m/>
    <m/>
    <m/>
  </r>
  <r>
    <n v="220"/>
    <s v="Donor_002"/>
    <d v="2025-02-25T00:00:00"/>
    <s v="North"/>
    <s v="YearEndGiving"/>
    <m/>
    <n v="2536"/>
    <s v="Bank Transfer"/>
    <x v="13"/>
    <d v="2025-04-12T00:00:00"/>
    <s v="ACTIVE"/>
    <m/>
    <m/>
    <m/>
    <m/>
  </r>
  <r>
    <n v="598"/>
    <s v="Donor_084"/>
    <d v="2024-04-26T00:00:00"/>
    <s v="West"/>
    <s v="EmergencyFoodBank"/>
    <m/>
    <n v="2203"/>
    <s v="Credit Card"/>
    <x v="3"/>
    <d v="2025-05-13T00:00:00"/>
    <s v="ACTIVE"/>
    <m/>
    <m/>
    <m/>
    <m/>
  </r>
  <r>
    <n v="1273"/>
    <s v="Donor_064"/>
    <d v="2024-11-09T00:00:00"/>
    <s v="East"/>
    <s v="EmergencyFoodBank"/>
    <m/>
    <n v="506"/>
    <s v="UPI"/>
    <x v="4"/>
    <d v="2025-06-20T00:00:00"/>
    <s v="ACTIVE"/>
    <m/>
    <m/>
    <m/>
    <m/>
  </r>
  <r>
    <n v="1174"/>
    <s v="Donor_052"/>
    <d v="2025-06-13T00:00:00"/>
    <s v="West"/>
    <s v="YearEndGiving"/>
    <m/>
    <n v="1783"/>
    <s v="Credit Card"/>
    <x v="16"/>
    <d v="2025-06-13T00:00:00"/>
    <s v="ACTIVE"/>
    <m/>
    <m/>
    <m/>
    <m/>
  </r>
  <r>
    <n v="931"/>
    <s v="Donor_092"/>
    <d v="2024-04-05T00:00:00"/>
    <s v="South"/>
    <s v="SchoolLunchFund"/>
    <m/>
    <n v="1661"/>
    <s v="Credit Card"/>
    <x v="3"/>
    <d v="2025-05-07T00:00:00"/>
    <s v="ACTIVE"/>
    <m/>
    <m/>
    <m/>
    <m/>
  </r>
  <r>
    <n v="1718"/>
    <s v="Donor_022"/>
    <d v="2024-08-05T00:00:00"/>
    <s v="South"/>
    <s v="WinterMealDrive"/>
    <m/>
    <n v="0"/>
    <s v="UPI"/>
    <x v="1"/>
    <d v="2025-06-21T00:00:00"/>
    <s v="ACTIVE"/>
    <m/>
    <m/>
    <m/>
    <m/>
  </r>
  <r>
    <n v="684"/>
    <s v="Donor_068"/>
    <d v="2024-01-05T00:00:00"/>
    <s v="Central"/>
    <s v="SchoolLunchFund"/>
    <m/>
    <n v="876"/>
    <s v="Credit Card"/>
    <x v="10"/>
    <d v="2025-05-16T00:00:00"/>
    <s v="ACTIVE"/>
    <m/>
    <m/>
    <m/>
    <m/>
  </r>
  <r>
    <n v="542"/>
    <s v="Donor_052"/>
    <d v="2025-06-06T00:00:00"/>
    <s v="South"/>
    <s v="FloodReliefMeals"/>
    <m/>
    <n v="474"/>
    <s v="Cheque"/>
    <x v="16"/>
    <d v="2025-06-13T00:00:00"/>
    <s v="ACTIVE"/>
    <m/>
    <m/>
    <m/>
    <m/>
  </r>
  <r>
    <n v="868"/>
    <s v="Donor_002"/>
    <d v="2024-09-22T00:00:00"/>
    <s v="Central"/>
    <s v="EmergencyFoodBank"/>
    <m/>
    <n v="1595"/>
    <s v="Credit Card"/>
    <x v="0"/>
    <d v="2025-04-12T00:00:00"/>
    <s v="ACTIVE"/>
    <m/>
    <m/>
    <m/>
    <m/>
  </r>
  <r>
    <n v="1690"/>
    <s v="Donor_104"/>
    <d v="2024-11-04T00:00:00"/>
    <s v="South"/>
    <s v="FloodReliefMeals"/>
    <m/>
    <n v="11885"/>
    <s v="Bank Transfer"/>
    <x v="4"/>
    <d v="2025-05-08T00:00:00"/>
    <s v="ACTIVE"/>
    <m/>
    <m/>
    <m/>
    <m/>
  </r>
  <r>
    <n v="842"/>
    <s v="Donor_074"/>
    <d v="2025-01-24T00:00:00"/>
    <s v="North"/>
    <s v="FloodReliefMeals"/>
    <m/>
    <n v="518"/>
    <s v="Credit Card"/>
    <x v="7"/>
    <d v="2025-06-18T00:00:00"/>
    <s v="ACTIVE"/>
    <m/>
    <m/>
    <m/>
    <m/>
  </r>
  <r>
    <n v="1697"/>
    <s v="Donor_012"/>
    <d v="2024-04-12T00:00:00"/>
    <s v="East"/>
    <s v="YearEndGiving"/>
    <m/>
    <n v="0"/>
    <s v="Cheque"/>
    <x v="3"/>
    <d v="2025-06-23T00:00:00"/>
    <s v="ACTIVE"/>
    <m/>
    <m/>
    <m/>
    <m/>
  </r>
  <r>
    <n v="1737"/>
    <s v="Donor_017"/>
    <d v="2024-05-24T00:00:00"/>
    <s v="East"/>
    <s v="RamadanFeeding"/>
    <m/>
    <n v="542"/>
    <s v="UPI"/>
    <x v="15"/>
    <d v="2025-02-02T00:00:00"/>
    <s v="LAPSED"/>
    <m/>
    <m/>
    <m/>
    <m/>
  </r>
  <r>
    <n v="906"/>
    <s v="Donor_049"/>
    <d v="2024-04-12T00:00:00"/>
    <s v="West"/>
    <s v="WinterMealDrive"/>
    <m/>
    <n v="1131"/>
    <s v="UPI"/>
    <x v="3"/>
    <d v="2025-06-19T00:00:00"/>
    <s v="ACTIVE"/>
    <m/>
    <m/>
    <m/>
    <m/>
  </r>
  <r>
    <n v="1173"/>
    <s v="Donor_033"/>
    <d v="2025-01-28T00:00:00"/>
    <s v="South"/>
    <s v="WinterMealDrive"/>
    <m/>
    <n v="2067"/>
    <s v="Credit Card"/>
    <x v="7"/>
    <d v="2025-06-21T00:00:00"/>
    <s v="ACTIVE"/>
    <m/>
    <m/>
    <m/>
    <m/>
  </r>
  <r>
    <n v="1662"/>
    <s v="Donor_014"/>
    <d v="2024-06-24T00:00:00"/>
    <s v="North"/>
    <s v="RamadanFeeding"/>
    <m/>
    <n v="568"/>
    <s v="UPI"/>
    <x v="2"/>
    <d v="2025-06-03T00:00:00"/>
    <s v="ACTIVE"/>
    <m/>
    <m/>
    <m/>
    <m/>
  </r>
  <r>
    <n v="1507"/>
    <s v="Donor_117"/>
    <d v="2025-02-08T00:00:00"/>
    <s v="Central"/>
    <s v="EmergencyFoodBank"/>
    <m/>
    <n v="1232"/>
    <s v="Credit Card"/>
    <x v="13"/>
    <d v="2025-04-05T00:00:00"/>
    <s v="ACTIVE"/>
    <m/>
    <m/>
    <m/>
    <m/>
  </r>
  <r>
    <n v="1396"/>
    <s v="Donor_082"/>
    <d v="2024-10-25T00:00:00"/>
    <s v="South"/>
    <s v="SchoolLunchFund"/>
    <m/>
    <n v="4366"/>
    <s v="Cash"/>
    <x v="12"/>
    <d v="2025-06-02T00:00:00"/>
    <s v="ACTIVE"/>
    <m/>
    <m/>
    <m/>
    <m/>
  </r>
  <r>
    <n v="1629"/>
    <s v="Donor_100"/>
    <d v="2024-06-20T00:00:00"/>
    <s v="Central"/>
    <s v="EmergencyFoodBank"/>
    <m/>
    <n v="5328"/>
    <s v="UPI"/>
    <x v="2"/>
    <d v="2025-06-14T00:00:00"/>
    <s v="ACTIVE"/>
    <m/>
    <m/>
    <m/>
    <m/>
  </r>
  <r>
    <n v="1281"/>
    <s v="Donor_022"/>
    <d v="2024-12-01T00:00:00"/>
    <s v="East"/>
    <s v="EmergencyFoodBank"/>
    <m/>
    <n v="685"/>
    <s v="Bank Transfer"/>
    <x v="9"/>
    <d v="2025-06-21T00:00:00"/>
    <s v="ACTIVE"/>
    <m/>
    <m/>
    <m/>
    <m/>
  </r>
  <r>
    <n v="1644"/>
    <s v="Donor_064"/>
    <d v="2025-02-19T00:00:00"/>
    <s v="Central"/>
    <s v="EmergencyFoodBank"/>
    <m/>
    <n v="284"/>
    <s v="Bank Transfer"/>
    <x v="13"/>
    <d v="2025-06-20T00:00:00"/>
    <s v="ACTIVE"/>
    <m/>
    <m/>
    <m/>
    <m/>
  </r>
  <r>
    <n v="1791"/>
    <s v="Donor_034"/>
    <d v="2024-01-30T00:00:00"/>
    <s v="South"/>
    <s v="EmergencyFoodBank"/>
    <m/>
    <n v="11285"/>
    <s v="UPI"/>
    <x v="10"/>
    <d v="2025-06-21T00:00:00"/>
    <s v="ACTIVE"/>
    <m/>
    <m/>
    <m/>
    <m/>
  </r>
  <r>
    <n v="861"/>
    <s v="Donor_076"/>
    <d v="2024-08-09T00:00:00"/>
    <s v="East"/>
    <s v="FloodReliefMeals"/>
    <m/>
    <n v="1637"/>
    <s v="Cash"/>
    <x v="1"/>
    <d v="2025-06-08T00:00:00"/>
    <s v="ACTIVE"/>
    <m/>
    <m/>
    <m/>
    <m/>
  </r>
  <r>
    <n v="337"/>
    <s v="Donor_044"/>
    <d v="2024-07-13T00:00:00"/>
    <s v="South"/>
    <s v="EmergencyFoodBank"/>
    <m/>
    <n v="10553"/>
    <s v="Cash"/>
    <x v="5"/>
    <d v="2025-05-05T00:00:00"/>
    <s v="ACTIVE"/>
    <m/>
    <m/>
    <m/>
    <m/>
  </r>
  <r>
    <n v="233"/>
    <s v="Donor_022"/>
    <d v="2025-01-24T00:00:00"/>
    <s v="South"/>
    <s v="FloodReliefMeals"/>
    <m/>
    <n v="2268"/>
    <s v="Credit Card"/>
    <x v="7"/>
    <d v="2025-06-21T00:00:00"/>
    <s v="ACTIVE"/>
    <m/>
    <m/>
    <m/>
    <m/>
  </r>
  <r>
    <n v="1178"/>
    <s v="Donor_103"/>
    <d v="2024-03-22T00:00:00"/>
    <s v="North"/>
    <s v="RamadanFeeding"/>
    <m/>
    <n v="8992"/>
    <s v="Bank Transfer"/>
    <x v="8"/>
    <d v="2025-02-25T00:00:00"/>
    <s v="LAPSED"/>
    <m/>
    <m/>
    <m/>
    <m/>
  </r>
  <r>
    <n v="1500"/>
    <s v="Donor_017"/>
    <d v="2024-07-21T00:00:00"/>
    <s v="East"/>
    <s v="RamadanFeeding"/>
    <m/>
    <n v="532"/>
    <s v="Credit Card"/>
    <x v="5"/>
    <d v="2025-02-02T00:00:00"/>
    <s v="LAPSED"/>
    <m/>
    <m/>
    <m/>
    <m/>
  </r>
  <r>
    <n v="996"/>
    <s v="Donor_095"/>
    <d v="2025-05-17T00:00:00"/>
    <s v="East"/>
    <s v="YearEndGiving"/>
    <m/>
    <n v="2663"/>
    <s v="Bank Transfer"/>
    <x v="11"/>
    <d v="2025-05-17T00:00:00"/>
    <s v="ACTIVE"/>
    <m/>
    <m/>
    <m/>
    <m/>
  </r>
  <r>
    <n v="469"/>
    <s v="Donor_094"/>
    <d v="2024-02-11T00:00:00"/>
    <s v="North"/>
    <s v="FloodReliefMeals"/>
    <m/>
    <n v="1178"/>
    <s v="Cheque"/>
    <x v="14"/>
    <d v="2025-06-19T00:00:00"/>
    <s v="ACTIVE"/>
    <m/>
    <m/>
    <m/>
    <m/>
  </r>
  <r>
    <n v="706"/>
    <s v="Donor_102"/>
    <d v="2025-01-03T00:00:00"/>
    <s v="West"/>
    <s v="SchoolLunchFund"/>
    <m/>
    <n v="1826"/>
    <s v="UPI"/>
    <x v="7"/>
    <d v="2025-04-29T00:00:00"/>
    <s v="ACTIVE"/>
    <m/>
    <m/>
    <m/>
    <m/>
  </r>
  <r>
    <n v="1042"/>
    <s v="Donor_091"/>
    <d v="2025-02-24T00:00:00"/>
    <s v="Central"/>
    <s v="RamadanFeeding"/>
    <m/>
    <n v="2078"/>
    <s v="Credit Card"/>
    <x v="13"/>
    <d v="2025-05-16T00:00:00"/>
    <s v="ACTIVE"/>
    <m/>
    <m/>
    <m/>
    <m/>
  </r>
  <r>
    <n v="870"/>
    <s v="Donor_067"/>
    <d v="2025-03-14T00:00:00"/>
    <s v="South"/>
    <s v="FloodReliefMeals"/>
    <m/>
    <n v="1179"/>
    <s v="Cash"/>
    <x v="6"/>
    <d v="2025-06-15T00:00:00"/>
    <s v="ACTIVE"/>
    <m/>
    <m/>
    <m/>
    <m/>
  </r>
  <r>
    <n v="1090"/>
    <s v="Donor_010"/>
    <d v="2024-03-27T00:00:00"/>
    <s v="North"/>
    <s v="YearEndGiving"/>
    <m/>
    <n v="606"/>
    <s v="Cheque"/>
    <x v="8"/>
    <d v="2025-06-01T00:00:00"/>
    <s v="ACTIVE"/>
    <m/>
    <m/>
    <m/>
    <m/>
  </r>
  <r>
    <n v="586"/>
    <s v="Donor_112"/>
    <d v="2025-02-26T00:00:00"/>
    <s v="South"/>
    <s v="RamadanFeeding"/>
    <m/>
    <n v="1659"/>
    <s v="Cheque"/>
    <x v="13"/>
    <d v="2025-05-26T00:00:00"/>
    <s v="ACTIVE"/>
    <m/>
    <m/>
    <m/>
    <m/>
  </r>
  <r>
    <n v="206"/>
    <s v="Donor_052"/>
    <d v="2024-02-15T00:00:00"/>
    <s v="West"/>
    <s v="SchoolLunchFund"/>
    <m/>
    <n v="8869"/>
    <s v="UPI"/>
    <x v="14"/>
    <d v="2025-06-13T00:00:00"/>
    <s v="ACTIVE"/>
    <m/>
    <m/>
    <m/>
    <m/>
  </r>
  <r>
    <n v="4"/>
    <s v="Donor_109"/>
    <d v="2025-01-02T00:00:00"/>
    <s v="East"/>
    <s v="YearEndGiving"/>
    <m/>
    <n v="2807"/>
    <s v="Cash"/>
    <x v="7"/>
    <d v="2025-06-22T00:00:00"/>
    <s v="ACTIVE"/>
    <m/>
    <m/>
    <m/>
    <m/>
  </r>
  <r>
    <n v="894"/>
    <s v="Donor_115"/>
    <d v="2024-12-21T00:00:00"/>
    <s v="East"/>
    <s v="RamadanFeeding"/>
    <m/>
    <n v="1164"/>
    <s v="UPI"/>
    <x v="9"/>
    <d v="2025-06-20T00:00:00"/>
    <s v="ACTIVE"/>
    <m/>
    <m/>
    <m/>
    <m/>
  </r>
  <r>
    <n v="733"/>
    <s v="Donor_072"/>
    <d v="2024-11-12T00:00:00"/>
    <s v="North"/>
    <s v="EmergencyFoodBank"/>
    <m/>
    <n v="8341"/>
    <s v="Cheque"/>
    <x v="4"/>
    <d v="2025-04-13T00:00:00"/>
    <s v="ACTIVE"/>
    <m/>
    <m/>
    <m/>
    <m/>
  </r>
  <r>
    <n v="1016"/>
    <s v="Donor_106"/>
    <d v="2024-09-23T00:00:00"/>
    <s v="Central"/>
    <s v="EmergencyFoodBank"/>
    <m/>
    <n v="343"/>
    <s v="Cheque"/>
    <x v="0"/>
    <d v="2025-06-11T00:00:00"/>
    <s v="ACTIVE"/>
    <m/>
    <m/>
    <m/>
    <m/>
  </r>
  <r>
    <n v="1665"/>
    <s v="Donor_115"/>
    <d v="2025-02-12T00:00:00"/>
    <s v="East"/>
    <s v="FloodReliefMeals"/>
    <m/>
    <n v="8553"/>
    <s v="UPI"/>
    <x v="13"/>
    <d v="2025-06-20T00:00:00"/>
    <s v="ACTIVE"/>
    <m/>
    <m/>
    <m/>
    <m/>
  </r>
  <r>
    <n v="1726"/>
    <s v="Donor_079"/>
    <d v="2025-02-12T00:00:00"/>
    <s v="Central"/>
    <s v="FloodReliefMeals"/>
    <m/>
    <n v="245"/>
    <s v="Cheque"/>
    <x v="13"/>
    <d v="2025-06-07T00:00:00"/>
    <s v="ACTIVE"/>
    <m/>
    <m/>
    <m/>
    <m/>
  </r>
  <r>
    <n v="694"/>
    <s v="Donor_053"/>
    <d v="2025-03-11T00:00:00"/>
    <s v="North"/>
    <s v="RamadanFeeding"/>
    <m/>
    <n v="2355"/>
    <s v="Cheque"/>
    <x v="6"/>
    <d v="2025-04-16T00:00:00"/>
    <s v="ACTIVE"/>
    <m/>
    <m/>
    <m/>
    <m/>
  </r>
  <r>
    <n v="1545"/>
    <s v="Donor_115"/>
    <d v="2024-11-07T00:00:00"/>
    <s v="Central"/>
    <s v="WinterMealDrive"/>
    <m/>
    <n v="11941"/>
    <s v="Credit Card"/>
    <x v="4"/>
    <d v="2025-06-20T00:00:00"/>
    <s v="ACTIVE"/>
    <m/>
    <m/>
    <m/>
    <m/>
  </r>
  <r>
    <n v="1496"/>
    <s v="Donor_079"/>
    <d v="2024-08-30T00:00:00"/>
    <s v="North"/>
    <s v="WinterMealDrive"/>
    <m/>
    <n v="2791"/>
    <s v="Cheque"/>
    <x v="1"/>
    <d v="2025-06-07T00:00:00"/>
    <s v="ACTIVE"/>
    <m/>
    <m/>
    <m/>
    <m/>
  </r>
  <r>
    <n v="1747"/>
    <s v="Donor_026"/>
    <d v="2025-04-30T00:00:00"/>
    <s v="East"/>
    <s v="YearEndGiving"/>
    <m/>
    <n v="885"/>
    <s v="UPI"/>
    <x v="17"/>
    <d v="2025-05-28T00:00:00"/>
    <s v="ACTIVE"/>
    <m/>
    <m/>
    <m/>
    <m/>
  </r>
  <r>
    <n v="1371"/>
    <s v="Donor_080"/>
    <d v="2025-03-14T00:00:00"/>
    <s v="Central"/>
    <s v="RamadanFeeding"/>
    <m/>
    <n v="536"/>
    <s v="UPI"/>
    <x v="6"/>
    <d v="2025-05-11T00:00:00"/>
    <s v="ACTIVE"/>
    <m/>
    <m/>
    <m/>
    <m/>
  </r>
  <r>
    <n v="814"/>
    <s v="Donor_027"/>
    <d v="2024-05-24T00:00:00"/>
    <s v="South"/>
    <s v="WinterMealDrive"/>
    <m/>
    <n v="1556"/>
    <s v="Credit Card"/>
    <x v="15"/>
    <d v="2025-06-06T00:00:00"/>
    <s v="ACTIVE"/>
    <m/>
    <m/>
    <m/>
    <m/>
  </r>
  <r>
    <n v="1415"/>
    <s v="Donor_035"/>
    <d v="2024-04-13T00:00:00"/>
    <s v="South"/>
    <s v="YearEndGiving"/>
    <m/>
    <n v="1112"/>
    <s v="Cheque"/>
    <x v="3"/>
    <d v="2025-06-15T00:00:00"/>
    <s v="ACTIVE"/>
    <m/>
    <m/>
    <m/>
    <m/>
  </r>
  <r>
    <n v="987"/>
    <s v="Donor_061"/>
    <d v="2024-01-30T00:00:00"/>
    <s v="Central"/>
    <s v="RamadanFeeding"/>
    <m/>
    <n v="4531"/>
    <s v="Cheque"/>
    <x v="10"/>
    <d v="2025-05-21T00:00:00"/>
    <s v="ACTIVE"/>
    <m/>
    <m/>
    <m/>
    <m/>
  </r>
  <r>
    <n v="1091"/>
    <s v="Donor_107"/>
    <d v="2024-07-17T00:00:00"/>
    <s v="Central"/>
    <s v="FloodReliefMeals"/>
    <m/>
    <n v="4850"/>
    <s v="UPI"/>
    <x v="5"/>
    <d v="2025-03-18T00:00:00"/>
    <s v="LAPSED"/>
    <m/>
    <m/>
    <m/>
    <m/>
  </r>
  <r>
    <n v="1288"/>
    <s v="Donor_019"/>
    <d v="2024-02-09T00:00:00"/>
    <s v="North"/>
    <s v="EmergencyFoodBank"/>
    <m/>
    <n v="1605"/>
    <s v="UPI"/>
    <x v="14"/>
    <d v="2025-05-28T00:00:00"/>
    <s v="ACTIVE"/>
    <m/>
    <m/>
    <m/>
    <m/>
  </r>
  <r>
    <n v="158"/>
    <s v="Donor_084"/>
    <d v="2024-11-17T00:00:00"/>
    <s v="East"/>
    <s v="SchoolLunchFund"/>
    <m/>
    <n v="810"/>
    <s v="Credit Card"/>
    <x v="4"/>
    <d v="2025-05-13T00:00:00"/>
    <s v="ACTIVE"/>
    <m/>
    <m/>
    <m/>
    <m/>
  </r>
  <r>
    <n v="880"/>
    <s v="Donor_014"/>
    <d v="2024-10-02T00:00:00"/>
    <s v="West"/>
    <s v="EmergencyFoodBank"/>
    <m/>
    <n v="259"/>
    <s v="Bank Transfer"/>
    <x v="12"/>
    <d v="2025-06-03T00:00:00"/>
    <s v="ACTIVE"/>
    <m/>
    <m/>
    <m/>
    <m/>
  </r>
  <r>
    <n v="971"/>
    <s v="Donor_010"/>
    <d v="2024-09-08T00:00:00"/>
    <s v="South"/>
    <s v="EmergencyFoodBank"/>
    <m/>
    <n v="0"/>
    <s v="Bank Transfer"/>
    <x v="0"/>
    <d v="2025-06-01T00:00:00"/>
    <s v="ACTIVE"/>
    <m/>
    <m/>
    <m/>
    <m/>
  </r>
  <r>
    <n v="463"/>
    <s v="Donor_009"/>
    <d v="2024-06-13T00:00:00"/>
    <s v="Central"/>
    <s v="SchoolLunchFund"/>
    <m/>
    <n v="275"/>
    <s v="Bank Transfer"/>
    <x v="2"/>
    <d v="2025-05-15T00:00:00"/>
    <s v="ACTIVE"/>
    <m/>
    <m/>
    <m/>
    <m/>
  </r>
  <r>
    <n v="653"/>
    <s v="Donor_120"/>
    <d v="2024-10-01T00:00:00"/>
    <s v="Central"/>
    <s v="YearEndGiving"/>
    <m/>
    <n v="880"/>
    <s v="UPI"/>
    <x v="12"/>
    <d v="2025-06-19T00:00:00"/>
    <s v="ACTIVE"/>
    <m/>
    <m/>
    <m/>
    <m/>
  </r>
  <r>
    <n v="161"/>
    <s v="Donor_102"/>
    <d v="2024-06-27T00:00:00"/>
    <s v="East"/>
    <s v="YearEndGiving"/>
    <m/>
    <n v="1697"/>
    <s v="Credit Card"/>
    <x v="2"/>
    <d v="2025-04-29T00:00:00"/>
    <s v="ACTIVE"/>
    <m/>
    <m/>
    <m/>
    <m/>
  </r>
  <r>
    <n v="306"/>
    <s v="Donor_084"/>
    <d v="2025-05-13T00:00:00"/>
    <s v="East"/>
    <s v="SchoolLunchFund"/>
    <m/>
    <n v="10774"/>
    <s v="Cheque"/>
    <x v="11"/>
    <d v="2025-05-13T00:00:00"/>
    <s v="ACTIVE"/>
    <m/>
    <m/>
    <m/>
    <m/>
  </r>
  <r>
    <n v="657"/>
    <s v="Donor_093"/>
    <d v="2024-02-13T00:00:00"/>
    <s v="West"/>
    <s v="WinterMealDrive"/>
    <m/>
    <n v="572"/>
    <s v="UPI"/>
    <x v="14"/>
    <d v="2025-03-24T00:00:00"/>
    <s v="LAPSED"/>
    <m/>
    <m/>
    <m/>
    <m/>
  </r>
  <r>
    <n v="548"/>
    <s v="Donor_005"/>
    <d v="2024-02-04T00:00:00"/>
    <s v="Central"/>
    <s v="RamadanFeeding"/>
    <m/>
    <n v="4226"/>
    <s v="Cash"/>
    <x v="14"/>
    <d v="2025-06-10T00:00:00"/>
    <s v="ACTIVE"/>
    <m/>
    <m/>
    <m/>
    <m/>
  </r>
  <r>
    <n v="714"/>
    <s v="Donor_101"/>
    <d v="2025-03-07T00:00:00"/>
    <s v="South"/>
    <s v="SchoolLunchFund"/>
    <m/>
    <n v="724"/>
    <s v="Cash"/>
    <x v="6"/>
    <d v="2025-05-11T00:00:00"/>
    <s v="ACTIVE"/>
    <m/>
    <m/>
    <m/>
    <m/>
  </r>
  <r>
    <n v="396"/>
    <s v="Donor_036"/>
    <d v="2025-03-22T00:00:00"/>
    <s v="East"/>
    <s v="SchoolLunchFund"/>
    <m/>
    <n v="5756"/>
    <s v="Cash"/>
    <x v="6"/>
    <d v="2025-06-07T00:00:00"/>
    <s v="ACTIVE"/>
    <m/>
    <m/>
    <m/>
    <m/>
  </r>
  <r>
    <n v="400"/>
    <s v="Donor_097"/>
    <d v="2024-06-18T00:00:00"/>
    <s v="Central"/>
    <s v="SchoolLunchFund"/>
    <m/>
    <n v="259"/>
    <s v="Cheque"/>
    <x v="2"/>
    <d v="2025-06-04T00:00:00"/>
    <s v="ACTIVE"/>
    <m/>
    <m/>
    <m/>
    <m/>
  </r>
  <r>
    <n v="984"/>
    <s v="Donor_027"/>
    <d v="2024-12-14T00:00:00"/>
    <s v="Central"/>
    <s v="YearEndGiving"/>
    <m/>
    <n v="11434"/>
    <s v="Bank Transfer"/>
    <x v="9"/>
    <d v="2025-06-06T00:00:00"/>
    <s v="ACTIVE"/>
    <m/>
    <m/>
    <m/>
    <m/>
  </r>
  <r>
    <n v="1391"/>
    <s v="Donor_118"/>
    <d v="2024-11-30T00:00:00"/>
    <s v="East"/>
    <s v="RamadanFeeding"/>
    <m/>
    <n v="9951"/>
    <s v="Cheque"/>
    <x v="4"/>
    <d v="2025-04-19T00:00:00"/>
    <s v="ACTIVE"/>
    <m/>
    <m/>
    <m/>
    <m/>
  </r>
  <r>
    <n v="859"/>
    <s v="Donor_067"/>
    <d v="2024-02-17T00:00:00"/>
    <s v="East"/>
    <s v="EmergencyFoodBank"/>
    <m/>
    <n v="9780"/>
    <s v="Cheque"/>
    <x v="14"/>
    <d v="2025-06-15T00:00:00"/>
    <s v="ACTIVE"/>
    <m/>
    <m/>
    <m/>
    <m/>
  </r>
  <r>
    <n v="1247"/>
    <s v="Donor_042"/>
    <d v="2024-06-21T00:00:00"/>
    <s v="North"/>
    <s v="WinterMealDrive"/>
    <m/>
    <n v="2065"/>
    <s v="Cheque"/>
    <x v="2"/>
    <d v="2025-02-10T00:00:00"/>
    <s v="LAPSED"/>
    <m/>
    <m/>
    <m/>
    <m/>
  </r>
  <r>
    <n v="1518"/>
    <s v="Donor_094"/>
    <d v="2025-01-19T00:00:00"/>
    <s v="North"/>
    <s v="YearEndGiving"/>
    <m/>
    <n v="525"/>
    <s v="UPI"/>
    <x v="7"/>
    <d v="2025-06-19T00:00:00"/>
    <s v="ACTIVE"/>
    <m/>
    <m/>
    <m/>
    <m/>
  </r>
  <r>
    <n v="791"/>
    <s v="Donor_021"/>
    <d v="2025-02-04T00:00:00"/>
    <s v="North"/>
    <s v="SchoolLunchFund"/>
    <m/>
    <n v="9674"/>
    <s v="UPI"/>
    <x v="13"/>
    <d v="2025-04-05T00:00:00"/>
    <s v="ACTIVE"/>
    <m/>
    <m/>
    <m/>
    <m/>
  </r>
  <r>
    <n v="460"/>
    <s v="Donor_083"/>
    <d v="2024-12-30T00:00:00"/>
    <s v="South"/>
    <s v="EmergencyFoodBank"/>
    <m/>
    <n v="11166"/>
    <s v="Credit Card"/>
    <x v="9"/>
    <d v="2025-06-21T00:00:00"/>
    <s v="ACTIVE"/>
    <m/>
    <m/>
    <m/>
    <m/>
  </r>
  <r>
    <n v="63"/>
    <s v="Donor_089"/>
    <d v="2024-09-03T00:00:00"/>
    <s v="West"/>
    <s v="EmergencyFoodBank"/>
    <m/>
    <n v="294"/>
    <s v="UPI"/>
    <x v="0"/>
    <d v="2025-05-16T00:00:00"/>
    <s v="ACTIVE"/>
    <m/>
    <m/>
    <m/>
    <m/>
  </r>
  <r>
    <n v="913"/>
    <s v="Donor_104"/>
    <d v="2024-09-28T00:00:00"/>
    <s v="North"/>
    <s v="WinterMealDrive"/>
    <m/>
    <n v="1667"/>
    <s v="Credit Card"/>
    <x v="0"/>
    <d v="2025-05-08T00:00:00"/>
    <s v="ACTIVE"/>
    <m/>
    <m/>
    <m/>
    <m/>
  </r>
  <r>
    <n v="780"/>
    <s v="Donor_048"/>
    <d v="2025-02-22T00:00:00"/>
    <s v="West"/>
    <s v="FloodReliefMeals"/>
    <m/>
    <n v="2382"/>
    <s v="Credit Card"/>
    <x v="13"/>
    <d v="2025-06-08T00:00:00"/>
    <s v="ACTIVE"/>
    <m/>
    <m/>
    <m/>
    <m/>
  </r>
  <r>
    <n v="458"/>
    <s v="Donor_002"/>
    <d v="2024-11-28T00:00:00"/>
    <s v="South"/>
    <s v="FloodReliefMeals"/>
    <m/>
    <n v="958"/>
    <s v="Credit Card"/>
    <x v="4"/>
    <d v="2025-04-12T00:00:00"/>
    <s v="ACTIVE"/>
    <m/>
    <m/>
    <m/>
    <m/>
  </r>
  <r>
    <n v="1612"/>
    <s v="Donor_080"/>
    <d v="2024-11-08T00:00:00"/>
    <s v="North"/>
    <s v="WinterMealDrive"/>
    <m/>
    <n v="821"/>
    <s v="UPI"/>
    <x v="4"/>
    <d v="2025-05-11T00:00:00"/>
    <s v="ACTIVE"/>
    <m/>
    <m/>
    <m/>
    <m/>
  </r>
  <r>
    <n v="479"/>
    <s v="Donor_082"/>
    <d v="2024-01-12T00:00:00"/>
    <s v="West"/>
    <s v="WinterMealDrive"/>
    <m/>
    <n v="2524"/>
    <s v="Bank Transfer"/>
    <x v="10"/>
    <d v="2025-06-02T00:00:00"/>
    <s v="ACTIVE"/>
    <m/>
    <m/>
    <m/>
    <m/>
  </r>
  <r>
    <n v="1369"/>
    <s v="Donor_070"/>
    <d v="2024-08-02T00:00:00"/>
    <s v="North"/>
    <s v="SchoolLunchFund"/>
    <m/>
    <n v="403"/>
    <s v="Bank Transfer"/>
    <x v="1"/>
    <d v="2025-03-27T00:00:00"/>
    <s v="ACTIVE"/>
    <m/>
    <m/>
    <m/>
    <m/>
  </r>
  <r>
    <n v="1343"/>
    <s v="Donor_105"/>
    <d v="2024-04-01T00:00:00"/>
    <s v="South"/>
    <s v="RamadanFeeding"/>
    <m/>
    <n v="1269"/>
    <s v="Bank Transfer"/>
    <x v="3"/>
    <d v="2025-06-15T00:00:00"/>
    <s v="ACTIVE"/>
    <m/>
    <m/>
    <m/>
    <m/>
  </r>
  <r>
    <n v="618"/>
    <s v="Donor_004"/>
    <d v="2024-09-07T00:00:00"/>
    <s v="North"/>
    <s v="FloodReliefMeals"/>
    <m/>
    <n v="359"/>
    <s v="UPI"/>
    <x v="0"/>
    <d v="2025-05-26T00:00:00"/>
    <s v="ACTIVE"/>
    <m/>
    <m/>
    <m/>
    <m/>
  </r>
  <r>
    <n v="1676"/>
    <s v="Donor_034"/>
    <d v="2024-05-20T00:00:00"/>
    <s v="West"/>
    <s v="RamadanFeeding"/>
    <m/>
    <n v="1794"/>
    <s v="Cheque"/>
    <x v="15"/>
    <d v="2025-06-21T00:00:00"/>
    <s v="ACTIVE"/>
    <m/>
    <m/>
    <m/>
    <m/>
  </r>
  <r>
    <n v="1197"/>
    <s v="Donor_024"/>
    <d v="2024-08-07T00:00:00"/>
    <s v="East"/>
    <s v="RamadanFeeding"/>
    <m/>
    <n v="1969"/>
    <s v="Bank Transfer"/>
    <x v="1"/>
    <d v="2025-06-07T00:00:00"/>
    <s v="ACTIVE"/>
    <m/>
    <m/>
    <m/>
    <m/>
  </r>
  <r>
    <n v="1289"/>
    <s v="Donor_098"/>
    <d v="2024-08-17T00:00:00"/>
    <s v="North"/>
    <s v="YearEndGiving"/>
    <m/>
    <n v="8296"/>
    <s v="Cash"/>
    <x v="1"/>
    <d v="2025-06-20T00:00:00"/>
    <s v="ACTIVE"/>
    <m/>
    <m/>
    <m/>
    <m/>
  </r>
  <r>
    <n v="1470"/>
    <s v="Donor_105"/>
    <d v="2024-09-21T00:00:00"/>
    <s v="West"/>
    <s v="SchoolLunchFund"/>
    <m/>
    <n v="2340"/>
    <s v="Cash"/>
    <x v="0"/>
    <d v="2025-06-15T00:00:00"/>
    <s v="ACTIVE"/>
    <m/>
    <m/>
    <m/>
    <m/>
  </r>
  <r>
    <n v="348"/>
    <s v="Donor_049"/>
    <d v="2024-02-08T00:00:00"/>
    <s v="East"/>
    <s v="YearEndGiving"/>
    <m/>
    <n v="0"/>
    <s v="UPI"/>
    <x v="14"/>
    <d v="2025-06-19T00:00:00"/>
    <s v="ACTIVE"/>
    <m/>
    <m/>
    <m/>
    <m/>
  </r>
  <r>
    <n v="818"/>
    <s v="Donor_040"/>
    <d v="2025-04-19T00:00:00"/>
    <s v="West"/>
    <s v="FloodReliefMeals"/>
    <m/>
    <n v="769"/>
    <s v="Cash"/>
    <x v="17"/>
    <d v="2025-05-15T00:00:00"/>
    <s v="ACTIVE"/>
    <m/>
    <m/>
    <m/>
    <m/>
  </r>
  <r>
    <n v="1088"/>
    <s v="Donor_097"/>
    <d v="2024-01-21T00:00:00"/>
    <s v="Central"/>
    <s v="WinterMealDrive"/>
    <m/>
    <n v="9592"/>
    <s v="Cash"/>
    <x v="10"/>
    <d v="2025-06-04T00:00:00"/>
    <s v="ACTIVE"/>
    <m/>
    <m/>
    <m/>
    <m/>
  </r>
  <r>
    <n v="766"/>
    <s v="Donor_082"/>
    <d v="2024-07-24T00:00:00"/>
    <s v="South"/>
    <s v="WinterMealDrive"/>
    <m/>
    <n v="4379"/>
    <s v="Cash"/>
    <x v="5"/>
    <d v="2025-06-02T00:00:00"/>
    <s v="ACTIVE"/>
    <m/>
    <m/>
    <m/>
    <m/>
  </r>
  <r>
    <n v="447"/>
    <s v="Donor_068"/>
    <d v="2025-03-21T00:00:00"/>
    <s v="Central"/>
    <s v="FloodReliefMeals"/>
    <m/>
    <n v="4963"/>
    <s v="Credit Card"/>
    <x v="6"/>
    <d v="2025-05-16T00:00:00"/>
    <s v="ACTIVE"/>
    <m/>
    <m/>
    <m/>
    <m/>
  </r>
  <r>
    <n v="651"/>
    <s v="Donor_084"/>
    <d v="2024-03-19T00:00:00"/>
    <s v="East"/>
    <s v="YearEndGiving"/>
    <m/>
    <n v="2433"/>
    <s v="Cheque"/>
    <x v="8"/>
    <d v="2025-05-13T00:00:00"/>
    <s v="ACTIVE"/>
    <m/>
    <m/>
    <m/>
    <m/>
  </r>
  <r>
    <n v="1123"/>
    <s v="Donor_034"/>
    <d v="2025-03-26T00:00:00"/>
    <s v="North"/>
    <s v="RamadanFeeding"/>
    <m/>
    <n v="5157"/>
    <s v="Bank Transfer"/>
    <x v="6"/>
    <d v="2025-06-21T00:00:00"/>
    <s v="ACTIVE"/>
    <m/>
    <m/>
    <m/>
    <m/>
  </r>
  <r>
    <n v="1624"/>
    <s v="Donor_020"/>
    <d v="2024-05-13T00:00:00"/>
    <s v="North"/>
    <s v="EmergencyFoodBank"/>
    <m/>
    <n v="854"/>
    <s v="Bank Transfer"/>
    <x v="15"/>
    <d v="2025-05-31T00:00:00"/>
    <s v="ACTIVE"/>
    <m/>
    <m/>
    <m/>
    <m/>
  </r>
  <r>
    <n v="380"/>
    <s v="Donor_077"/>
    <d v="2024-11-26T00:00:00"/>
    <s v="North"/>
    <s v="EmergencyFoodBank"/>
    <m/>
    <n v="2491"/>
    <s v="Cheque"/>
    <x v="4"/>
    <d v="2025-06-21T00:00:00"/>
    <s v="ACTIVE"/>
    <m/>
    <m/>
    <m/>
    <m/>
  </r>
  <r>
    <n v="565"/>
    <s v="Donor_063"/>
    <d v="2024-03-12T00:00:00"/>
    <s v="South"/>
    <s v="YearEndGiving"/>
    <m/>
    <n v="654"/>
    <s v="Cash"/>
    <x v="8"/>
    <d v="2025-04-20T00:00:00"/>
    <s v="ACTIVE"/>
    <m/>
    <m/>
    <m/>
    <m/>
  </r>
  <r>
    <n v="1572"/>
    <s v="Donor_069"/>
    <d v="2025-04-26T00:00:00"/>
    <s v="NOT KNOWN"/>
    <s v="SchoolLunchFund"/>
    <m/>
    <n v="329"/>
    <s v="Cash"/>
    <x v="17"/>
    <d v="2025-06-13T00:00:00"/>
    <s v="ACTIVE"/>
    <m/>
    <m/>
    <m/>
    <m/>
  </r>
  <r>
    <n v="1451"/>
    <s v="Donor_054"/>
    <d v="2024-07-03T00:00:00"/>
    <s v="North"/>
    <s v="WinterMealDrive"/>
    <m/>
    <n v="5423"/>
    <s v="Cheque"/>
    <x v="5"/>
    <d v="2025-06-18T00:00:00"/>
    <s v="ACTIVE"/>
    <m/>
    <m/>
    <m/>
    <m/>
  </r>
  <r>
    <n v="1730"/>
    <s v="Donor_003"/>
    <d v="2025-01-21T00:00:00"/>
    <s v="Central"/>
    <s v="SchoolLunchFund"/>
    <m/>
    <n v="1213"/>
    <s v="UPI"/>
    <x v="7"/>
    <d v="2025-05-08T00:00:00"/>
    <s v="ACTIVE"/>
    <m/>
    <m/>
    <m/>
    <m/>
  </r>
  <r>
    <n v="1349"/>
    <s v="Donor_027"/>
    <d v="2025-02-19T00:00:00"/>
    <s v="South"/>
    <s v="WinterMealDrive"/>
    <m/>
    <n v="477"/>
    <s v="UPI"/>
    <x v="13"/>
    <d v="2025-06-06T00:00:00"/>
    <s v="ACTIVE"/>
    <m/>
    <m/>
    <m/>
    <m/>
  </r>
  <r>
    <n v="232"/>
    <s v="Donor_002"/>
    <d v="2025-01-29T00:00:00"/>
    <s v="East"/>
    <s v="RamadanFeeding"/>
    <m/>
    <n v="834"/>
    <s v="Cheque"/>
    <x v="7"/>
    <d v="2025-04-12T00:00:00"/>
    <s v="ACTIVE"/>
    <m/>
    <m/>
    <m/>
    <m/>
  </r>
  <r>
    <n v="1639"/>
    <s v="Donor_019"/>
    <d v="2024-05-01T00:00:00"/>
    <s v="East"/>
    <s v="SchoolLunchFund"/>
    <m/>
    <n v="881"/>
    <s v="Cheque"/>
    <x v="15"/>
    <d v="2025-05-28T00:00:00"/>
    <s v="ACTIVE"/>
    <m/>
    <m/>
    <m/>
    <m/>
  </r>
  <r>
    <n v="383"/>
    <s v="Donor_031"/>
    <d v="2025-04-01T00:00:00"/>
    <s v="Central"/>
    <s v="YearEndGiving"/>
    <m/>
    <n v="2367"/>
    <s v="Bank Transfer"/>
    <x v="17"/>
    <d v="2025-05-17T00:00:00"/>
    <s v="ACTIVE"/>
    <m/>
    <m/>
    <m/>
    <m/>
  </r>
  <r>
    <n v="1618"/>
    <s v="Donor_095"/>
    <d v="2024-08-07T00:00:00"/>
    <s v="West"/>
    <s v="SchoolLunchFund"/>
    <m/>
    <n v="1093"/>
    <s v="Bank Transfer"/>
    <x v="1"/>
    <d v="2025-05-17T00:00:00"/>
    <s v="ACTIVE"/>
    <m/>
    <m/>
    <m/>
    <m/>
  </r>
  <r>
    <n v="1085"/>
    <s v="Donor_079"/>
    <d v="2024-04-22T00:00:00"/>
    <s v="Central"/>
    <s v="FloodReliefMeals"/>
    <m/>
    <n v="1563"/>
    <s v="UPI"/>
    <x v="3"/>
    <d v="2025-06-07T00:00:00"/>
    <s v="ACTIVE"/>
    <m/>
    <m/>
    <m/>
    <m/>
  </r>
  <r>
    <n v="73"/>
    <s v="Donor_055"/>
    <d v="2024-07-21T00:00:00"/>
    <s v="North"/>
    <s v="YearEndGiving"/>
    <m/>
    <n v="2118"/>
    <s v="Bank Transfer"/>
    <x v="5"/>
    <d v="2025-05-11T00:00:00"/>
    <s v="ACTIVE"/>
    <m/>
    <m/>
    <m/>
    <m/>
  </r>
  <r>
    <n v="71"/>
    <s v="Donor_081"/>
    <d v="2024-07-31T00:00:00"/>
    <s v="South"/>
    <s v="FloodReliefMeals"/>
    <m/>
    <n v="863"/>
    <s v="Credit Card"/>
    <x v="5"/>
    <d v="2025-06-07T00:00:00"/>
    <s v="ACTIVE"/>
    <m/>
    <m/>
    <m/>
    <m/>
  </r>
  <r>
    <n v="978"/>
    <s v="Donor_004"/>
    <d v="2024-04-15T00:00:00"/>
    <s v="South"/>
    <s v="WinterMealDrive"/>
    <m/>
    <n v="428"/>
    <s v="Bank Transfer"/>
    <x v="3"/>
    <d v="2025-05-26T00:00:00"/>
    <s v="ACTIVE"/>
    <m/>
    <m/>
    <m/>
    <m/>
  </r>
  <r>
    <n v="834"/>
    <s v="Donor_085"/>
    <d v="2025-02-27T00:00:00"/>
    <s v="South"/>
    <s v="WinterMealDrive"/>
    <m/>
    <n v="4033"/>
    <s v="Bank Transfer"/>
    <x v="13"/>
    <d v="2025-06-22T00:00:00"/>
    <s v="ACTIVE"/>
    <m/>
    <m/>
    <m/>
    <m/>
  </r>
  <r>
    <n v="172"/>
    <s v="Donor_012"/>
    <d v="2024-01-24T00:00:00"/>
    <s v="West"/>
    <s v="YearEndGiving"/>
    <m/>
    <n v="356"/>
    <s v="Credit Card"/>
    <x v="10"/>
    <d v="2025-06-23T00:00:00"/>
    <s v="ACTIVE"/>
    <m/>
    <m/>
    <m/>
    <m/>
  </r>
  <r>
    <n v="1057"/>
    <s v="Donor_104"/>
    <d v="2024-08-04T00:00:00"/>
    <s v="East"/>
    <s v="YearEndGiving"/>
    <m/>
    <n v="11134"/>
    <s v="Bank Transfer"/>
    <x v="1"/>
    <d v="2025-05-08T00:00:00"/>
    <s v="ACTIVE"/>
    <m/>
    <m/>
    <m/>
    <m/>
  </r>
  <r>
    <n v="169"/>
    <s v="Donor_078"/>
    <d v="2024-12-14T00:00:00"/>
    <s v="South"/>
    <s v="FloodReliefMeals"/>
    <m/>
    <n v="5468"/>
    <s v="Bank Transfer"/>
    <x v="9"/>
    <d v="2025-03-13T00:00:00"/>
    <s v="LAPSED"/>
    <m/>
    <m/>
    <m/>
    <m/>
  </r>
  <r>
    <n v="494"/>
    <s v="Donor_075"/>
    <d v="2024-05-21T00:00:00"/>
    <s v="Central"/>
    <s v="EmergencyFoodBank"/>
    <m/>
    <n v="2290"/>
    <s v="Bank Transfer"/>
    <x v="15"/>
    <d v="2025-04-29T00:00:00"/>
    <s v="ACTIVE"/>
    <m/>
    <m/>
    <m/>
    <m/>
  </r>
  <r>
    <n v="1426"/>
    <s v="Donor_096"/>
    <d v="2024-05-29T00:00:00"/>
    <s v="Central"/>
    <s v="FloodReliefMeals"/>
    <m/>
    <n v="405"/>
    <s v="Credit Card"/>
    <x v="15"/>
    <d v="2025-06-04T00:00:00"/>
    <s v="ACTIVE"/>
    <m/>
    <m/>
    <m/>
    <m/>
  </r>
  <r>
    <n v="1418"/>
    <s v="Donor_091"/>
    <d v="2024-06-28T00:00:00"/>
    <s v="NOT KNOWN"/>
    <s v="EmergencyFoodBank"/>
    <m/>
    <n v="1730"/>
    <s v="Cheque"/>
    <x v="2"/>
    <d v="2025-05-16T00:00:00"/>
    <s v="ACTIVE"/>
    <m/>
    <m/>
    <m/>
    <m/>
  </r>
  <r>
    <n v="1584"/>
    <s v="Donor_089"/>
    <d v="2024-02-06T00:00:00"/>
    <s v="West"/>
    <s v="WinterMealDrive"/>
    <m/>
    <n v="5847"/>
    <s v="Credit Card"/>
    <x v="14"/>
    <d v="2025-05-16T00:00:00"/>
    <s v="ACTIVE"/>
    <m/>
    <m/>
    <m/>
    <m/>
  </r>
  <r>
    <n v="273"/>
    <s v="Donor_017"/>
    <d v="2024-11-20T00:00:00"/>
    <s v="NOT KNOWN"/>
    <s v="YearEndGiving"/>
    <m/>
    <n v="710"/>
    <s v="Credit Card"/>
    <x v="4"/>
    <d v="2025-02-02T00:00:00"/>
    <s v="LAPSED"/>
    <m/>
    <m/>
    <m/>
    <m/>
  </r>
  <r>
    <n v="1749"/>
    <s v="Donor_098"/>
    <d v="2025-06-20T00:00:00"/>
    <s v="South"/>
    <s v="FloodReliefMeals"/>
    <m/>
    <n v="1452"/>
    <s v="UPI"/>
    <x v="16"/>
    <d v="2025-06-20T00:00:00"/>
    <s v="ACTIVE"/>
    <m/>
    <m/>
    <m/>
    <m/>
  </r>
  <r>
    <n v="421"/>
    <s v="Donor_082"/>
    <d v="2024-06-28T00:00:00"/>
    <s v="West"/>
    <s v="RamadanFeeding"/>
    <m/>
    <n v="440"/>
    <s v="Cheque"/>
    <x v="2"/>
    <d v="2025-06-02T00:00:00"/>
    <s v="ACTIVE"/>
    <m/>
    <m/>
    <m/>
    <m/>
  </r>
  <r>
    <n v="95"/>
    <s v="Donor_080"/>
    <d v="2024-07-13T00:00:00"/>
    <s v="East"/>
    <s v="EmergencyFoodBank"/>
    <m/>
    <n v="1577"/>
    <s v="UPI"/>
    <x v="5"/>
    <d v="2025-05-11T00:00:00"/>
    <s v="ACTIVE"/>
    <m/>
    <m/>
    <m/>
    <m/>
  </r>
  <r>
    <n v="1241"/>
    <s v="Donor_110"/>
    <d v="2025-03-26T00:00:00"/>
    <s v="West"/>
    <s v="YearEndGiving"/>
    <m/>
    <n v="8149"/>
    <s v="Cash"/>
    <x v="6"/>
    <d v="2025-06-04T00:00:00"/>
    <s v="ACTIVE"/>
    <m/>
    <m/>
    <m/>
    <m/>
  </r>
  <r>
    <n v="1430"/>
    <s v="Donor_054"/>
    <d v="2024-07-18T00:00:00"/>
    <s v="Central"/>
    <s v="SchoolLunchFund"/>
    <m/>
    <n v="840"/>
    <s v="Credit Card"/>
    <x v="5"/>
    <d v="2025-06-18T00:00:00"/>
    <s v="ACTIVE"/>
    <m/>
    <m/>
    <m/>
    <m/>
  </r>
  <r>
    <n v="1544"/>
    <s v="Donor_055"/>
    <d v="2025-05-11T00:00:00"/>
    <s v="Central"/>
    <s v="EmergencyFoodBank"/>
    <m/>
    <n v="1573"/>
    <s v="Cheque"/>
    <x v="11"/>
    <d v="2025-05-11T00:00:00"/>
    <s v="ACTIVE"/>
    <m/>
    <m/>
    <m/>
    <m/>
  </r>
  <r>
    <n v="43"/>
    <s v="Donor_102"/>
    <d v="2025-04-29T00:00:00"/>
    <s v="South"/>
    <s v="EmergencyFoodBank"/>
    <m/>
    <n v="914"/>
    <s v="Cheque"/>
    <x v="17"/>
    <d v="2025-04-29T00:00:00"/>
    <s v="ACTIVE"/>
    <m/>
    <m/>
    <m/>
    <m/>
  </r>
  <r>
    <n v="57"/>
    <s v="Donor_074"/>
    <d v="2024-11-15T00:00:00"/>
    <s v="West"/>
    <s v="RamadanFeeding"/>
    <m/>
    <n v="1661"/>
    <s v="Credit Card"/>
    <x v="4"/>
    <d v="2025-06-18T00:00:00"/>
    <s v="ACTIVE"/>
    <m/>
    <m/>
    <m/>
    <m/>
  </r>
  <r>
    <n v="1447"/>
    <s v="Donor_056"/>
    <d v="2025-05-08T00:00:00"/>
    <s v="West"/>
    <s v="WinterMealDrive"/>
    <m/>
    <n v="10918"/>
    <s v="Bank Transfer"/>
    <x v="11"/>
    <d v="2025-05-08T00:00:00"/>
    <s v="ACTIVE"/>
    <m/>
    <m/>
    <m/>
    <m/>
  </r>
  <r>
    <n v="985"/>
    <s v="Donor_029"/>
    <d v="2024-05-13T00:00:00"/>
    <s v="East"/>
    <s v="RamadanFeeding"/>
    <m/>
    <n v="344"/>
    <s v="Cheque"/>
    <x v="15"/>
    <d v="2025-06-05T00:00:00"/>
    <s v="ACTIVE"/>
    <m/>
    <m/>
    <m/>
    <m/>
  </r>
  <r>
    <n v="1170"/>
    <s v="Donor_097"/>
    <d v="2025-05-18T00:00:00"/>
    <s v="South"/>
    <s v="FloodReliefMeals"/>
    <m/>
    <n v="4591"/>
    <s v="Cash"/>
    <x v="11"/>
    <d v="2025-06-04T00:00:00"/>
    <s v="ACTIVE"/>
    <m/>
    <m/>
    <m/>
    <m/>
  </r>
  <r>
    <n v="1704"/>
    <s v="Donor_112"/>
    <d v="2024-05-29T00:00:00"/>
    <s v="South"/>
    <s v="WinterMealDrive"/>
    <m/>
    <n v="856"/>
    <s v="Credit Card"/>
    <x v="15"/>
    <d v="2025-05-26T00:00:00"/>
    <s v="ACTIVE"/>
    <m/>
    <m/>
    <m/>
    <m/>
  </r>
  <r>
    <n v="39"/>
    <s v="Donor_033"/>
    <d v="2024-07-13T00:00:00"/>
    <s v="North"/>
    <s v="EmergencyFoodBank"/>
    <m/>
    <n v="601"/>
    <s v="Cheque"/>
    <x v="5"/>
    <d v="2025-06-21T00:00:00"/>
    <s v="ACTIVE"/>
    <m/>
    <m/>
    <m/>
    <m/>
  </r>
  <r>
    <n v="307"/>
    <s v="Donor_094"/>
    <d v="2024-11-10T00:00:00"/>
    <s v="East"/>
    <s v="SchoolLunchFund"/>
    <m/>
    <n v="1637"/>
    <s v="Cheque"/>
    <x v="4"/>
    <d v="2025-06-19T00:00:00"/>
    <s v="ACTIVE"/>
    <m/>
    <m/>
    <m/>
    <m/>
  </r>
  <r>
    <n v="825"/>
    <s v="Donor_014"/>
    <d v="2024-04-01T00:00:00"/>
    <s v="Central"/>
    <s v="FloodReliefMeals"/>
    <m/>
    <n v="1361"/>
    <s v="Credit Card"/>
    <x v="3"/>
    <d v="2025-06-03T00:00:00"/>
    <s v="ACTIVE"/>
    <m/>
    <m/>
    <m/>
    <m/>
  </r>
  <r>
    <n v="955"/>
    <s v="Donor_105"/>
    <d v="2025-06-15T00:00:00"/>
    <s v="Central"/>
    <s v="FloodReliefMeals"/>
    <m/>
    <n v="4341"/>
    <s v="Cheque"/>
    <x v="16"/>
    <d v="2025-06-15T00:00:00"/>
    <s v="ACTIVE"/>
    <m/>
    <m/>
    <m/>
    <m/>
  </r>
  <r>
    <n v="893"/>
    <s v="Donor_039"/>
    <d v="2024-12-17T00:00:00"/>
    <s v="West"/>
    <s v="SchoolLunchFund"/>
    <m/>
    <n v="10883"/>
    <s v="UPI"/>
    <x v="9"/>
    <d v="2025-04-25T00:00:00"/>
    <s v="ACTIVE"/>
    <m/>
    <m/>
    <m/>
    <m/>
  </r>
  <r>
    <n v="783"/>
    <s v="Donor_002"/>
    <d v="2024-09-24T00:00:00"/>
    <s v="NOT KNOWN"/>
    <s v="FloodReliefMeals"/>
    <m/>
    <n v="5566"/>
    <s v="Cash"/>
    <x v="0"/>
    <d v="2025-04-12T00:00:00"/>
    <s v="ACTIVE"/>
    <m/>
    <m/>
    <m/>
    <m/>
  </r>
  <r>
    <n v="409"/>
    <s v="Donor_028"/>
    <d v="2024-03-28T00:00:00"/>
    <s v="West"/>
    <s v="YearEndGiving"/>
    <m/>
    <n v="344"/>
    <s v="Credit Card"/>
    <x v="8"/>
    <d v="2025-03-09T00:00:00"/>
    <s v="LAPSED"/>
    <m/>
    <m/>
    <m/>
    <m/>
  </r>
  <r>
    <n v="1125"/>
    <s v="Donor_027"/>
    <d v="2024-10-22T00:00:00"/>
    <s v="East"/>
    <s v="EmergencyFoodBank"/>
    <m/>
    <n v="10206"/>
    <s v="Bank Transfer"/>
    <x v="12"/>
    <d v="2025-06-06T00:00:00"/>
    <s v="ACTIVE"/>
    <m/>
    <m/>
    <m/>
    <m/>
  </r>
  <r>
    <n v="782"/>
    <s v="Donor_043"/>
    <d v="2024-07-24T00:00:00"/>
    <s v="South"/>
    <s v="EmergencyFoodBank"/>
    <m/>
    <n v="4500"/>
    <s v="Bank Transfer"/>
    <x v="5"/>
    <d v="2025-06-13T00:00:00"/>
    <s v="ACTIVE"/>
    <m/>
    <m/>
    <m/>
    <m/>
  </r>
  <r>
    <n v="167"/>
    <s v="Donor_006"/>
    <d v="2024-03-24T00:00:00"/>
    <s v="Central"/>
    <s v="FloodReliefMeals"/>
    <m/>
    <n v="2214"/>
    <s v="Cash"/>
    <x v="8"/>
    <d v="2025-06-06T00:00:00"/>
    <s v="ACTIVE"/>
    <m/>
    <m/>
    <m/>
    <m/>
  </r>
  <r>
    <n v="535"/>
    <s v="Donor_015"/>
    <d v="2025-05-01T00:00:00"/>
    <s v="East"/>
    <s v="RamadanFeeding"/>
    <m/>
    <n v="341"/>
    <s v="Bank Transfer"/>
    <x v="11"/>
    <d v="2025-05-02T00:00:00"/>
    <s v="ACTIVE"/>
    <m/>
    <m/>
    <m/>
    <m/>
  </r>
  <r>
    <n v="584"/>
    <s v="Donor_006"/>
    <d v="2025-04-09T00:00:00"/>
    <s v="North"/>
    <s v="EmergencyFoodBank"/>
    <m/>
    <n v="585"/>
    <s v="Credit Card"/>
    <x v="17"/>
    <d v="2025-06-06T00:00:00"/>
    <s v="ACTIVE"/>
    <m/>
    <m/>
    <m/>
    <m/>
  </r>
  <r>
    <n v="1356"/>
    <s v="Donor_016"/>
    <d v="2024-07-28T00:00:00"/>
    <s v="North"/>
    <s v="RamadanFeeding"/>
    <m/>
    <n v="1209"/>
    <s v="UPI"/>
    <x v="5"/>
    <d v="2025-06-17T00:00:00"/>
    <s v="ACTIVE"/>
    <m/>
    <m/>
    <m/>
    <m/>
  </r>
  <r>
    <n v="1720"/>
    <s v="Donor_092"/>
    <d v="2025-05-07T00:00:00"/>
    <s v="West"/>
    <s v="WinterMealDrive"/>
    <m/>
    <n v="510"/>
    <s v="Bank Transfer"/>
    <x v="11"/>
    <d v="2025-05-07T00:00:00"/>
    <s v="ACTIVE"/>
    <m/>
    <m/>
    <m/>
    <m/>
  </r>
  <r>
    <n v="1295"/>
    <s v="Donor_116"/>
    <d v="2025-01-07T00:00:00"/>
    <s v="West"/>
    <s v="YearEndGiving"/>
    <m/>
    <n v="712"/>
    <s v="Bank Transfer"/>
    <x v="7"/>
    <d v="2025-06-11T00:00:00"/>
    <s v="ACTIVE"/>
    <m/>
    <m/>
    <m/>
    <m/>
  </r>
  <r>
    <n v="1147"/>
    <s v="Donor_059"/>
    <d v="2024-12-19T00:00:00"/>
    <s v="Central"/>
    <s v="SchoolLunchFund"/>
    <m/>
    <n v="10276"/>
    <s v="UPI"/>
    <x v="9"/>
    <d v="2025-06-16T00:00:00"/>
    <s v="ACTIVE"/>
    <m/>
    <m/>
    <m/>
    <m/>
  </r>
  <r>
    <n v="1710"/>
    <s v="Donor_066"/>
    <d v="2024-10-20T00:00:00"/>
    <s v="North"/>
    <s v="RamadanFeeding"/>
    <m/>
    <n v="5978"/>
    <s v="Bank Transfer"/>
    <x v="12"/>
    <d v="2025-03-22T00:00:00"/>
    <s v="LAPSED"/>
    <m/>
    <m/>
    <m/>
    <m/>
  </r>
  <r>
    <n v="1003"/>
    <s v="Donor_040"/>
    <d v="2025-05-15T00:00:00"/>
    <s v="North"/>
    <s v="RamadanFeeding"/>
    <m/>
    <n v="5321"/>
    <s v="UPI"/>
    <x v="11"/>
    <d v="2025-05-15T00:00:00"/>
    <s v="ACTIVE"/>
    <m/>
    <m/>
    <m/>
    <m/>
  </r>
  <r>
    <n v="1096"/>
    <s v="Donor_008"/>
    <d v="2024-08-26T00:00:00"/>
    <s v="West"/>
    <s v="FloodReliefMeals"/>
    <m/>
    <n v="693"/>
    <s v="Bank Transfer"/>
    <x v="1"/>
    <d v="2025-06-07T00:00:00"/>
    <s v="ACTIVE"/>
    <m/>
    <m/>
    <m/>
    <m/>
  </r>
  <r>
    <n v="317"/>
    <s v="Donor_024"/>
    <d v="2025-01-13T00:00:00"/>
    <s v="West"/>
    <s v="WinterMealDrive"/>
    <m/>
    <n v="2440"/>
    <s v="Bank Transfer"/>
    <x v="7"/>
    <d v="2025-06-07T00:00:00"/>
    <s v="ACTIVE"/>
    <m/>
    <m/>
    <m/>
    <m/>
  </r>
  <r>
    <n v="1169"/>
    <s v="Donor_053"/>
    <d v="2025-01-10T00:00:00"/>
    <s v="East"/>
    <s v="SchoolLunchFund"/>
    <m/>
    <n v="2236"/>
    <s v="Credit Card"/>
    <x v="7"/>
    <d v="2025-04-16T00:00:00"/>
    <s v="ACTIVE"/>
    <m/>
    <m/>
    <m/>
    <m/>
  </r>
  <r>
    <n v="1560"/>
    <s v="Donor_009"/>
    <d v="2025-02-02T00:00:00"/>
    <s v="North"/>
    <s v="WinterMealDrive"/>
    <m/>
    <n v="751"/>
    <s v="UPI"/>
    <x v="13"/>
    <d v="2025-05-15T00:00:00"/>
    <s v="ACTIVE"/>
    <m/>
    <m/>
    <m/>
    <m/>
  </r>
  <r>
    <n v="517"/>
    <s v="Donor_103"/>
    <d v="2024-07-31T00:00:00"/>
    <s v="Central"/>
    <s v="RamadanFeeding"/>
    <m/>
    <n v="0"/>
    <s v="Bank Transfer"/>
    <x v="5"/>
    <d v="2025-02-25T00:00:00"/>
    <s v="LAPSED"/>
    <m/>
    <m/>
    <m/>
    <m/>
  </r>
  <r>
    <n v="1408"/>
    <s v="Donor_022"/>
    <d v="2025-01-21T00:00:00"/>
    <s v="West"/>
    <s v="SchoolLunchFund"/>
    <m/>
    <n v="1851"/>
    <s v="Cash"/>
    <x v="7"/>
    <d v="2025-06-21T00:00:00"/>
    <s v="ACTIVE"/>
    <m/>
    <m/>
    <m/>
    <m/>
  </r>
  <r>
    <n v="1516"/>
    <s v="Donor_114"/>
    <d v="2024-09-24T00:00:00"/>
    <s v="South"/>
    <s v="RamadanFeeding"/>
    <m/>
    <n v="5273"/>
    <s v="UPI"/>
    <x v="0"/>
    <d v="2025-04-04T00:00:00"/>
    <s v="ACTIVE"/>
    <m/>
    <m/>
    <m/>
    <m/>
  </r>
  <r>
    <n v="1337"/>
    <s v="Donor_100"/>
    <d v="2025-04-21T00:00:00"/>
    <s v="South"/>
    <s v="RamadanFeeding"/>
    <m/>
    <n v="767"/>
    <s v="Cheque"/>
    <x v="17"/>
    <d v="2025-06-14T00:00:00"/>
    <s v="ACTIVE"/>
    <m/>
    <m/>
    <m/>
    <m/>
  </r>
  <r>
    <n v="534"/>
    <s v="Donor_117"/>
    <d v="2024-09-21T00:00:00"/>
    <s v="East"/>
    <s v="RamadanFeeding"/>
    <m/>
    <n v="1620"/>
    <s v="Bank Transfer"/>
    <x v="0"/>
    <d v="2025-04-05T00:00:00"/>
    <s v="ACTIVE"/>
    <m/>
    <m/>
    <m/>
    <m/>
  </r>
  <r>
    <n v="1617"/>
    <s v="Donor_119"/>
    <d v="2024-08-10T00:00:00"/>
    <s v="Central"/>
    <s v="EmergencyFoodBank"/>
    <m/>
    <n v="1774"/>
    <s v="UPI"/>
    <x v="1"/>
    <d v="2025-05-18T00:00:00"/>
    <s v="ACTIVE"/>
    <m/>
    <m/>
    <m/>
    <m/>
  </r>
  <r>
    <n v="272"/>
    <s v="Donor_064"/>
    <d v="2024-09-02T00:00:00"/>
    <s v="West"/>
    <s v="WinterMealDrive"/>
    <m/>
    <n v="0"/>
    <s v="Cheque"/>
    <x v="0"/>
    <d v="2025-06-20T00:00:00"/>
    <s v="ACTIVE"/>
    <m/>
    <m/>
    <m/>
    <m/>
  </r>
  <r>
    <n v="549"/>
    <s v="Donor_060"/>
    <d v="2024-10-13T00:00:00"/>
    <s v="Central"/>
    <s v="WinterMealDrive"/>
    <m/>
    <n v="11560"/>
    <s v="UPI"/>
    <x v="12"/>
    <d v="2025-05-20T00:00:00"/>
    <s v="ACTIVE"/>
    <m/>
    <m/>
    <m/>
    <m/>
  </r>
  <r>
    <n v="669"/>
    <s v="Donor_023"/>
    <d v="2024-09-23T00:00:00"/>
    <s v="Central"/>
    <s v="FloodReliefMeals"/>
    <m/>
    <n v="2199"/>
    <s v="Cash"/>
    <x v="0"/>
    <d v="2025-05-24T00:00:00"/>
    <s v="ACTIVE"/>
    <m/>
    <m/>
    <m/>
    <m/>
  </r>
  <r>
    <n v="1485"/>
    <s v="Donor_096"/>
    <d v="2024-03-02T00:00:00"/>
    <s v="West"/>
    <s v="YearEndGiving"/>
    <m/>
    <n v="2204"/>
    <s v="UPI"/>
    <x v="8"/>
    <d v="2025-06-04T00:00:00"/>
    <s v="ACTIVE"/>
    <m/>
    <m/>
    <m/>
    <m/>
  </r>
  <r>
    <n v="454"/>
    <s v="Donor_048"/>
    <d v="2025-05-25T00:00:00"/>
    <s v="West"/>
    <s v="EmergencyFoodBank"/>
    <m/>
    <n v="466"/>
    <s v="Credit Card"/>
    <x v="11"/>
    <d v="2025-06-08T00:00:00"/>
    <s v="ACTIVE"/>
    <m/>
    <m/>
    <m/>
    <m/>
  </r>
  <r>
    <n v="607"/>
    <s v="Donor_086"/>
    <d v="2024-02-05T00:00:00"/>
    <s v="East"/>
    <s v="FloodReliefMeals"/>
    <m/>
    <n v="1424"/>
    <s v="Cheque"/>
    <x v="14"/>
    <d v="2025-05-29T00:00:00"/>
    <s v="ACTIVE"/>
    <m/>
    <m/>
    <m/>
    <m/>
  </r>
  <r>
    <n v="1539"/>
    <s v="Donor_054"/>
    <d v="2024-12-11T00:00:00"/>
    <s v="North"/>
    <s v="WinterMealDrive"/>
    <m/>
    <n v="2934"/>
    <s v="Bank Transfer"/>
    <x v="9"/>
    <d v="2025-06-18T00:00:00"/>
    <s v="ACTIVE"/>
    <m/>
    <m/>
    <m/>
    <m/>
  </r>
  <r>
    <n v="1478"/>
    <s v="Donor_071"/>
    <d v="2025-05-19T00:00:00"/>
    <s v="South"/>
    <s v="WinterMealDrive"/>
    <m/>
    <n v="663"/>
    <s v="Cash"/>
    <x v="11"/>
    <d v="2025-06-08T00:00:00"/>
    <s v="ACTIVE"/>
    <m/>
    <m/>
    <m/>
    <m/>
  </r>
  <r>
    <n v="805"/>
    <s v="Donor_080"/>
    <d v="2024-07-13T00:00:00"/>
    <s v="NOT KNOWN"/>
    <s v="YearEndGiving"/>
    <m/>
    <n v="882"/>
    <s v="UPI"/>
    <x v="5"/>
    <d v="2025-05-11T00:00:00"/>
    <s v="ACTIVE"/>
    <m/>
    <m/>
    <m/>
    <m/>
  </r>
  <r>
    <n v="599"/>
    <s v="Donor_009"/>
    <d v="2024-02-25T00:00:00"/>
    <s v="East"/>
    <s v="FloodReliefMeals"/>
    <m/>
    <n v="298"/>
    <s v="Cheque"/>
    <x v="14"/>
    <d v="2025-05-15T00:00:00"/>
    <s v="ACTIVE"/>
    <m/>
    <m/>
    <m/>
    <m/>
  </r>
  <r>
    <n v="1428"/>
    <s v="Donor_005"/>
    <d v="2025-06-10T00:00:00"/>
    <s v="Central"/>
    <s v="EmergencyFoodBank"/>
    <m/>
    <n v="8269"/>
    <s v="Credit Card"/>
    <x v="16"/>
    <d v="2025-06-10T00:00:00"/>
    <s v="ACTIVE"/>
    <m/>
    <m/>
    <m/>
    <m/>
  </r>
  <r>
    <n v="936"/>
    <s v="Donor_073"/>
    <d v="2024-05-06T00:00:00"/>
    <s v="West"/>
    <s v="WinterMealDrive"/>
    <m/>
    <n v="5718"/>
    <s v="Cash"/>
    <x v="15"/>
    <d v="2025-06-23T00:00:00"/>
    <s v="ACTIVE"/>
    <m/>
    <m/>
    <m/>
    <m/>
  </r>
  <r>
    <n v="752"/>
    <s v="Donor_085"/>
    <d v="2024-07-17T00:00:00"/>
    <s v="Central"/>
    <s v="EmergencyFoodBank"/>
    <m/>
    <n v="1239"/>
    <s v="Credit Card"/>
    <x v="5"/>
    <d v="2025-06-22T00:00:00"/>
    <s v="ACTIVE"/>
    <m/>
    <m/>
    <m/>
    <m/>
  </r>
  <r>
    <n v="571"/>
    <s v="Donor_063"/>
    <d v="2025-01-02T00:00:00"/>
    <s v="North"/>
    <s v="EmergencyFoodBank"/>
    <m/>
    <n v="328"/>
    <s v="Credit Card"/>
    <x v="7"/>
    <d v="2025-04-20T00:00:00"/>
    <s v="ACTIVE"/>
    <m/>
    <m/>
    <m/>
    <m/>
  </r>
  <r>
    <n v="944"/>
    <s v="Donor_024"/>
    <d v="2024-09-22T00:00:00"/>
    <s v="North"/>
    <s v="WinterMealDrive"/>
    <m/>
    <n v="703"/>
    <s v="Bank Transfer"/>
    <x v="0"/>
    <d v="2025-06-07T00:00:00"/>
    <s v="ACTIVE"/>
    <m/>
    <m/>
    <m/>
    <m/>
  </r>
  <r>
    <n v="62"/>
    <s v="Donor_036"/>
    <d v="2024-12-14T00:00:00"/>
    <s v="Central"/>
    <s v="EmergencyFoodBank"/>
    <m/>
    <n v="2556"/>
    <s v="Cheque"/>
    <x v="9"/>
    <d v="2025-06-07T00:00:00"/>
    <s v="ACTIVE"/>
    <m/>
    <m/>
    <m/>
    <m/>
  </r>
  <r>
    <n v="1254"/>
    <s v="Donor_102"/>
    <d v="2024-09-09T00:00:00"/>
    <s v="Central"/>
    <s v="YearEndGiving"/>
    <m/>
    <n v="1258"/>
    <s v="Cheque"/>
    <x v="0"/>
    <d v="2025-04-29T00:00:00"/>
    <s v="ACTIVE"/>
    <m/>
    <m/>
    <m/>
    <m/>
  </r>
  <r>
    <n v="537"/>
    <s v="Donor_062"/>
    <d v="2024-06-11T00:00:00"/>
    <s v="West"/>
    <s v="WinterMealDrive"/>
    <m/>
    <n v="4416"/>
    <s v="Cheque"/>
    <x v="2"/>
    <d v="2025-05-17T00:00:00"/>
    <s v="ACTIVE"/>
    <m/>
    <m/>
    <m/>
    <m/>
  </r>
  <r>
    <n v="1794"/>
    <s v="Donor_075"/>
    <d v="2024-11-06T00:00:00"/>
    <s v="East"/>
    <s v="FloodReliefMeals"/>
    <m/>
    <n v="2656"/>
    <s v="Cash"/>
    <x v="4"/>
    <d v="2025-04-29T00:00:00"/>
    <s v="ACTIVE"/>
    <m/>
    <m/>
    <m/>
    <m/>
  </r>
  <r>
    <n v="1700"/>
    <s v="Donor_110"/>
    <d v="2024-09-26T00:00:00"/>
    <s v="South"/>
    <s v="EmergencyFoodBank"/>
    <m/>
    <n v="623"/>
    <s v="UPI"/>
    <x v="0"/>
    <d v="2025-06-04T00:00:00"/>
    <s v="ACTIVE"/>
    <m/>
    <m/>
    <m/>
    <m/>
  </r>
  <r>
    <n v="1234"/>
    <s v="Donor_068"/>
    <d v="2024-11-14T00:00:00"/>
    <s v="North"/>
    <s v="EmergencyFoodBank"/>
    <m/>
    <n v="268"/>
    <s v="Cash"/>
    <x v="4"/>
    <d v="2025-05-16T00:00:00"/>
    <s v="ACTIVE"/>
    <m/>
    <m/>
    <m/>
    <m/>
  </r>
  <r>
    <n v="245"/>
    <s v="Donor_067"/>
    <d v="2024-09-06T00:00:00"/>
    <s v="South"/>
    <s v="YearEndGiving"/>
    <m/>
    <n v="1399"/>
    <s v="Cash"/>
    <x v="0"/>
    <d v="2025-06-15T00:00:00"/>
    <s v="ACTIVE"/>
    <m/>
    <m/>
    <m/>
    <m/>
  </r>
  <r>
    <n v="26"/>
    <s v="Donor_080"/>
    <d v="2024-02-10T00:00:00"/>
    <s v="North"/>
    <s v="RamadanFeeding"/>
    <m/>
    <n v="9265"/>
    <s v="Bank Transfer"/>
    <x v="14"/>
    <d v="2025-05-11T00:00:00"/>
    <s v="ACTIVE"/>
    <m/>
    <m/>
    <m/>
    <m/>
  </r>
  <r>
    <n v="1514"/>
    <s v="Donor_011"/>
    <d v="2024-06-12T00:00:00"/>
    <s v="Central"/>
    <s v="SchoolLunchFund"/>
    <m/>
    <n v="9907"/>
    <s v="Cash"/>
    <x v="2"/>
    <d v="2025-06-04T00:00:00"/>
    <s v="ACTIVE"/>
    <m/>
    <m/>
    <m/>
    <m/>
  </r>
  <r>
    <n v="223"/>
    <s v="Donor_012"/>
    <d v="2024-02-02T00:00:00"/>
    <s v="West"/>
    <s v="RamadanFeeding"/>
    <m/>
    <n v="766"/>
    <s v="UPI"/>
    <x v="14"/>
    <d v="2025-06-23T00:00:00"/>
    <s v="ACTIVE"/>
    <m/>
    <m/>
    <m/>
    <m/>
  </r>
  <r>
    <n v="1310"/>
    <s v="Donor_017"/>
    <d v="2024-12-16T00:00:00"/>
    <s v="East"/>
    <s v="EmergencyFoodBank"/>
    <m/>
    <n v="2552"/>
    <s v="Cash"/>
    <x v="9"/>
    <d v="2025-02-02T00:00:00"/>
    <s v="LAPSED"/>
    <m/>
    <m/>
    <m/>
    <m/>
  </r>
  <r>
    <n v="106"/>
    <s v="Donor_017"/>
    <d v="2024-05-28T00:00:00"/>
    <s v="Central"/>
    <s v="FloodReliefMeals"/>
    <m/>
    <n v="1266"/>
    <s v="UPI"/>
    <x v="15"/>
    <d v="2025-02-02T00:00:00"/>
    <s v="LAPSED"/>
    <m/>
    <m/>
    <m/>
    <m/>
  </r>
  <r>
    <n v="674"/>
    <s v="Donor_038"/>
    <d v="2024-01-30T00:00:00"/>
    <s v="East"/>
    <s v="SchoolLunchFund"/>
    <m/>
    <n v="349"/>
    <s v="Bank Transfer"/>
    <x v="10"/>
    <d v="2025-04-26T00:00:00"/>
    <s v="ACTIVE"/>
    <m/>
    <m/>
    <m/>
    <m/>
  </r>
  <r>
    <n v="643"/>
    <s v="Donor_061"/>
    <d v="2025-04-26T00:00:00"/>
    <s v="Central"/>
    <s v="SchoolLunchFund"/>
    <m/>
    <n v="8223"/>
    <s v="Bank Transfer"/>
    <x v="17"/>
    <d v="2025-05-21T00:00:00"/>
    <s v="ACTIVE"/>
    <m/>
    <m/>
    <m/>
    <m/>
  </r>
  <r>
    <n v="1153"/>
    <s v="Donor_076"/>
    <d v="2025-04-16T00:00:00"/>
    <s v="West"/>
    <s v="EmergencyFoodBank"/>
    <m/>
    <n v="5083"/>
    <s v="Cash"/>
    <x v="17"/>
    <d v="2025-06-08T00:00:00"/>
    <s v="ACTIVE"/>
    <m/>
    <m/>
    <m/>
    <m/>
  </r>
  <r>
    <n v="666"/>
    <s v="Donor_106"/>
    <d v="2024-04-12T00:00:00"/>
    <s v="South"/>
    <s v="EmergencyFoodBank"/>
    <m/>
    <n v="2506"/>
    <s v="Bank Transfer"/>
    <x v="3"/>
    <d v="2025-06-11T00:00:00"/>
    <s v="ACTIVE"/>
    <m/>
    <m/>
    <m/>
    <m/>
  </r>
  <r>
    <n v="510"/>
    <s v="Donor_007"/>
    <d v="2024-07-31T00:00:00"/>
    <s v="South"/>
    <s v="SchoolLunchFund"/>
    <m/>
    <n v="531"/>
    <s v="UPI"/>
    <x v="5"/>
    <d v="2025-06-21T00:00:00"/>
    <s v="ACTIVE"/>
    <m/>
    <m/>
    <m/>
    <m/>
  </r>
  <r>
    <n v="132"/>
    <s v="Donor_047"/>
    <d v="2024-06-11T00:00:00"/>
    <s v="East"/>
    <s v="FloodReliefMeals"/>
    <m/>
    <n v="723"/>
    <s v="Bank Transfer"/>
    <x v="2"/>
    <d v="2025-05-04T00:00:00"/>
    <s v="ACTIVE"/>
    <m/>
    <m/>
    <m/>
    <m/>
  </r>
  <r>
    <n v="1277"/>
    <s v="Donor_001"/>
    <d v="2024-10-24T00:00:00"/>
    <s v="South"/>
    <s v="EmergencyFoodBank"/>
    <m/>
    <n v="5969"/>
    <s v="Cash"/>
    <x v="12"/>
    <d v="2025-05-18T00:00:00"/>
    <s v="ACTIVE"/>
    <m/>
    <m/>
    <m/>
    <m/>
  </r>
  <r>
    <n v="445"/>
    <s v="Donor_057"/>
    <d v="2024-10-17T00:00:00"/>
    <s v="South"/>
    <s v="SchoolLunchFund"/>
    <m/>
    <n v="11354"/>
    <s v="UPI"/>
    <x v="12"/>
    <d v="2025-03-30T00:00:00"/>
    <s v="ACTIVE"/>
    <m/>
    <m/>
    <m/>
    <m/>
  </r>
  <r>
    <n v="1521"/>
    <s v="Donor_064"/>
    <d v="2025-04-30T00:00:00"/>
    <s v="South"/>
    <s v="YearEndGiving"/>
    <m/>
    <n v="1902"/>
    <s v="Credit Card"/>
    <x v="17"/>
    <d v="2025-06-20T00:00:00"/>
    <s v="ACTIVE"/>
    <m/>
    <m/>
    <m/>
    <m/>
  </r>
  <r>
    <n v="509"/>
    <s v="Donor_059"/>
    <d v="2025-05-02T00:00:00"/>
    <s v="West"/>
    <s v="RamadanFeeding"/>
    <m/>
    <n v="1040"/>
    <s v="UPI"/>
    <x v="11"/>
    <d v="2025-06-16T00:00:00"/>
    <s v="ACTIVE"/>
    <m/>
    <m/>
    <m/>
    <m/>
  </r>
  <r>
    <n v="1216"/>
    <s v="Donor_022"/>
    <d v="2025-06-21T00:00:00"/>
    <s v="South"/>
    <s v="WinterMealDrive"/>
    <m/>
    <n v="470"/>
    <s v="Credit Card"/>
    <x v="16"/>
    <d v="2025-06-21T00:00:00"/>
    <s v="ACTIVE"/>
    <m/>
    <m/>
    <m/>
    <m/>
  </r>
  <r>
    <n v="1589"/>
    <s v="Donor_088"/>
    <d v="2024-12-05T00:00:00"/>
    <s v="West"/>
    <s v="YearEndGiving"/>
    <m/>
    <n v="406"/>
    <s v="UPI"/>
    <x v="9"/>
    <d v="2025-05-21T00:00:00"/>
    <s v="ACTIVE"/>
    <m/>
    <m/>
    <m/>
    <m/>
  </r>
  <r>
    <n v="882"/>
    <s v="Donor_016"/>
    <d v="2024-09-29T00:00:00"/>
    <s v="West"/>
    <s v="RamadanFeeding"/>
    <m/>
    <n v="9982"/>
    <s v="Credit Card"/>
    <x v="0"/>
    <d v="2025-06-17T00:00:00"/>
    <s v="ACTIVE"/>
    <m/>
    <m/>
    <m/>
    <m/>
  </r>
  <r>
    <n v="76"/>
    <s v="Donor_074"/>
    <d v="2024-10-02T00:00:00"/>
    <s v="North"/>
    <s v="SchoolLunchFund"/>
    <m/>
    <n v="302"/>
    <s v="Cash"/>
    <x v="12"/>
    <d v="2025-06-18T00:00:00"/>
    <s v="ACTIVE"/>
    <m/>
    <m/>
    <m/>
    <m/>
  </r>
  <r>
    <n v="37"/>
    <s v="Donor_083"/>
    <d v="2024-12-25T00:00:00"/>
    <s v="Central"/>
    <s v="RamadanFeeding"/>
    <m/>
    <n v="9325"/>
    <s v="UPI"/>
    <x v="9"/>
    <d v="2025-06-21T00:00:00"/>
    <s v="ACTIVE"/>
    <m/>
    <m/>
    <m/>
    <m/>
  </r>
  <r>
    <n v="1605"/>
    <s v="Donor_023"/>
    <d v="2024-10-21T00:00:00"/>
    <s v="Central"/>
    <s v="SchoolLunchFund"/>
    <m/>
    <n v="2958"/>
    <s v="UPI"/>
    <x v="12"/>
    <d v="2025-05-24T00:00:00"/>
    <s v="ACTIVE"/>
    <m/>
    <m/>
    <m/>
    <m/>
  </r>
  <r>
    <n v="58"/>
    <s v="Donor_102"/>
    <d v="2024-05-03T00:00:00"/>
    <s v="Central"/>
    <s v="WinterMealDrive"/>
    <m/>
    <n v="0"/>
    <s v="Bank Transfer"/>
    <x v="15"/>
    <d v="2025-04-29T00:00:00"/>
    <s v="ACTIVE"/>
    <m/>
    <m/>
    <m/>
    <m/>
  </r>
  <r>
    <n v="197"/>
    <s v="Donor_058"/>
    <d v="2025-06-22T00:00:00"/>
    <s v="Central"/>
    <s v="EmergencyFoodBank"/>
    <m/>
    <n v="4156"/>
    <s v="Cheque"/>
    <x v="16"/>
    <d v="2025-06-22T00:00:00"/>
    <s v="ACTIVE"/>
    <m/>
    <m/>
    <m/>
    <m/>
  </r>
  <r>
    <n v="1501"/>
    <s v="Donor_081"/>
    <d v="2025-01-10T00:00:00"/>
    <s v="East"/>
    <s v="EmergencyFoodBank"/>
    <m/>
    <n v="646"/>
    <s v="UPI"/>
    <x v="7"/>
    <d v="2025-06-07T00:00:00"/>
    <s v="ACTIVE"/>
    <m/>
    <m/>
    <m/>
    <m/>
  </r>
  <r>
    <n v="904"/>
    <s v="Donor_073"/>
    <d v="2024-07-12T00:00:00"/>
    <s v="West"/>
    <s v="EmergencyFoodBank"/>
    <m/>
    <n v="1589"/>
    <s v="UPI"/>
    <x v="5"/>
    <d v="2025-06-23T00:00:00"/>
    <s v="ACTIVE"/>
    <m/>
    <m/>
    <m/>
    <m/>
  </r>
  <r>
    <n v="1040"/>
    <s v="Donor_010"/>
    <d v="2024-03-19T00:00:00"/>
    <s v="East"/>
    <s v="YearEndGiving"/>
    <m/>
    <n v="1996"/>
    <s v="Bank Transfer"/>
    <x v="8"/>
    <d v="2025-06-01T00:00:00"/>
    <s v="ACTIVE"/>
    <m/>
    <m/>
    <m/>
    <m/>
  </r>
  <r>
    <n v="322"/>
    <s v="Donor_059"/>
    <d v="2025-06-16T00:00:00"/>
    <s v="North"/>
    <s v="EmergencyFoodBank"/>
    <m/>
    <n v="11127"/>
    <s v="UPI"/>
    <x v="16"/>
    <d v="2025-06-16T00:00:00"/>
    <s v="ACTIVE"/>
    <m/>
    <m/>
    <m/>
    <m/>
  </r>
  <r>
    <n v="1659"/>
    <s v="Donor_013"/>
    <d v="2025-01-26T00:00:00"/>
    <s v="South"/>
    <s v="SchoolLunchFund"/>
    <m/>
    <n v="274"/>
    <s v="UPI"/>
    <x v="7"/>
    <d v="2025-04-28T00:00:00"/>
    <s v="ACTIVE"/>
    <m/>
    <m/>
    <m/>
    <m/>
  </r>
  <r>
    <n v="968"/>
    <s v="Donor_102"/>
    <d v="2024-06-18T00:00:00"/>
    <s v="South"/>
    <s v="EmergencyFoodBank"/>
    <m/>
    <n v="292"/>
    <s v="Cash"/>
    <x v="2"/>
    <d v="2025-04-29T00:00:00"/>
    <s v="ACTIVE"/>
    <m/>
    <m/>
    <m/>
    <m/>
  </r>
  <r>
    <n v="478"/>
    <s v="Donor_011"/>
    <d v="2025-01-25T00:00:00"/>
    <s v="North"/>
    <s v="FloodReliefMeals"/>
    <m/>
    <n v="5760"/>
    <s v="Cash"/>
    <x v="7"/>
    <d v="2025-06-04T00:00:00"/>
    <s v="ACTIVE"/>
    <m/>
    <m/>
    <m/>
    <m/>
  </r>
  <r>
    <n v="87"/>
    <s v="Donor_002"/>
    <d v="2025-04-12T00:00:00"/>
    <s v="South"/>
    <s v="RamadanFeeding"/>
    <m/>
    <n v="1245"/>
    <s v="Bank Transfer"/>
    <x v="17"/>
    <d v="2025-04-12T00:00:00"/>
    <s v="ACTIVE"/>
    <m/>
    <m/>
    <m/>
    <m/>
  </r>
  <r>
    <n v="1672"/>
    <s v="Donor_024"/>
    <d v="2025-02-11T00:00:00"/>
    <s v="East"/>
    <s v="EmergencyFoodBank"/>
    <m/>
    <n v="577"/>
    <s v="Cash"/>
    <x v="13"/>
    <d v="2025-06-07T00:00:00"/>
    <s v="ACTIVE"/>
    <m/>
    <m/>
    <m/>
    <m/>
  </r>
  <r>
    <n v="562"/>
    <s v="Donor_091"/>
    <d v="2024-05-04T00:00:00"/>
    <s v="North"/>
    <s v="WinterMealDrive"/>
    <m/>
    <n v="1426"/>
    <s v="Cheque"/>
    <x v="15"/>
    <d v="2025-05-16T00:00:00"/>
    <s v="ACTIVE"/>
    <m/>
    <m/>
    <m/>
    <m/>
  </r>
  <r>
    <n v="772"/>
    <s v="Donor_120"/>
    <d v="2024-12-12T00:00:00"/>
    <s v="South"/>
    <s v="FloodReliefMeals"/>
    <m/>
    <n v="269"/>
    <s v="Bank Transfer"/>
    <x v="9"/>
    <d v="2025-06-19T00:00:00"/>
    <s v="ACTIVE"/>
    <m/>
    <m/>
    <m/>
    <m/>
  </r>
  <r>
    <n v="335"/>
    <s v="Donor_034"/>
    <d v="2024-10-10T00:00:00"/>
    <s v="East"/>
    <s v="SchoolLunchFund"/>
    <m/>
    <n v="1510"/>
    <s v="Credit Card"/>
    <x v="12"/>
    <d v="2025-06-21T00:00:00"/>
    <s v="ACTIVE"/>
    <m/>
    <m/>
    <m/>
    <m/>
  </r>
  <r>
    <n v="1118"/>
    <s v="Donor_019"/>
    <d v="2025-05-28T00:00:00"/>
    <s v="East"/>
    <s v="WinterMealDrive"/>
    <m/>
    <n v="1466"/>
    <s v="Bank Transfer"/>
    <x v="11"/>
    <d v="2025-05-28T00:00:00"/>
    <s v="ACTIVE"/>
    <m/>
    <m/>
    <m/>
    <m/>
  </r>
  <r>
    <n v="1253"/>
    <s v="Donor_091"/>
    <d v="2024-09-24T00:00:00"/>
    <s v="East"/>
    <s v="FloodReliefMeals"/>
    <m/>
    <n v="711"/>
    <s v="Credit Card"/>
    <x v="0"/>
    <d v="2025-05-16T00:00:00"/>
    <s v="ACTIVE"/>
    <m/>
    <m/>
    <m/>
    <m/>
  </r>
  <r>
    <n v="1645"/>
    <s v="Donor_048"/>
    <d v="2024-12-22T00:00:00"/>
    <s v="East"/>
    <s v="RamadanFeeding"/>
    <m/>
    <n v="1767"/>
    <s v="Bank Transfer"/>
    <x v="9"/>
    <d v="2025-06-08T00:00:00"/>
    <s v="ACTIVE"/>
    <m/>
    <m/>
    <m/>
    <m/>
  </r>
  <r>
    <n v="1098"/>
    <s v="Donor_118"/>
    <d v="2024-03-24T00:00:00"/>
    <s v="North"/>
    <s v="RamadanFeeding"/>
    <m/>
    <n v="950"/>
    <s v="UPI"/>
    <x v="8"/>
    <d v="2025-04-19T00:00:00"/>
    <s v="ACTIVE"/>
    <m/>
    <m/>
    <m/>
    <m/>
  </r>
  <r>
    <n v="709"/>
    <s v="Donor_101"/>
    <d v="2024-12-14T00:00:00"/>
    <s v="East"/>
    <s v="WinterMealDrive"/>
    <m/>
    <n v="9070"/>
    <s v="Credit Card"/>
    <x v="9"/>
    <d v="2025-05-11T00:00:00"/>
    <s v="ACTIVE"/>
    <m/>
    <m/>
    <m/>
    <m/>
  </r>
  <r>
    <n v="1166"/>
    <s v="Donor_111"/>
    <d v="2025-04-26T00:00:00"/>
    <s v="West"/>
    <s v="WinterMealDrive"/>
    <m/>
    <n v="887"/>
    <s v="Cheque"/>
    <x v="17"/>
    <d v="2025-04-26T00:00:00"/>
    <s v="ACTIVE"/>
    <m/>
    <m/>
    <m/>
    <m/>
  </r>
  <r>
    <n v="1406"/>
    <s v="Donor_109"/>
    <d v="2025-01-28T00:00:00"/>
    <s v="Central"/>
    <s v="RamadanFeeding"/>
    <m/>
    <n v="508"/>
    <s v="Bank Transfer"/>
    <x v="7"/>
    <d v="2025-06-22T00:00:00"/>
    <s v="ACTIVE"/>
    <m/>
    <m/>
    <m/>
    <m/>
  </r>
  <r>
    <n v="191"/>
    <s v="Donor_064"/>
    <d v="2025-06-20T00:00:00"/>
    <s v="South"/>
    <s v="YearEndGiving"/>
    <m/>
    <n v="273"/>
    <s v="UPI"/>
    <x v="16"/>
    <d v="2025-06-20T00:00:00"/>
    <s v="ACTIVE"/>
    <m/>
    <m/>
    <m/>
    <m/>
  </r>
  <r>
    <n v="1217"/>
    <s v="Donor_110"/>
    <d v="2025-03-01T00:00:00"/>
    <s v="Central"/>
    <s v="RamadanFeeding"/>
    <m/>
    <n v="1714"/>
    <s v="UPI"/>
    <x v="6"/>
    <d v="2025-06-04T00:00:00"/>
    <s v="ACTIVE"/>
    <m/>
    <m/>
    <m/>
    <m/>
  </r>
  <r>
    <n v="1480"/>
    <s v="Donor_052"/>
    <d v="2024-04-27T00:00:00"/>
    <s v="Central"/>
    <s v="SchoolLunchFund"/>
    <m/>
    <n v="2691"/>
    <s v="Cheque"/>
    <x v="3"/>
    <d v="2025-06-13T00:00:00"/>
    <s v="ACTIVE"/>
    <m/>
    <m/>
    <m/>
    <m/>
  </r>
  <r>
    <n v="539"/>
    <s v="Donor_009"/>
    <d v="2025-02-19T00:00:00"/>
    <s v="Central"/>
    <s v="WinterMealDrive"/>
    <m/>
    <n v="698"/>
    <s v="UPI"/>
    <x v="13"/>
    <d v="2025-05-15T00:00:00"/>
    <s v="ACTIVE"/>
    <m/>
    <m/>
    <m/>
    <m/>
  </r>
  <r>
    <n v="1071"/>
    <s v="Donor_037"/>
    <d v="2024-12-21T00:00:00"/>
    <s v="South"/>
    <s v="WinterMealDrive"/>
    <m/>
    <n v="2274"/>
    <s v="Cash"/>
    <x v="9"/>
    <d v="2025-05-23T00:00:00"/>
    <s v="ACTIVE"/>
    <m/>
    <m/>
    <m/>
    <m/>
  </r>
  <r>
    <n v="1302"/>
    <s v="Donor_090"/>
    <d v="2025-04-25T00:00:00"/>
    <s v="East"/>
    <s v="EmergencyFoodBank"/>
    <m/>
    <n v="2381"/>
    <s v="Credit Card"/>
    <x v="17"/>
    <d v="2025-04-25T00:00:00"/>
    <s v="ACTIVE"/>
    <m/>
    <m/>
    <m/>
    <m/>
  </r>
  <r>
    <n v="1068"/>
    <s v="Donor_115"/>
    <d v="2024-06-04T00:00:00"/>
    <s v="North"/>
    <s v="YearEndGiving"/>
    <m/>
    <n v="5348"/>
    <s v="Cash"/>
    <x v="2"/>
    <d v="2025-06-20T00:00:00"/>
    <s v="ACTIVE"/>
    <m/>
    <m/>
    <m/>
    <m/>
  </r>
  <r>
    <n v="1402"/>
    <s v="Donor_119"/>
    <d v="2024-09-30T00:00:00"/>
    <s v="Central"/>
    <s v="FloodReliefMeals"/>
    <m/>
    <n v="1721"/>
    <s v="Cheque"/>
    <x v="0"/>
    <d v="2025-05-18T00:00:00"/>
    <s v="ACTIVE"/>
    <m/>
    <m/>
    <m/>
    <m/>
  </r>
  <r>
    <n v="916"/>
    <s v="Donor_050"/>
    <d v="2024-09-08T00:00:00"/>
    <s v="West"/>
    <s v="YearEndGiving"/>
    <m/>
    <n v="305"/>
    <s v="Cash"/>
    <x v="0"/>
    <d v="2025-06-18T00:00:00"/>
    <s v="ACTIVE"/>
    <m/>
    <m/>
    <m/>
    <m/>
  </r>
  <r>
    <n v="419"/>
    <s v="Donor_021"/>
    <d v="2024-02-23T00:00:00"/>
    <s v="West"/>
    <s v="EmergencyFoodBank"/>
    <m/>
    <n v="561"/>
    <s v="Credit Card"/>
    <x v="14"/>
    <d v="2025-04-05T00:00:00"/>
    <s v="ACTIVE"/>
    <m/>
    <m/>
    <m/>
    <m/>
  </r>
  <r>
    <n v="1195"/>
    <s v="Donor_076"/>
    <d v="2024-06-03T00:00:00"/>
    <s v="East"/>
    <s v="YearEndGiving"/>
    <m/>
    <n v="2049"/>
    <s v="Cash"/>
    <x v="2"/>
    <d v="2025-06-08T00:00:00"/>
    <s v="ACTIVE"/>
    <m/>
    <m/>
    <m/>
    <m/>
  </r>
  <r>
    <n v="1694"/>
    <s v="Donor_110"/>
    <d v="2024-05-13T00:00:00"/>
    <s v="South"/>
    <s v="RamadanFeeding"/>
    <m/>
    <n v="5401"/>
    <s v="UPI"/>
    <x v="15"/>
    <d v="2025-06-04T00:00:00"/>
    <s v="ACTIVE"/>
    <m/>
    <m/>
    <m/>
    <m/>
  </r>
  <r>
    <n v="1667"/>
    <s v="Donor_061"/>
    <d v="2025-03-04T00:00:00"/>
    <s v="East"/>
    <s v="RamadanFeeding"/>
    <m/>
    <n v="1132"/>
    <s v="Credit Card"/>
    <x v="6"/>
    <d v="2025-05-21T00:00:00"/>
    <s v="ACTIVE"/>
    <m/>
    <m/>
    <m/>
    <m/>
  </r>
  <r>
    <n v="574"/>
    <s v="Donor_063"/>
    <d v="2024-05-24T00:00:00"/>
    <s v="North"/>
    <s v="RamadanFeeding"/>
    <m/>
    <n v="449"/>
    <s v="Credit Card"/>
    <x v="15"/>
    <d v="2025-04-20T00:00:00"/>
    <s v="ACTIVE"/>
    <m/>
    <m/>
    <m/>
    <m/>
  </r>
  <r>
    <n v="921"/>
    <s v="Donor_011"/>
    <d v="2024-05-24T00:00:00"/>
    <s v="South"/>
    <s v="WinterMealDrive"/>
    <m/>
    <n v="514"/>
    <s v="Cash"/>
    <x v="15"/>
    <d v="2025-06-04T00:00:00"/>
    <s v="ACTIVE"/>
    <m/>
    <m/>
    <m/>
    <m/>
  </r>
  <r>
    <n v="1540"/>
    <s v="Donor_081"/>
    <d v="2025-01-10T00:00:00"/>
    <s v="North"/>
    <s v="FloodReliefMeals"/>
    <m/>
    <n v="1994"/>
    <s v="Cash"/>
    <x v="7"/>
    <d v="2025-06-07T00:00:00"/>
    <s v="ACTIVE"/>
    <m/>
    <m/>
    <m/>
    <m/>
  </r>
  <r>
    <n v="333"/>
    <s v="Donor_055"/>
    <d v="2024-10-08T00:00:00"/>
    <s v="West"/>
    <s v="FloodReliefMeals"/>
    <m/>
    <n v="270"/>
    <s v="Cash"/>
    <x v="12"/>
    <d v="2025-05-11T00:00:00"/>
    <s v="ACTIVE"/>
    <m/>
    <m/>
    <m/>
    <m/>
  </r>
  <r>
    <n v="852"/>
    <s v="Donor_031"/>
    <d v="2024-05-01T00:00:00"/>
    <s v="West"/>
    <s v="RamadanFeeding"/>
    <m/>
    <n v="2688"/>
    <s v="Credit Card"/>
    <x v="15"/>
    <d v="2025-05-17T00:00:00"/>
    <s v="ACTIVE"/>
    <m/>
    <m/>
    <m/>
    <m/>
  </r>
  <r>
    <n v="811"/>
    <s v="Donor_119"/>
    <d v="2024-08-31T00:00:00"/>
    <s v="Central"/>
    <s v="RamadanFeeding"/>
    <m/>
    <n v="4269"/>
    <s v="Bank Transfer"/>
    <x v="1"/>
    <d v="2025-05-18T00:00:00"/>
    <s v="ACTIVE"/>
    <m/>
    <m/>
    <m/>
    <m/>
  </r>
  <r>
    <n v="736"/>
    <s v="Donor_111"/>
    <d v="2024-01-25T00:00:00"/>
    <s v="Central"/>
    <s v="FloodReliefMeals"/>
    <m/>
    <n v="677"/>
    <s v="UPI"/>
    <x v="10"/>
    <d v="2025-04-26T00:00:00"/>
    <s v="ACTIVE"/>
    <m/>
    <m/>
    <m/>
    <m/>
  </r>
  <r>
    <n v="902"/>
    <s v="Donor_093"/>
    <d v="2024-04-18T00:00:00"/>
    <s v="West"/>
    <s v="EmergencyFoodBank"/>
    <m/>
    <n v="2870"/>
    <s v="Cheque"/>
    <x v="3"/>
    <d v="2025-03-24T00:00:00"/>
    <s v="LAPSED"/>
    <m/>
    <m/>
    <m/>
    <m/>
  </r>
  <r>
    <n v="1631"/>
    <s v="Donor_019"/>
    <d v="2024-04-27T00:00:00"/>
    <s v="West"/>
    <s v="WinterMealDrive"/>
    <m/>
    <n v="1639"/>
    <s v="UPI"/>
    <x v="3"/>
    <d v="2025-05-28T00:00:00"/>
    <s v="ACTIVE"/>
    <m/>
    <m/>
    <m/>
    <m/>
  </r>
  <r>
    <n v="575"/>
    <s v="Donor_059"/>
    <d v="2024-04-09T00:00:00"/>
    <s v="Central"/>
    <s v="SchoolLunchFund"/>
    <m/>
    <n v="1127"/>
    <s v="UPI"/>
    <x v="3"/>
    <d v="2025-06-16T00:00:00"/>
    <s v="ACTIVE"/>
    <m/>
    <m/>
    <m/>
    <m/>
  </r>
  <r>
    <n v="1558"/>
    <s v="Donor_100"/>
    <d v="2024-07-15T00:00:00"/>
    <s v="East"/>
    <s v="RamadanFeeding"/>
    <m/>
    <n v="8596"/>
    <s v="Cheque"/>
    <x v="5"/>
    <d v="2025-06-14T00:00:00"/>
    <s v="ACTIVE"/>
    <m/>
    <m/>
    <m/>
    <m/>
  </r>
  <r>
    <n v="1329"/>
    <s v="Donor_104"/>
    <d v="2025-01-17T00:00:00"/>
    <s v="South"/>
    <s v="FloodReliefMeals"/>
    <m/>
    <n v="248"/>
    <s v="Cash"/>
    <x v="7"/>
    <d v="2025-05-08T00:00:00"/>
    <s v="ACTIVE"/>
    <m/>
    <m/>
    <m/>
    <m/>
  </r>
  <r>
    <n v="1585"/>
    <s v="Donor_004"/>
    <d v="2024-07-10T00:00:00"/>
    <s v="Central"/>
    <s v="RamadanFeeding"/>
    <m/>
    <n v="2380"/>
    <s v="UPI"/>
    <x v="5"/>
    <d v="2025-05-26T00:00:00"/>
    <s v="ACTIVE"/>
    <m/>
    <m/>
    <m/>
    <m/>
  </r>
  <r>
    <n v="1652"/>
    <s v="Donor_026"/>
    <d v="2024-12-07T00:00:00"/>
    <s v="South"/>
    <s v="YearEndGiving"/>
    <m/>
    <n v="647"/>
    <s v="Cash"/>
    <x v="9"/>
    <d v="2025-05-28T00:00:00"/>
    <s v="ACTIVE"/>
    <m/>
    <m/>
    <m/>
    <m/>
  </r>
  <r>
    <n v="1464"/>
    <s v="Donor_119"/>
    <d v="2025-05-05T00:00:00"/>
    <s v="East"/>
    <s v="WinterMealDrive"/>
    <m/>
    <n v="5707"/>
    <s v="Cash"/>
    <x v="11"/>
    <d v="2025-05-18T00:00:00"/>
    <s v="ACTIVE"/>
    <m/>
    <m/>
    <m/>
    <m/>
  </r>
  <r>
    <n v="1045"/>
    <s v="Donor_049"/>
    <d v="2024-07-29T00:00:00"/>
    <s v="South"/>
    <s v="EmergencyFoodBank"/>
    <m/>
    <n v="760"/>
    <s v="Bank Transfer"/>
    <x v="5"/>
    <d v="2025-06-19T00:00:00"/>
    <s v="ACTIVE"/>
    <m/>
    <m/>
    <m/>
    <m/>
  </r>
  <r>
    <n v="1601"/>
    <s v="Donor_090"/>
    <d v="2024-05-04T00:00:00"/>
    <s v="Central"/>
    <s v="YearEndGiving"/>
    <m/>
    <n v="307"/>
    <s v="Cheque"/>
    <x v="15"/>
    <d v="2025-04-25T00:00:00"/>
    <s v="ACTIVE"/>
    <m/>
    <m/>
    <m/>
    <m/>
  </r>
  <r>
    <n v="1419"/>
    <s v="Donor_068"/>
    <d v="2025-04-16T00:00:00"/>
    <s v="West"/>
    <s v="EmergencyFoodBank"/>
    <m/>
    <n v="765"/>
    <s v="Cash"/>
    <x v="17"/>
    <d v="2025-05-16T00:00:00"/>
    <s v="ACTIVE"/>
    <m/>
    <m/>
    <m/>
    <m/>
  </r>
  <r>
    <n v="9"/>
    <s v="Donor_019"/>
    <d v="2025-04-14T00:00:00"/>
    <s v="East"/>
    <s v="SchoolLunchFund"/>
    <m/>
    <n v="2196"/>
    <s v="Cheque"/>
    <x v="17"/>
    <d v="2025-05-28T00:00:00"/>
    <s v="ACTIVE"/>
    <m/>
    <m/>
    <m/>
    <m/>
  </r>
  <r>
    <n v="1035"/>
    <s v="Donor_029"/>
    <d v="2025-06-03T00:00:00"/>
    <s v="East"/>
    <s v="RamadanFeeding"/>
    <m/>
    <n v="276"/>
    <s v="Credit Card"/>
    <x v="16"/>
    <d v="2025-06-05T00:00:00"/>
    <s v="ACTIVE"/>
    <m/>
    <m/>
    <m/>
    <m/>
  </r>
  <r>
    <n v="1677"/>
    <s v="Donor_012"/>
    <d v="2024-03-05T00:00:00"/>
    <s v="East"/>
    <s v="WinterMealDrive"/>
    <m/>
    <n v="2399"/>
    <s v="UPI"/>
    <x v="8"/>
    <d v="2025-06-23T00:00:00"/>
    <s v="ACTIVE"/>
    <m/>
    <m/>
    <m/>
    <m/>
  </r>
  <r>
    <n v="1561"/>
    <s v="Donor_007"/>
    <d v="2024-01-27T00:00:00"/>
    <s v="North"/>
    <s v="RamadanFeeding"/>
    <m/>
    <n v="8224"/>
    <s v="Bank Transfer"/>
    <x v="10"/>
    <d v="2025-06-21T00:00:00"/>
    <s v="ACTIVE"/>
    <m/>
    <m/>
    <m/>
    <m/>
  </r>
  <r>
    <n v="1222"/>
    <s v="Donor_042"/>
    <d v="2025-02-10T00:00:00"/>
    <s v="North"/>
    <s v="YearEndGiving"/>
    <m/>
    <n v="298"/>
    <s v="Bank Transfer"/>
    <x v="13"/>
    <d v="2025-02-10T00:00:00"/>
    <s v="LAPSED"/>
    <m/>
    <m/>
    <m/>
    <m/>
  </r>
  <r>
    <n v="1622"/>
    <s v="Donor_024"/>
    <d v="2024-04-29T00:00:00"/>
    <s v="West"/>
    <s v="YearEndGiving"/>
    <m/>
    <n v="240"/>
    <s v="Cheque"/>
    <x v="3"/>
    <d v="2025-06-07T00:00:00"/>
    <s v="ACTIVE"/>
    <m/>
    <m/>
    <m/>
    <m/>
  </r>
  <r>
    <n v="305"/>
    <s v="Donor_010"/>
    <d v="2025-01-08T00:00:00"/>
    <s v="East"/>
    <s v="EmergencyFoodBank"/>
    <m/>
    <n v="776"/>
    <s v="Bank Transfer"/>
    <x v="7"/>
    <d v="2025-06-01T00:00:00"/>
    <s v="ACTIVE"/>
    <m/>
    <m/>
    <m/>
    <m/>
  </r>
  <r>
    <n v="1368"/>
    <s v="Donor_092"/>
    <d v="2024-07-11T00:00:00"/>
    <s v="North"/>
    <s v="YearEndGiving"/>
    <m/>
    <n v="998"/>
    <s v="UPI"/>
    <x v="5"/>
    <d v="2025-05-07T00:00:00"/>
    <s v="ACTIVE"/>
    <m/>
    <m/>
    <m/>
    <m/>
  </r>
  <r>
    <n v="1571"/>
    <s v="Donor_006"/>
    <d v="2025-06-06T00:00:00"/>
    <s v="North"/>
    <s v="RamadanFeeding"/>
    <m/>
    <n v="2285"/>
    <s v="UPI"/>
    <x v="16"/>
    <d v="2025-06-06T00:00:00"/>
    <s v="ACTIVE"/>
    <m/>
    <m/>
    <m/>
    <m/>
  </r>
  <r>
    <n v="75"/>
    <s v="Donor_095"/>
    <d v="2025-03-18T00:00:00"/>
    <s v="East"/>
    <s v="YearEndGiving"/>
    <m/>
    <n v="2026"/>
    <s v="Credit Card"/>
    <x v="6"/>
    <d v="2025-05-17T00:00:00"/>
    <s v="ACTIVE"/>
    <m/>
    <m/>
    <m/>
    <m/>
  </r>
  <r>
    <n v="1548"/>
    <s v="Donor_092"/>
    <d v="2024-01-17T00:00:00"/>
    <s v="West"/>
    <s v="FloodReliefMeals"/>
    <m/>
    <n v="1442"/>
    <s v="Cheque"/>
    <x v="10"/>
    <d v="2025-05-07T00:00:00"/>
    <s v="ACTIVE"/>
    <m/>
    <m/>
    <m/>
    <m/>
  </r>
  <r>
    <n v="523"/>
    <s v="Donor_091"/>
    <d v="2024-11-11T00:00:00"/>
    <s v="East"/>
    <s v="EmergencyFoodBank"/>
    <m/>
    <n v="454"/>
    <s v="UPI"/>
    <x v="4"/>
    <d v="2025-05-16T00:00:00"/>
    <s v="ACTIVE"/>
    <m/>
    <m/>
    <m/>
    <m/>
  </r>
  <r>
    <n v="336"/>
    <s v="Donor_088"/>
    <d v="2024-11-23T00:00:00"/>
    <s v="South"/>
    <s v="EmergencyFoodBank"/>
    <m/>
    <n v="531"/>
    <s v="Bank Transfer"/>
    <x v="4"/>
    <d v="2025-05-21T00:00:00"/>
    <s v="ACTIVE"/>
    <m/>
    <m/>
    <m/>
    <m/>
  </r>
  <r>
    <n v="570"/>
    <s v="Donor_083"/>
    <d v="2024-10-23T00:00:00"/>
    <s v="South"/>
    <s v="SchoolLunchFund"/>
    <m/>
    <n v="8157"/>
    <s v="Cash"/>
    <x v="12"/>
    <d v="2025-06-21T00:00:00"/>
    <s v="ACTIVE"/>
    <m/>
    <m/>
    <m/>
    <m/>
  </r>
  <r>
    <n v="591"/>
    <s v="Donor_054"/>
    <d v="2024-01-06T00:00:00"/>
    <s v="North"/>
    <s v="WinterMealDrive"/>
    <m/>
    <n v="328"/>
    <s v="Cheque"/>
    <x v="10"/>
    <d v="2025-06-18T00:00:00"/>
    <s v="ACTIVE"/>
    <m/>
    <m/>
    <m/>
    <m/>
  </r>
  <r>
    <n v="89"/>
    <s v="Donor_013"/>
    <d v="2025-03-20T00:00:00"/>
    <s v="North"/>
    <s v="RamadanFeeding"/>
    <m/>
    <n v="1616"/>
    <s v="UPI"/>
    <x v="6"/>
    <d v="2025-04-28T00:00:00"/>
    <s v="ACTIVE"/>
    <m/>
    <m/>
    <m/>
    <m/>
  </r>
  <r>
    <n v="875"/>
    <s v="Donor_064"/>
    <d v="2025-03-08T00:00:00"/>
    <s v="West"/>
    <s v="SchoolLunchFund"/>
    <m/>
    <n v="5939"/>
    <s v="Bank Transfer"/>
    <x v="6"/>
    <d v="2025-06-20T00:00:00"/>
    <s v="ACTIVE"/>
    <m/>
    <m/>
    <m/>
    <m/>
  </r>
  <r>
    <n v="810"/>
    <s v="Donor_097"/>
    <d v="2025-03-14T00:00:00"/>
    <s v="South"/>
    <s v="YearEndGiving"/>
    <m/>
    <n v="824"/>
    <s v="Bank Transfer"/>
    <x v="6"/>
    <d v="2025-06-04T00:00:00"/>
    <s v="ACTIVE"/>
    <m/>
    <m/>
    <m/>
    <m/>
  </r>
  <r>
    <n v="1362"/>
    <s v="Donor_053"/>
    <d v="2024-12-21T00:00:00"/>
    <s v="South"/>
    <s v="YearEndGiving"/>
    <m/>
    <n v="712"/>
    <s v="Bank Transfer"/>
    <x v="9"/>
    <d v="2025-04-16T00:00:00"/>
    <s v="ACTIVE"/>
    <m/>
    <m/>
    <m/>
    <m/>
  </r>
  <r>
    <n v="218"/>
    <s v="Donor_068"/>
    <d v="2024-03-01T00:00:00"/>
    <s v="North"/>
    <s v="WinterMealDrive"/>
    <m/>
    <n v="553"/>
    <s v="Cash"/>
    <x v="8"/>
    <d v="2025-05-16T00:00:00"/>
    <s v="ACTIVE"/>
    <m/>
    <m/>
    <m/>
    <m/>
  </r>
  <r>
    <n v="889"/>
    <s v="Donor_092"/>
    <d v="2024-12-25T00:00:00"/>
    <s v="West"/>
    <s v="SchoolLunchFund"/>
    <m/>
    <n v="5790"/>
    <s v="Credit Card"/>
    <x v="9"/>
    <d v="2025-05-07T00:00:00"/>
    <s v="ACTIVE"/>
    <m/>
    <m/>
    <m/>
    <m/>
  </r>
  <r>
    <n v="713"/>
    <s v="Donor_044"/>
    <d v="2025-04-30T00:00:00"/>
    <s v="East"/>
    <s v="YearEndGiving"/>
    <m/>
    <n v="1251"/>
    <s v="Bank Transfer"/>
    <x v="17"/>
    <d v="2025-05-05T00:00:00"/>
    <s v="ACTIVE"/>
    <m/>
    <m/>
    <m/>
    <m/>
  </r>
  <r>
    <n v="1245"/>
    <s v="Donor_079"/>
    <d v="2024-12-26T00:00:00"/>
    <s v="Central"/>
    <s v="EmergencyFoodBank"/>
    <m/>
    <n v="1853"/>
    <s v="Bank Transfer"/>
    <x v="9"/>
    <d v="2025-06-07T00:00:00"/>
    <s v="ACTIVE"/>
    <m/>
    <m/>
    <m/>
    <m/>
  </r>
  <r>
    <n v="857"/>
    <s v="Donor_001"/>
    <d v="2024-07-03T00:00:00"/>
    <s v="Central"/>
    <s v="RamadanFeeding"/>
    <m/>
    <n v="4246"/>
    <s v="Credit Card"/>
    <x v="5"/>
    <d v="2025-05-18T00:00:00"/>
    <s v="ACTIVE"/>
    <m/>
    <m/>
    <m/>
    <m/>
  </r>
  <r>
    <n v="174"/>
    <s v="Donor_047"/>
    <d v="2024-07-18T00:00:00"/>
    <s v="Central"/>
    <s v="FloodReliefMeals"/>
    <m/>
    <n v="955"/>
    <s v="Cash"/>
    <x v="5"/>
    <d v="2025-05-04T00:00:00"/>
    <s v="ACTIVE"/>
    <m/>
    <m/>
    <m/>
    <m/>
  </r>
  <r>
    <n v="1669"/>
    <s v="Donor_020"/>
    <d v="2025-05-31T00:00:00"/>
    <s v="West"/>
    <s v="EmergencyFoodBank"/>
    <m/>
    <n v="774"/>
    <s v="Cash"/>
    <x v="11"/>
    <d v="2025-05-31T00:00:00"/>
    <s v="ACTIVE"/>
    <m/>
    <m/>
    <m/>
    <m/>
  </r>
  <r>
    <n v="1252"/>
    <s v="Donor_072"/>
    <d v="2025-02-28T00:00:00"/>
    <s v="Central"/>
    <s v="YearEndGiving"/>
    <m/>
    <n v="1930"/>
    <s v="Cheque"/>
    <x v="13"/>
    <d v="2025-04-13T00:00:00"/>
    <s v="ACTIVE"/>
    <m/>
    <m/>
    <m/>
    <m/>
  </r>
  <r>
    <n v="222"/>
    <s v="Donor_052"/>
    <d v="2025-01-17T00:00:00"/>
    <s v="West"/>
    <s v="YearEndGiving"/>
    <m/>
    <n v="2392"/>
    <s v="Credit Card"/>
    <x v="7"/>
    <d v="2025-06-13T00:00:00"/>
    <s v="ACTIVE"/>
    <m/>
    <m/>
    <m/>
    <m/>
  </r>
  <r>
    <n v="320"/>
    <s v="Donor_016"/>
    <d v="2024-05-30T00:00:00"/>
    <s v="West"/>
    <s v="SchoolLunchFund"/>
    <m/>
    <n v="1783"/>
    <s v="Credit Card"/>
    <x v="15"/>
    <d v="2025-06-17T00:00:00"/>
    <s v="ACTIVE"/>
    <m/>
    <m/>
    <m/>
    <m/>
  </r>
  <r>
    <n v="1583"/>
    <s v="Donor_071"/>
    <d v="2025-06-08T00:00:00"/>
    <s v="North"/>
    <s v="EmergencyFoodBank"/>
    <m/>
    <n v="913"/>
    <s v="Cash"/>
    <x v="16"/>
    <d v="2025-06-08T00:00:00"/>
    <s v="ACTIVE"/>
    <m/>
    <m/>
    <m/>
    <m/>
  </r>
  <r>
    <n v="1606"/>
    <s v="Donor_120"/>
    <d v="2024-05-19T00:00:00"/>
    <s v="North"/>
    <s v="WinterMealDrive"/>
    <m/>
    <n v="431"/>
    <s v="Bank Transfer"/>
    <x v="15"/>
    <d v="2025-06-19T00:00:00"/>
    <s v="ACTIVE"/>
    <m/>
    <m/>
    <m/>
    <m/>
  </r>
  <r>
    <n v="879"/>
    <s v="Donor_001"/>
    <d v="2025-05-14T00:00:00"/>
    <s v="South"/>
    <s v="EmergencyFoodBank"/>
    <m/>
    <n v="2226"/>
    <s v="Cash"/>
    <x v="11"/>
    <d v="2025-05-18T00:00:00"/>
    <s v="ACTIVE"/>
    <m/>
    <m/>
    <m/>
    <m/>
  </r>
  <r>
    <n v="1627"/>
    <s v="Donor_026"/>
    <d v="2024-02-11T00:00:00"/>
    <s v="North"/>
    <s v="FloodReliefMeals"/>
    <m/>
    <n v="2236"/>
    <s v="Cash"/>
    <x v="14"/>
    <d v="2025-05-28T00:00:00"/>
    <s v="ACTIVE"/>
    <m/>
    <m/>
    <m/>
    <m/>
  </r>
  <r>
    <n v="1059"/>
    <s v="Donor_078"/>
    <d v="2024-02-22T00:00:00"/>
    <s v="West"/>
    <s v="EmergencyFoodBank"/>
    <m/>
    <n v="10081"/>
    <s v="Bank Transfer"/>
    <x v="14"/>
    <d v="2025-03-13T00:00:00"/>
    <s v="LAPSED"/>
    <m/>
    <m/>
    <m/>
    <m/>
  </r>
  <r>
    <n v="826"/>
    <s v="Donor_001"/>
    <d v="2025-05-18T00:00:00"/>
    <s v="North"/>
    <s v="WinterMealDrive"/>
    <m/>
    <n v="757"/>
    <s v="Bank Transfer"/>
    <x v="11"/>
    <d v="2025-05-18T00:00:00"/>
    <s v="ACTIVE"/>
    <m/>
    <m/>
    <m/>
    <m/>
  </r>
  <r>
    <n v="1333"/>
    <s v="Donor_058"/>
    <d v="2024-03-09T00:00:00"/>
    <s v="West"/>
    <s v="SchoolLunchFund"/>
    <m/>
    <n v="2712"/>
    <s v="Bank Transfer"/>
    <x v="8"/>
    <d v="2025-06-22T00:00:00"/>
    <s v="ACTIVE"/>
    <m/>
    <m/>
    <m/>
    <m/>
  </r>
  <r>
    <n v="267"/>
    <s v="Donor_012"/>
    <d v="2025-01-27T00:00:00"/>
    <s v="North"/>
    <s v="WinterMealDrive"/>
    <m/>
    <n v="4735"/>
    <s v="Bank Transfer"/>
    <x v="7"/>
    <d v="2025-06-23T00:00:00"/>
    <s v="ACTIVE"/>
    <m/>
    <m/>
    <m/>
    <m/>
  </r>
  <r>
    <n v="7"/>
    <s v="Donor_069"/>
    <d v="2024-06-24T00:00:00"/>
    <s v="South"/>
    <s v="SchoolLunchFund"/>
    <m/>
    <n v="286"/>
    <s v="Cheque"/>
    <x v="2"/>
    <d v="2025-06-13T00:00:00"/>
    <s v="ACTIVE"/>
    <m/>
    <m/>
    <m/>
    <m/>
  </r>
  <r>
    <n v="1023"/>
    <s v="Donor_006"/>
    <d v="2024-03-10T00:00:00"/>
    <s v="North"/>
    <s v="EmergencyFoodBank"/>
    <m/>
    <n v="1339"/>
    <s v="UPI"/>
    <x v="8"/>
    <d v="2025-06-06T00:00:00"/>
    <s v="ACTIVE"/>
    <m/>
    <m/>
    <m/>
    <m/>
  </r>
  <r>
    <n v="1795"/>
    <s v="Donor_092"/>
    <d v="2024-07-12T00:00:00"/>
    <s v="South"/>
    <s v="YearEndGiving"/>
    <m/>
    <n v="703"/>
    <s v="Bank Transfer"/>
    <x v="5"/>
    <d v="2025-05-07T00:00:00"/>
    <s v="ACTIVE"/>
    <m/>
    <m/>
    <m/>
    <m/>
  </r>
  <r>
    <n v="739"/>
    <s v="Donor_097"/>
    <d v="2025-06-04T00:00:00"/>
    <s v="Central"/>
    <s v="RamadanFeeding"/>
    <m/>
    <n v="908"/>
    <s v="Bank Transfer"/>
    <x v="16"/>
    <d v="2025-06-04T00:00:00"/>
    <s v="ACTIVE"/>
    <m/>
    <m/>
    <m/>
    <m/>
  </r>
  <r>
    <n v="139"/>
    <s v="Donor_104"/>
    <d v="2024-11-12T00:00:00"/>
    <s v="West"/>
    <s v="SchoolLunchFund"/>
    <m/>
    <n v="5357"/>
    <s v="Cheque"/>
    <x v="4"/>
    <d v="2025-05-08T00:00:00"/>
    <s v="ACTIVE"/>
    <m/>
    <m/>
    <m/>
    <m/>
  </r>
  <r>
    <n v="164"/>
    <s v="Donor_099"/>
    <d v="2024-07-05T00:00:00"/>
    <s v="South"/>
    <s v="RamadanFeeding"/>
    <m/>
    <n v="11643"/>
    <s v="UPI"/>
    <x v="5"/>
    <d v="2025-05-30T00:00:00"/>
    <s v="ACTIVE"/>
    <m/>
    <m/>
    <m/>
    <m/>
  </r>
  <r>
    <n v="1494"/>
    <s v="Donor_060"/>
    <d v="2024-07-28T00:00:00"/>
    <s v="West"/>
    <s v="YearEndGiving"/>
    <m/>
    <n v="841"/>
    <s v="Cheque"/>
    <x v="5"/>
    <d v="2025-05-20T00:00:00"/>
    <s v="ACTIVE"/>
    <m/>
    <m/>
    <m/>
    <m/>
  </r>
  <r>
    <n v="595"/>
    <s v="Donor_115"/>
    <d v="2025-01-29T00:00:00"/>
    <s v="East"/>
    <s v="YearEndGiving"/>
    <m/>
    <n v="459"/>
    <s v="Bank Transfer"/>
    <x v="7"/>
    <d v="2025-06-20T00:00:00"/>
    <s v="ACTIVE"/>
    <m/>
    <m/>
    <m/>
    <m/>
  </r>
  <r>
    <n v="1712"/>
    <s v="Donor_002"/>
    <d v="2024-04-19T00:00:00"/>
    <s v="East"/>
    <s v="SchoolLunchFund"/>
    <m/>
    <n v="859"/>
    <s v="Cash"/>
    <x v="3"/>
    <d v="2025-04-12T00:00:00"/>
    <s v="ACTIVE"/>
    <m/>
    <m/>
    <m/>
    <m/>
  </r>
  <r>
    <n v="1757"/>
    <s v="Donor_001"/>
    <d v="2024-06-30T00:00:00"/>
    <s v="North"/>
    <s v="EmergencyFoodBank"/>
    <m/>
    <n v="1309"/>
    <s v="Bank Transfer"/>
    <x v="2"/>
    <d v="2025-05-18T00:00:00"/>
    <s v="ACTIVE"/>
    <m/>
    <m/>
    <m/>
    <m/>
  </r>
  <r>
    <n v="1319"/>
    <s v="Donor_037"/>
    <d v="2024-09-14T00:00:00"/>
    <s v="South"/>
    <s v="WinterMealDrive"/>
    <m/>
    <n v="413"/>
    <s v="Bank Transfer"/>
    <x v="0"/>
    <d v="2025-05-23T00:00:00"/>
    <s v="ACTIVE"/>
    <m/>
    <m/>
    <m/>
    <m/>
  </r>
  <r>
    <n v="1146"/>
    <s v="Donor_069"/>
    <d v="2024-02-07T00:00:00"/>
    <s v="West"/>
    <s v="SchoolLunchFund"/>
    <m/>
    <n v="1250"/>
    <s v="UPI"/>
    <x v="14"/>
    <d v="2025-06-13T00:00:00"/>
    <s v="ACTIVE"/>
    <m/>
    <m/>
    <m/>
    <m/>
  </r>
  <r>
    <n v="1724"/>
    <s v="Donor_043"/>
    <d v="2024-03-17T00:00:00"/>
    <s v="North"/>
    <s v="EmergencyFoodBank"/>
    <m/>
    <n v="0"/>
    <s v="Cash"/>
    <x v="8"/>
    <d v="2025-06-13T00:00:00"/>
    <s v="ACTIVE"/>
    <m/>
    <m/>
    <m/>
    <m/>
  </r>
  <r>
    <n v="961"/>
    <s v="Donor_119"/>
    <d v="2025-04-15T00:00:00"/>
    <s v="Central"/>
    <s v="WinterMealDrive"/>
    <m/>
    <n v="857"/>
    <s v="Bank Transfer"/>
    <x v="17"/>
    <d v="2025-05-18T00:00:00"/>
    <s v="ACTIVE"/>
    <m/>
    <m/>
    <m/>
    <m/>
  </r>
  <r>
    <n v="1304"/>
    <s v="Donor_086"/>
    <d v="2025-05-18T00:00:00"/>
    <s v="Central"/>
    <s v="FloodReliefMeals"/>
    <m/>
    <n v="5976"/>
    <s v="Bank Transfer"/>
    <x v="11"/>
    <d v="2025-05-29T00:00:00"/>
    <s v="ACTIVE"/>
    <m/>
    <m/>
    <m/>
    <m/>
  </r>
  <r>
    <n v="1674"/>
    <s v="Donor_014"/>
    <d v="2024-12-12T00:00:00"/>
    <s v="West"/>
    <s v="SchoolLunchFund"/>
    <m/>
    <n v="1789"/>
    <s v="Bank Transfer"/>
    <x v="9"/>
    <d v="2025-06-03T00:00:00"/>
    <s v="ACTIVE"/>
    <m/>
    <m/>
    <m/>
    <m/>
  </r>
  <r>
    <n v="524"/>
    <s v="Donor_068"/>
    <d v="2024-08-09T00:00:00"/>
    <s v="East"/>
    <s v="SchoolLunchFund"/>
    <m/>
    <n v="950"/>
    <s v="UPI"/>
    <x v="1"/>
    <d v="2025-05-16T00:00:00"/>
    <s v="ACTIVE"/>
    <m/>
    <m/>
    <m/>
    <m/>
  </r>
  <r>
    <n v="1129"/>
    <s v="Donor_094"/>
    <d v="2025-03-21T00:00:00"/>
    <s v="West"/>
    <s v="RamadanFeeding"/>
    <m/>
    <n v="1802"/>
    <s v="Bank Transfer"/>
    <x v="6"/>
    <d v="2025-06-19T00:00:00"/>
    <s v="ACTIVE"/>
    <m/>
    <m/>
    <m/>
    <m/>
  </r>
  <r>
    <n v="807"/>
    <s v="Donor_099"/>
    <d v="2024-11-04T00:00:00"/>
    <s v="Central"/>
    <s v="RamadanFeeding"/>
    <m/>
    <n v="1085"/>
    <s v="Cheque"/>
    <x v="4"/>
    <d v="2025-05-30T00:00:00"/>
    <s v="ACTIVE"/>
    <m/>
    <m/>
    <m/>
    <m/>
  </r>
  <r>
    <n v="745"/>
    <s v="Donor_113"/>
    <d v="2024-10-13T00:00:00"/>
    <s v="West"/>
    <s v="SchoolLunchFund"/>
    <m/>
    <n v="11830"/>
    <s v="Bank Transfer"/>
    <x v="12"/>
    <d v="2025-04-17T00:00:00"/>
    <s v="ACTIVE"/>
    <m/>
    <m/>
    <m/>
    <m/>
  </r>
  <r>
    <n v="1103"/>
    <s v="Donor_026"/>
    <d v="2024-07-11T00:00:00"/>
    <s v="North"/>
    <s v="YearEndGiving"/>
    <m/>
    <n v="280"/>
    <s v="UPI"/>
    <x v="5"/>
    <d v="2025-05-28T00:00:00"/>
    <s v="ACTIVE"/>
    <m/>
    <m/>
    <m/>
    <m/>
  </r>
  <r>
    <n v="579"/>
    <s v="Donor_023"/>
    <d v="2024-01-08T00:00:00"/>
    <s v="North"/>
    <s v="EmergencyFoodBank"/>
    <m/>
    <n v="2416"/>
    <s v="Cash"/>
    <x v="10"/>
    <d v="2025-05-24T00:00:00"/>
    <s v="ACTIVE"/>
    <m/>
    <m/>
    <m/>
    <m/>
  </r>
  <r>
    <n v="846"/>
    <s v="Donor_090"/>
    <d v="2024-08-18T00:00:00"/>
    <s v="North"/>
    <s v="SchoolLunchFund"/>
    <m/>
    <n v="327"/>
    <s v="Bank Transfer"/>
    <x v="1"/>
    <d v="2025-04-25T00:00:00"/>
    <s v="ACTIVE"/>
    <m/>
    <m/>
    <m/>
    <m/>
  </r>
  <r>
    <n v="1213"/>
    <s v="Donor_048"/>
    <d v="2024-10-27T00:00:00"/>
    <s v="Central"/>
    <s v="RamadanFeeding"/>
    <m/>
    <n v="1452"/>
    <s v="Credit Card"/>
    <x v="12"/>
    <d v="2025-06-08T00:00:00"/>
    <s v="ACTIVE"/>
    <m/>
    <m/>
    <m/>
    <m/>
  </r>
  <r>
    <n v="20"/>
    <s v="Donor_008"/>
    <d v="2024-04-10T00:00:00"/>
    <s v="West"/>
    <s v="EmergencyFoodBank"/>
    <m/>
    <n v="5601"/>
    <s v="UPI"/>
    <x v="3"/>
    <d v="2025-06-07T00:00:00"/>
    <s v="ACTIVE"/>
    <m/>
    <m/>
    <m/>
    <m/>
  </r>
  <r>
    <n v="1179"/>
    <s v="Donor_089"/>
    <d v="2024-08-21T00:00:00"/>
    <s v="West"/>
    <s v="SchoolLunchFund"/>
    <m/>
    <n v="596"/>
    <s v="Bank Transfer"/>
    <x v="1"/>
    <d v="2025-05-16T00:00:00"/>
    <s v="ACTIVE"/>
    <m/>
    <m/>
    <m/>
    <m/>
  </r>
  <r>
    <n v="1723"/>
    <s v="Donor_059"/>
    <d v="2024-01-18T00:00:00"/>
    <s v="West"/>
    <s v="SchoolLunchFund"/>
    <m/>
    <n v="474"/>
    <s v="Bank Transfer"/>
    <x v="10"/>
    <d v="2025-06-16T00:00:00"/>
    <s v="ACTIVE"/>
    <m/>
    <m/>
    <m/>
    <m/>
  </r>
  <r>
    <n v="634"/>
    <s v="Donor_088"/>
    <d v="2024-11-15T00:00:00"/>
    <s v="West"/>
    <s v="SchoolLunchFund"/>
    <m/>
    <n v="9629"/>
    <s v="Cash"/>
    <x v="4"/>
    <d v="2025-05-21T00:00:00"/>
    <s v="ACTIVE"/>
    <m/>
    <m/>
    <m/>
    <m/>
  </r>
  <r>
    <n v="1422"/>
    <s v="Donor_058"/>
    <d v="2024-05-30T00:00:00"/>
    <s v="Central"/>
    <s v="EmergencyFoodBank"/>
    <m/>
    <n v="1589"/>
    <s v="Bank Transfer"/>
    <x v="15"/>
    <d v="2025-06-22T00:00:00"/>
    <s v="ACTIVE"/>
    <m/>
    <m/>
    <m/>
    <m/>
  </r>
  <r>
    <n v="619"/>
    <s v="Donor_081"/>
    <d v="2024-09-21T00:00:00"/>
    <s v="West"/>
    <s v="EmergencyFoodBank"/>
    <m/>
    <n v="949"/>
    <s v="Cheque"/>
    <x v="0"/>
    <d v="2025-06-07T00:00:00"/>
    <s v="ACTIVE"/>
    <m/>
    <m/>
    <m/>
    <m/>
  </r>
  <r>
    <n v="1076"/>
    <s v="Donor_087"/>
    <d v="2025-06-09T00:00:00"/>
    <s v="North"/>
    <s v="EmergencyFoodBank"/>
    <m/>
    <n v="5785"/>
    <s v="UPI"/>
    <x v="16"/>
    <d v="2025-06-09T00:00:00"/>
    <s v="ACTIVE"/>
    <m/>
    <m/>
    <m/>
    <m/>
  </r>
  <r>
    <n v="656"/>
    <s v="Donor_055"/>
    <d v="2025-03-22T00:00:00"/>
    <s v="North"/>
    <s v="SchoolLunchFund"/>
    <m/>
    <n v="1364"/>
    <s v="UPI"/>
    <x v="6"/>
    <d v="2025-05-11T00:00:00"/>
    <s v="ACTIVE"/>
    <m/>
    <m/>
    <m/>
    <m/>
  </r>
  <r>
    <n v="17"/>
    <s v="Donor_032"/>
    <d v="2024-05-03T00:00:00"/>
    <s v="South"/>
    <s v="WinterMealDrive"/>
    <m/>
    <n v="4042"/>
    <s v="Cheque"/>
    <x v="15"/>
    <d v="2025-04-29T00:00:00"/>
    <s v="ACTIVE"/>
    <m/>
    <m/>
    <m/>
    <m/>
  </r>
  <r>
    <n v="1577"/>
    <s v="Donor_116"/>
    <d v="2024-08-29T00:00:00"/>
    <s v="West"/>
    <s v="YearEndGiving"/>
    <m/>
    <n v="1716"/>
    <s v="UPI"/>
    <x v="1"/>
    <d v="2025-06-11T00:00:00"/>
    <s v="ACTIVE"/>
    <m/>
    <m/>
    <m/>
    <m/>
  </r>
  <r>
    <n v="1074"/>
    <s v="Donor_067"/>
    <d v="2025-03-31T00:00:00"/>
    <s v="South"/>
    <s v="RamadanFeeding"/>
    <m/>
    <n v="2918"/>
    <s v="UPI"/>
    <x v="6"/>
    <d v="2025-06-15T00:00:00"/>
    <s v="ACTIVE"/>
    <m/>
    <m/>
    <m/>
    <m/>
  </r>
  <r>
    <n v="138"/>
    <s v="Donor_006"/>
    <d v="2025-03-24T00:00:00"/>
    <s v="West"/>
    <s v="FloodReliefMeals"/>
    <m/>
    <n v="2376"/>
    <s v="Cheque"/>
    <x v="6"/>
    <d v="2025-06-06T00:00:00"/>
    <s v="ACTIVE"/>
    <m/>
    <m/>
    <m/>
    <m/>
  </r>
  <r>
    <n v="1321"/>
    <s v="Donor_046"/>
    <d v="2025-04-06T00:00:00"/>
    <s v="West"/>
    <s v="FloodReliefMeals"/>
    <m/>
    <n v="276"/>
    <s v="Cash"/>
    <x v="17"/>
    <d v="2025-05-10T00:00:00"/>
    <s v="ACTIVE"/>
    <m/>
    <m/>
    <m/>
    <m/>
  </r>
  <r>
    <n v="1372"/>
    <s v="Donor_097"/>
    <d v="2025-01-27T00:00:00"/>
    <s v="Central"/>
    <s v="WinterMealDrive"/>
    <m/>
    <n v="807"/>
    <s v="Cheque"/>
    <x v="7"/>
    <d v="2025-06-04T00:00:00"/>
    <s v="ACTIVE"/>
    <m/>
    <m/>
    <m/>
    <m/>
  </r>
  <r>
    <n v="558"/>
    <s v="Donor_013"/>
    <d v="2024-02-12T00:00:00"/>
    <s v="Central"/>
    <s v="EmergencyFoodBank"/>
    <m/>
    <n v="5912"/>
    <s v="Cash"/>
    <x v="14"/>
    <d v="2025-04-28T00:00:00"/>
    <s v="ACTIVE"/>
    <m/>
    <m/>
    <m/>
    <m/>
  </r>
  <r>
    <n v="698"/>
    <s v="Donor_089"/>
    <d v="2025-01-04T00:00:00"/>
    <s v="West"/>
    <s v="FloodReliefMeals"/>
    <m/>
    <n v="850"/>
    <s v="UPI"/>
    <x v="7"/>
    <d v="2025-05-16T00:00:00"/>
    <s v="ACTIVE"/>
    <m/>
    <m/>
    <m/>
    <m/>
  </r>
  <r>
    <n v="1774"/>
    <s v="Donor_012"/>
    <d v="2024-07-09T00:00:00"/>
    <s v="South"/>
    <s v="YearEndGiving"/>
    <m/>
    <n v="694"/>
    <s v="Cash"/>
    <x v="5"/>
    <d v="2025-06-23T00:00:00"/>
    <s v="ACTIVE"/>
    <m/>
    <m/>
    <m/>
    <m/>
  </r>
  <r>
    <n v="862"/>
    <s v="Donor_059"/>
    <d v="2025-02-13T00:00:00"/>
    <s v="North"/>
    <s v="FloodReliefMeals"/>
    <m/>
    <n v="882"/>
    <s v="Credit Card"/>
    <x v="13"/>
    <d v="2025-06-16T00:00:00"/>
    <s v="ACTIVE"/>
    <m/>
    <m/>
    <m/>
    <m/>
  </r>
  <r>
    <n v="1460"/>
    <s v="Donor_047"/>
    <d v="2024-06-16T00:00:00"/>
    <s v="North"/>
    <s v="FloodReliefMeals"/>
    <m/>
    <n v="2998"/>
    <s v="Cheque"/>
    <x v="2"/>
    <d v="2025-05-04T00:00:00"/>
    <s v="ACTIVE"/>
    <m/>
    <m/>
    <m/>
    <m/>
  </r>
  <r>
    <n v="449"/>
    <s v="Donor_002"/>
    <d v="2024-11-02T00:00:00"/>
    <s v="West"/>
    <s v="FloodReliefMeals"/>
    <m/>
    <n v="2237"/>
    <s v="Cheque"/>
    <x v="4"/>
    <d v="2025-04-12T00:00:00"/>
    <s v="ACTIVE"/>
    <m/>
    <m/>
    <m/>
    <m/>
  </r>
  <r>
    <n v="369"/>
    <s v="Donor_018"/>
    <d v="2025-05-31T00:00:00"/>
    <s v="West"/>
    <s v="WinterMealDrive"/>
    <m/>
    <n v="10945"/>
    <s v="Cheque"/>
    <x v="11"/>
    <d v="2025-06-16T00:00:00"/>
    <s v="ACTIVE"/>
    <m/>
    <m/>
    <m/>
    <m/>
  </r>
  <r>
    <n v="1707"/>
    <s v="Donor_092"/>
    <d v="2024-12-28T00:00:00"/>
    <s v="North"/>
    <s v="EmergencyFoodBank"/>
    <m/>
    <n v="8243"/>
    <s v="UPI"/>
    <x v="9"/>
    <d v="2025-05-07T00:00:00"/>
    <s v="ACTIVE"/>
    <m/>
    <m/>
    <m/>
    <m/>
  </r>
  <r>
    <n v="1075"/>
    <s v="Donor_094"/>
    <d v="2024-10-12T00:00:00"/>
    <s v="North"/>
    <s v="FloodReliefMeals"/>
    <m/>
    <n v="1098"/>
    <s v="Credit Card"/>
    <x v="12"/>
    <d v="2025-06-19T00:00:00"/>
    <s v="ACTIVE"/>
    <m/>
    <m/>
    <m/>
    <m/>
  </r>
  <r>
    <n v="328"/>
    <s v="Donor_052"/>
    <d v="2025-06-02T00:00:00"/>
    <s v="South"/>
    <s v="YearEndGiving"/>
    <m/>
    <n v="435"/>
    <s v="Credit Card"/>
    <x v="16"/>
    <d v="2025-06-13T00:00:00"/>
    <s v="ACTIVE"/>
    <m/>
    <m/>
    <m/>
    <m/>
  </r>
  <r>
    <n v="318"/>
    <s v="Donor_011"/>
    <d v="2024-04-09T00:00:00"/>
    <s v="East"/>
    <s v="YearEndGiving"/>
    <m/>
    <n v="891"/>
    <s v="Cheque"/>
    <x v="3"/>
    <d v="2025-06-04T00:00:00"/>
    <s v="ACTIVE"/>
    <m/>
    <m/>
    <m/>
    <m/>
  </r>
  <r>
    <n v="1378"/>
    <s v="Donor_006"/>
    <d v="2025-01-20T00:00:00"/>
    <s v="East"/>
    <s v="SchoolLunchFund"/>
    <m/>
    <n v="1872"/>
    <s v="Cheque"/>
    <x v="7"/>
    <d v="2025-06-06T00:00:00"/>
    <s v="ACTIVE"/>
    <m/>
    <m/>
    <m/>
    <m/>
  </r>
  <r>
    <n v="1339"/>
    <s v="Donor_048"/>
    <d v="2025-05-03T00:00:00"/>
    <s v="South"/>
    <s v="FloodReliefMeals"/>
    <m/>
    <n v="765"/>
    <s v="Cash"/>
    <x v="11"/>
    <d v="2025-06-08T00:00:00"/>
    <s v="ACTIVE"/>
    <m/>
    <m/>
    <m/>
    <m/>
  </r>
  <r>
    <n v="529"/>
    <s v="Donor_036"/>
    <d v="2024-06-10T00:00:00"/>
    <s v="North"/>
    <s v="WinterMealDrive"/>
    <m/>
    <n v="10056"/>
    <s v="Credit Card"/>
    <x v="2"/>
    <d v="2025-06-07T00:00:00"/>
    <s v="ACTIVE"/>
    <m/>
    <m/>
    <m/>
    <m/>
  </r>
  <r>
    <n v="527"/>
    <s v="Donor_088"/>
    <d v="2024-02-15T00:00:00"/>
    <s v="Central"/>
    <s v="WinterMealDrive"/>
    <m/>
    <n v="4934"/>
    <s v="UPI"/>
    <x v="14"/>
    <d v="2025-05-21T00:00:00"/>
    <s v="ACTIVE"/>
    <m/>
    <m/>
    <m/>
    <m/>
  </r>
  <r>
    <n v="88"/>
    <s v="Donor_041"/>
    <d v="2025-01-24T00:00:00"/>
    <s v="West"/>
    <s v="YearEndGiving"/>
    <m/>
    <n v="523"/>
    <s v="Credit Card"/>
    <x v="7"/>
    <d v="2025-06-13T00:00:00"/>
    <s v="ACTIVE"/>
    <m/>
    <m/>
    <m/>
    <m/>
  </r>
  <r>
    <n v="480"/>
    <s v="Donor_087"/>
    <d v="2024-02-21T00:00:00"/>
    <s v="West"/>
    <s v="RamadanFeeding"/>
    <m/>
    <n v="8360"/>
    <s v="Cash"/>
    <x v="14"/>
    <d v="2025-06-09T00:00:00"/>
    <s v="ACTIVE"/>
    <m/>
    <m/>
    <m/>
    <m/>
  </r>
  <r>
    <n v="339"/>
    <s v="Donor_029"/>
    <d v="2024-04-01T00:00:00"/>
    <s v="East"/>
    <s v="SchoolLunchFund"/>
    <m/>
    <n v="2420"/>
    <s v="Bank Transfer"/>
    <x v="3"/>
    <d v="2025-06-05T00:00:00"/>
    <s v="ACTIVE"/>
    <m/>
    <m/>
    <m/>
    <m/>
  </r>
  <r>
    <n v="1762"/>
    <s v="Donor_027"/>
    <d v="2024-01-13T00:00:00"/>
    <s v="Central"/>
    <s v="WinterMealDrive"/>
    <m/>
    <n v="455"/>
    <s v="Credit Card"/>
    <x v="10"/>
    <d v="2025-06-06T00:00:00"/>
    <s v="ACTIVE"/>
    <m/>
    <m/>
    <m/>
    <m/>
  </r>
  <r>
    <n v="1190"/>
    <s v="Donor_001"/>
    <d v="2025-03-03T00:00:00"/>
    <s v="West"/>
    <s v="WinterMealDrive"/>
    <m/>
    <n v="0"/>
    <s v="Credit Card"/>
    <x v="6"/>
    <d v="2025-05-18T00:00:00"/>
    <s v="ACTIVE"/>
    <m/>
    <m/>
    <m/>
    <m/>
  </r>
  <r>
    <n v="658"/>
    <s v="Donor_086"/>
    <d v="2025-01-07T00:00:00"/>
    <s v="North"/>
    <s v="RamadanFeeding"/>
    <m/>
    <n v="1342"/>
    <s v="Cheque"/>
    <x v="7"/>
    <d v="2025-05-29T00:00:00"/>
    <s v="ACTIVE"/>
    <m/>
    <m/>
    <m/>
    <m/>
  </r>
  <r>
    <n v="149"/>
    <s v="Donor_018"/>
    <d v="2024-12-06T00:00:00"/>
    <s v="North"/>
    <s v="FloodReliefMeals"/>
    <m/>
    <n v="9354"/>
    <s v="Credit Card"/>
    <x v="9"/>
    <d v="2025-06-16T00:00:00"/>
    <s v="ACTIVE"/>
    <m/>
    <m/>
    <m/>
    <m/>
  </r>
  <r>
    <n v="1467"/>
    <s v="Donor_084"/>
    <d v="2025-01-16T00:00:00"/>
    <s v="East"/>
    <s v="RamadanFeeding"/>
    <m/>
    <n v="594"/>
    <s v="Cash"/>
    <x v="7"/>
    <d v="2025-05-13T00:00:00"/>
    <s v="ACTIVE"/>
    <m/>
    <m/>
    <m/>
    <m/>
  </r>
  <r>
    <n v="1675"/>
    <s v="Donor_001"/>
    <d v="2024-05-08T00:00:00"/>
    <s v="Central"/>
    <s v="YearEndGiving"/>
    <m/>
    <n v="1813"/>
    <s v="Cash"/>
    <x v="15"/>
    <d v="2025-05-18T00:00:00"/>
    <s v="ACTIVE"/>
    <m/>
    <m/>
    <m/>
    <m/>
  </r>
  <r>
    <n v="1429"/>
    <s v="Donor_019"/>
    <d v="2024-09-30T00:00:00"/>
    <s v="South"/>
    <s v="SchoolLunchFund"/>
    <m/>
    <n v="1047"/>
    <s v="Bank Transfer"/>
    <x v="0"/>
    <d v="2025-05-28T00:00:00"/>
    <s v="ACTIVE"/>
    <m/>
    <m/>
    <m/>
    <m/>
  </r>
  <r>
    <n v="29"/>
    <s v="Donor_086"/>
    <d v="2024-01-09T00:00:00"/>
    <s v="Central"/>
    <s v="FloodReliefMeals"/>
    <m/>
    <n v="1176"/>
    <s v="Credit Card"/>
    <x v="10"/>
    <d v="2025-05-29T00:00:00"/>
    <s v="ACTIVE"/>
    <m/>
    <m/>
    <m/>
    <m/>
  </r>
  <r>
    <n v="247"/>
    <s v="Donor_074"/>
    <d v="2024-03-05T00:00:00"/>
    <s v="North"/>
    <s v="YearEndGiving"/>
    <m/>
    <n v="1419"/>
    <s v="Credit Card"/>
    <x v="8"/>
    <d v="2025-06-18T00:00:00"/>
    <s v="ACTIVE"/>
    <m/>
    <m/>
    <m/>
    <m/>
  </r>
  <r>
    <n v="366"/>
    <s v="Donor_098"/>
    <d v="2024-04-09T00:00:00"/>
    <s v="South"/>
    <s v="WinterMealDrive"/>
    <m/>
    <n v="4710"/>
    <s v="Bank Transfer"/>
    <x v="3"/>
    <d v="2025-06-20T00:00:00"/>
    <s v="ACTIVE"/>
    <m/>
    <m/>
    <m/>
    <m/>
  </r>
  <r>
    <n v="590"/>
    <s v="Donor_002"/>
    <d v="2024-10-12T00:00:00"/>
    <s v="West"/>
    <s v="EmergencyFoodBank"/>
    <m/>
    <n v="1798"/>
    <s v="Cash"/>
    <x v="12"/>
    <d v="2025-04-12T00:00:00"/>
    <s v="ACTIVE"/>
    <m/>
    <m/>
    <m/>
    <m/>
  </r>
  <r>
    <n v="1202"/>
    <s v="Donor_024"/>
    <d v="2024-03-15T00:00:00"/>
    <s v="Central"/>
    <s v="FloodReliefMeals"/>
    <m/>
    <n v="303"/>
    <s v="Cash"/>
    <x v="8"/>
    <d v="2025-06-07T00:00:00"/>
    <s v="ACTIVE"/>
    <m/>
    <m/>
    <m/>
    <m/>
  </r>
  <r>
    <n v="1497"/>
    <s v="Donor_070"/>
    <d v="2024-10-10T00:00:00"/>
    <s v="South"/>
    <s v="EmergencyFoodBank"/>
    <m/>
    <n v="585"/>
    <s v="Cash"/>
    <x v="12"/>
    <d v="2025-03-27T00:00:00"/>
    <s v="ACTIVE"/>
    <m/>
    <m/>
    <m/>
    <m/>
  </r>
  <r>
    <n v="1364"/>
    <s v="Donor_114"/>
    <d v="2024-06-17T00:00:00"/>
    <s v="North"/>
    <s v="FloodReliefMeals"/>
    <m/>
    <n v="11673"/>
    <s v="Credit Card"/>
    <x v="2"/>
    <d v="2025-04-04T00:00:00"/>
    <s v="ACTIVE"/>
    <m/>
    <m/>
    <m/>
    <m/>
  </r>
  <r>
    <n v="199"/>
    <s v="Donor_059"/>
    <d v="2024-02-26T00:00:00"/>
    <s v="South"/>
    <s v="YearEndGiving"/>
    <m/>
    <n v="737"/>
    <s v="UPI"/>
    <x v="14"/>
    <d v="2025-06-16T00:00:00"/>
    <s v="ACTIVE"/>
    <m/>
    <m/>
    <m/>
    <m/>
  </r>
  <r>
    <n v="1708"/>
    <s v="Donor_092"/>
    <d v="2024-12-02T00:00:00"/>
    <s v="South"/>
    <s v="WinterMealDrive"/>
    <m/>
    <n v="783"/>
    <s v="Credit Card"/>
    <x v="9"/>
    <d v="2025-05-07T00:00:00"/>
    <s v="ACTIVE"/>
    <m/>
    <m/>
    <m/>
    <m/>
  </r>
  <r>
    <n v="193"/>
    <s v="Donor_018"/>
    <d v="2024-07-08T00:00:00"/>
    <s v="West"/>
    <s v="FloodReliefMeals"/>
    <m/>
    <n v="1605"/>
    <s v="Cash"/>
    <x v="5"/>
    <d v="2025-06-16T00:00:00"/>
    <s v="ACTIVE"/>
    <m/>
    <m/>
    <m/>
    <m/>
  </r>
  <r>
    <n v="405"/>
    <s v="Donor_057"/>
    <d v="2024-05-22T00:00:00"/>
    <s v="South"/>
    <s v="SchoolLunchFund"/>
    <m/>
    <n v="1006"/>
    <s v="Bank Transfer"/>
    <x v="15"/>
    <d v="2025-03-30T00:00:00"/>
    <s v="ACTIVE"/>
    <m/>
    <m/>
    <m/>
    <m/>
  </r>
  <r>
    <n v="1421"/>
    <s v="Donor_015"/>
    <d v="2024-11-01T00:00:00"/>
    <s v="Central"/>
    <s v="RamadanFeeding"/>
    <m/>
    <n v="713"/>
    <s v="Bank Transfer"/>
    <x v="4"/>
    <d v="2025-05-02T00:00:00"/>
    <s v="ACTIVE"/>
    <m/>
    <m/>
    <m/>
    <m/>
  </r>
  <r>
    <n v="1789"/>
    <s v="Donor_088"/>
    <d v="2024-03-13T00:00:00"/>
    <s v="North"/>
    <s v="EmergencyFoodBank"/>
    <m/>
    <n v="1794"/>
    <s v="UPI"/>
    <x v="8"/>
    <d v="2025-05-21T00:00:00"/>
    <s v="ACTIVE"/>
    <m/>
    <m/>
    <m/>
    <m/>
  </r>
  <r>
    <n v="484"/>
    <s v="Donor_079"/>
    <d v="2024-12-24T00:00:00"/>
    <s v="West"/>
    <s v="YearEndGiving"/>
    <m/>
    <n v="1464"/>
    <s v="Credit Card"/>
    <x v="9"/>
    <d v="2025-06-07T00:00:00"/>
    <s v="ACTIVE"/>
    <m/>
    <m/>
    <m/>
    <m/>
  </r>
  <r>
    <n v="1320"/>
    <s v="Donor_002"/>
    <d v="2025-04-01T00:00:00"/>
    <s v="North"/>
    <s v="FloodReliefMeals"/>
    <m/>
    <n v="5396"/>
    <s v="Cheque"/>
    <x v="17"/>
    <d v="2025-04-12T00:00:00"/>
    <s v="ACTIVE"/>
    <m/>
    <m/>
    <m/>
    <m/>
  </r>
  <r>
    <n v="792"/>
    <s v="Donor_056"/>
    <d v="2024-11-13T00:00:00"/>
    <s v="West"/>
    <s v="SchoolLunchFund"/>
    <m/>
    <n v="2587"/>
    <s v="Cheque"/>
    <x v="4"/>
    <d v="2025-05-08T00:00:00"/>
    <s v="ACTIVE"/>
    <m/>
    <m/>
    <m/>
    <m/>
  </r>
  <r>
    <n v="800"/>
    <s v="Donor_022"/>
    <d v="2024-06-14T00:00:00"/>
    <s v="North"/>
    <s v="YearEndGiving"/>
    <m/>
    <n v="871"/>
    <s v="UPI"/>
    <x v="2"/>
    <d v="2025-06-21T00:00:00"/>
    <s v="ACTIVE"/>
    <m/>
    <m/>
    <m/>
    <m/>
  </r>
  <r>
    <n v="385"/>
    <s v="Donor_013"/>
    <d v="2024-03-25T00:00:00"/>
    <s v="South"/>
    <s v="YearEndGiving"/>
    <m/>
    <n v="8029"/>
    <s v="UPI"/>
    <x v="8"/>
    <d v="2025-04-28T00:00:00"/>
    <s v="ACTIVE"/>
    <m/>
    <m/>
    <m/>
    <m/>
  </r>
  <r>
    <n v="751"/>
    <s v="Donor_036"/>
    <d v="2024-02-07T00:00:00"/>
    <s v="West"/>
    <s v="EmergencyFoodBank"/>
    <m/>
    <n v="1606"/>
    <s v="Cash"/>
    <x v="14"/>
    <d v="2025-06-07T00:00:00"/>
    <s v="ACTIVE"/>
    <m/>
    <m/>
    <m/>
    <m/>
  </r>
  <r>
    <n v="423"/>
    <s v="Donor_052"/>
    <d v="2025-02-08T00:00:00"/>
    <s v="Central"/>
    <s v="SchoolLunchFund"/>
    <m/>
    <n v="8061"/>
    <s v="UPI"/>
    <x v="13"/>
    <d v="2025-06-13T00:00:00"/>
    <s v="ACTIVE"/>
    <m/>
    <m/>
    <m/>
    <m/>
  </r>
  <r>
    <n v="315"/>
    <s v="Donor_012"/>
    <d v="2025-03-13T00:00:00"/>
    <s v="East"/>
    <s v="EmergencyFoodBank"/>
    <m/>
    <n v="264"/>
    <s v="UPI"/>
    <x v="6"/>
    <d v="2025-06-23T00:00:00"/>
    <s v="ACTIVE"/>
    <m/>
    <m/>
    <m/>
    <m/>
  </r>
  <r>
    <n v="1022"/>
    <s v="Donor_074"/>
    <d v="2024-07-03T00:00:00"/>
    <s v="Central"/>
    <s v="EmergencyFoodBank"/>
    <m/>
    <n v="9037"/>
    <s v="Bank Transfer"/>
    <x v="5"/>
    <d v="2025-06-18T00:00:00"/>
    <s v="ACTIVE"/>
    <m/>
    <m/>
    <m/>
    <m/>
  </r>
  <r>
    <n v="544"/>
    <s v="Donor_085"/>
    <d v="2024-08-04T00:00:00"/>
    <s v="South"/>
    <s v="RamadanFeeding"/>
    <m/>
    <n v="1313"/>
    <s v="Cash"/>
    <x v="1"/>
    <d v="2025-06-22T00:00:00"/>
    <s v="ACTIVE"/>
    <m/>
    <m/>
    <m/>
    <m/>
  </r>
  <r>
    <n v="914"/>
    <s v="Donor_105"/>
    <d v="2025-05-04T00:00:00"/>
    <s v="North"/>
    <s v="WinterMealDrive"/>
    <m/>
    <n v="888"/>
    <s v="Bank Transfer"/>
    <x v="11"/>
    <d v="2025-06-15T00:00:00"/>
    <s v="ACTIVE"/>
    <m/>
    <m/>
    <m/>
    <m/>
  </r>
  <r>
    <n v="663"/>
    <s v="Donor_089"/>
    <d v="2024-02-25T00:00:00"/>
    <s v="South"/>
    <s v="FloodReliefMeals"/>
    <m/>
    <n v="9539"/>
    <s v="Bank Transfer"/>
    <x v="14"/>
    <d v="2025-05-16T00:00:00"/>
    <s v="ACTIVE"/>
    <m/>
    <m/>
    <m/>
    <m/>
  </r>
  <r>
    <n v="903"/>
    <s v="Donor_020"/>
    <d v="2025-02-08T00:00:00"/>
    <s v="West"/>
    <s v="SchoolLunchFund"/>
    <m/>
    <n v="711"/>
    <s v="Cash"/>
    <x v="13"/>
    <d v="2025-05-31T00:00:00"/>
    <s v="ACTIVE"/>
    <m/>
    <m/>
    <m/>
    <m/>
  </r>
  <r>
    <n v="1268"/>
    <s v="Donor_076"/>
    <d v="2024-07-03T00:00:00"/>
    <s v="Central"/>
    <s v="SchoolLunchFund"/>
    <m/>
    <n v="999"/>
    <s v="Cheque"/>
    <x v="5"/>
    <d v="2025-06-08T00:00:00"/>
    <s v="ACTIVE"/>
    <m/>
    <m/>
    <m/>
    <m/>
  </r>
  <r>
    <n v="686"/>
    <s v="Donor_077"/>
    <d v="2024-10-02T00:00:00"/>
    <s v="North"/>
    <s v="FloodReliefMeals"/>
    <m/>
    <n v="531"/>
    <s v="Cash"/>
    <x v="12"/>
    <d v="2025-06-21T00:00:00"/>
    <s v="ACTIVE"/>
    <m/>
    <m/>
    <m/>
    <m/>
  </r>
  <r>
    <n v="1519"/>
    <s v="Donor_080"/>
    <d v="2025-04-16T00:00:00"/>
    <s v="East"/>
    <s v="WinterMealDrive"/>
    <m/>
    <n v="8739"/>
    <s v="UPI"/>
    <x v="17"/>
    <d v="2025-05-11T00:00:00"/>
    <s v="ACTIVE"/>
    <m/>
    <m/>
    <m/>
    <m/>
  </r>
  <r>
    <n v="160"/>
    <s v="Donor_012"/>
    <d v="2025-03-31T00:00:00"/>
    <s v="East"/>
    <s v="EmergencyFoodBank"/>
    <m/>
    <n v="5419"/>
    <s v="Cheque"/>
    <x v="6"/>
    <d v="2025-06-23T00:00:00"/>
    <s v="ACTIVE"/>
    <m/>
    <m/>
    <m/>
    <m/>
  </r>
  <r>
    <n v="1000"/>
    <s v="Donor_025"/>
    <d v="2024-11-12T00:00:00"/>
    <s v="North"/>
    <s v="YearEndGiving"/>
    <m/>
    <n v="10807"/>
    <s v="Cheque"/>
    <x v="4"/>
    <d v="2025-06-07T00:00:00"/>
    <s v="ACTIVE"/>
    <m/>
    <m/>
    <m/>
    <m/>
  </r>
  <r>
    <n v="1180"/>
    <s v="Donor_116"/>
    <d v="2024-03-06T00:00:00"/>
    <s v="South"/>
    <s v="YearEndGiving"/>
    <m/>
    <n v="2061"/>
    <s v="Credit Card"/>
    <x v="8"/>
    <d v="2025-06-11T00:00:00"/>
    <s v="ACTIVE"/>
    <m/>
    <m/>
    <m/>
    <m/>
  </r>
  <r>
    <n v="1731"/>
    <s v="Donor_074"/>
    <d v="2025-06-18T00:00:00"/>
    <s v="Central"/>
    <s v="SchoolLunchFund"/>
    <m/>
    <n v="604"/>
    <s v="UPI"/>
    <x v="16"/>
    <d v="2025-06-18T00:00:00"/>
    <s v="ACTIVE"/>
    <m/>
    <m/>
    <m/>
    <m/>
  </r>
  <r>
    <n v="203"/>
    <s v="Donor_068"/>
    <d v="2025-02-06T00:00:00"/>
    <s v="South"/>
    <s v="EmergencyFoodBank"/>
    <m/>
    <n v="2268"/>
    <s v="UPI"/>
    <x v="13"/>
    <d v="2025-05-16T00:00:00"/>
    <s v="ACTIVE"/>
    <m/>
    <m/>
    <m/>
    <m/>
  </r>
  <r>
    <n v="1024"/>
    <s v="Donor_014"/>
    <d v="2024-08-30T00:00:00"/>
    <s v="South"/>
    <s v="EmergencyFoodBank"/>
    <m/>
    <n v="827"/>
    <s v="Cash"/>
    <x v="1"/>
    <d v="2025-06-03T00:00:00"/>
    <s v="ACTIVE"/>
    <m/>
    <m/>
    <m/>
    <m/>
  </r>
  <r>
    <n v="1382"/>
    <s v="Donor_012"/>
    <d v="2024-06-14T00:00:00"/>
    <s v="Central"/>
    <s v="SchoolLunchFund"/>
    <m/>
    <n v="1957"/>
    <s v="Cheque"/>
    <x v="2"/>
    <d v="2025-06-23T00:00:00"/>
    <s v="ACTIVE"/>
    <m/>
    <m/>
    <m/>
    <m/>
  </r>
  <r>
    <n v="1154"/>
    <s v="Donor_020"/>
    <d v="2025-03-31T00:00:00"/>
    <s v="West"/>
    <s v="EmergencyFoodBank"/>
    <m/>
    <n v="265"/>
    <s v="Credit Card"/>
    <x v="6"/>
    <d v="2025-05-31T00:00:00"/>
    <s v="ACTIVE"/>
    <m/>
    <m/>
    <m/>
    <m/>
  </r>
  <r>
    <n v="113"/>
    <s v="Donor_076"/>
    <d v="2024-03-02T00:00:00"/>
    <s v="Central"/>
    <s v="YearEndGiving"/>
    <m/>
    <n v="5340"/>
    <s v="Cash"/>
    <x v="8"/>
    <d v="2025-06-08T00:00:00"/>
    <s v="ACTIVE"/>
    <m/>
    <m/>
    <m/>
    <m/>
  </r>
  <r>
    <n v="1633"/>
    <s v="Donor_017"/>
    <d v="2024-04-17T00:00:00"/>
    <s v="South"/>
    <s v="WinterMealDrive"/>
    <m/>
    <n v="1047"/>
    <s v="UPI"/>
    <x v="3"/>
    <d v="2025-02-02T00:00:00"/>
    <s v="LAPSED"/>
    <m/>
    <m/>
    <m/>
    <m/>
  </r>
  <r>
    <n v="981"/>
    <s v="Donor_082"/>
    <d v="2025-02-27T00:00:00"/>
    <s v="West"/>
    <s v="EmergencyFoodBank"/>
    <m/>
    <n v="1009"/>
    <s v="Credit Card"/>
    <x v="13"/>
    <d v="2025-06-02T00:00:00"/>
    <s v="ACTIVE"/>
    <m/>
    <m/>
    <m/>
    <m/>
  </r>
  <r>
    <n v="923"/>
    <s v="Donor_065"/>
    <d v="2024-06-26T00:00:00"/>
    <s v="South"/>
    <s v="WinterMealDrive"/>
    <m/>
    <n v="850"/>
    <s v="Cash"/>
    <x v="2"/>
    <d v="2025-05-02T00:00:00"/>
    <s v="ACTIVE"/>
    <m/>
    <m/>
    <m/>
    <m/>
  </r>
  <r>
    <n v="1751"/>
    <s v="Donor_041"/>
    <d v="2024-06-30T00:00:00"/>
    <s v="South"/>
    <s v="RamadanFeeding"/>
    <m/>
    <n v="2406"/>
    <s v="Credit Card"/>
    <x v="2"/>
    <d v="2025-06-13T00:00:00"/>
    <s v="ACTIVE"/>
    <m/>
    <m/>
    <m/>
    <m/>
  </r>
  <r>
    <n v="1532"/>
    <s v="Donor_113"/>
    <d v="2024-02-10T00:00:00"/>
    <s v="West"/>
    <s v="WinterMealDrive"/>
    <m/>
    <n v="1182"/>
    <s v="Cheque"/>
    <x v="14"/>
    <d v="2025-04-17T00:00:00"/>
    <s v="ACTIVE"/>
    <m/>
    <m/>
    <m/>
    <m/>
  </r>
  <r>
    <n v="1287"/>
    <s v="Donor_008"/>
    <d v="2024-11-21T00:00:00"/>
    <s v="North"/>
    <s v="EmergencyFoodBank"/>
    <m/>
    <n v="964"/>
    <s v="Cheque"/>
    <x v="4"/>
    <d v="2025-06-07T00:00:00"/>
    <s v="ACTIVE"/>
    <m/>
    <m/>
    <m/>
    <m/>
  </r>
  <r>
    <n v="1128"/>
    <s v="Donor_117"/>
    <d v="2024-07-10T00:00:00"/>
    <s v="East"/>
    <s v="FloodReliefMeals"/>
    <m/>
    <n v="1480"/>
    <s v="Credit Card"/>
    <x v="5"/>
    <d v="2025-04-05T00:00:00"/>
    <s v="ACTIVE"/>
    <m/>
    <m/>
    <m/>
    <m/>
  </r>
  <r>
    <n v="816"/>
    <s v="Donor_047"/>
    <d v="2024-03-22T00:00:00"/>
    <s v="West"/>
    <s v="RamadanFeeding"/>
    <m/>
    <n v="1482"/>
    <s v="Cash"/>
    <x v="8"/>
    <d v="2025-05-04T00:00:00"/>
    <s v="ACTIVE"/>
    <m/>
    <m/>
    <m/>
    <m/>
  </r>
  <r>
    <n v="1317"/>
    <s v="Donor_090"/>
    <d v="2024-05-06T00:00:00"/>
    <s v="North"/>
    <s v="SchoolLunchFund"/>
    <m/>
    <n v="1709"/>
    <s v="Credit Card"/>
    <x v="15"/>
    <d v="2025-04-25T00:00:00"/>
    <s v="ACTIVE"/>
    <m/>
    <m/>
    <m/>
    <m/>
  </r>
  <r>
    <n v="1172"/>
    <s v="Donor_073"/>
    <d v="2024-06-11T00:00:00"/>
    <s v="East"/>
    <s v="RamadanFeeding"/>
    <m/>
    <n v="321"/>
    <s v="Credit Card"/>
    <x v="2"/>
    <d v="2025-06-23T00:00:00"/>
    <s v="ACTIVE"/>
    <m/>
    <m/>
    <m/>
    <m/>
  </r>
  <r>
    <n v="81"/>
    <s v="Donor_040"/>
    <d v="2024-06-11T00:00:00"/>
    <s v="Central"/>
    <s v="WinterMealDrive"/>
    <m/>
    <n v="9632"/>
    <s v="Credit Card"/>
    <x v="2"/>
    <d v="2025-05-15T00:00:00"/>
    <s v="ACTIVE"/>
    <m/>
    <m/>
    <m/>
    <m/>
  </r>
  <r>
    <n v="1588"/>
    <s v="Donor_088"/>
    <d v="2024-07-09T00:00:00"/>
    <s v="South"/>
    <s v="FloodReliefMeals"/>
    <m/>
    <n v="539"/>
    <s v="UPI"/>
    <x v="5"/>
    <d v="2025-05-21T00:00:00"/>
    <s v="ACTIVE"/>
    <m/>
    <m/>
    <m/>
    <m/>
  </r>
  <r>
    <n v="1380"/>
    <s v="Donor_091"/>
    <d v="2024-01-22T00:00:00"/>
    <s v="Central"/>
    <s v="EmergencyFoodBank"/>
    <m/>
    <n v="5270"/>
    <s v="UPI"/>
    <x v="10"/>
    <d v="2025-05-16T00:00:00"/>
    <s v="ACTIVE"/>
    <m/>
    <m/>
    <m/>
    <m/>
  </r>
  <r>
    <n v="1381"/>
    <s v="Donor_009"/>
    <d v="2024-03-09T00:00:00"/>
    <s v="North"/>
    <s v="FloodReliefMeals"/>
    <m/>
    <n v="4949"/>
    <s v="Cheque"/>
    <x v="8"/>
    <d v="2025-05-15T00:00:00"/>
    <s v="ACTIVE"/>
    <m/>
    <m/>
    <m/>
    <m/>
  </r>
  <r>
    <n v="753"/>
    <s v="Donor_094"/>
    <d v="2025-06-19T00:00:00"/>
    <s v="NOT KNOWN"/>
    <s v="SchoolLunchFund"/>
    <m/>
    <n v="598"/>
    <s v="Cheque"/>
    <x v="16"/>
    <d v="2025-06-19T00:00:00"/>
    <s v="ACTIVE"/>
    <m/>
    <m/>
    <m/>
    <m/>
  </r>
  <r>
    <n v="1351"/>
    <s v="Donor_066"/>
    <d v="2024-08-10T00:00:00"/>
    <s v="North"/>
    <s v="FloodReliefMeals"/>
    <m/>
    <n v="443"/>
    <s v="Credit Card"/>
    <x v="1"/>
    <d v="2025-03-22T00:00:00"/>
    <s v="LAPSED"/>
    <m/>
    <m/>
    <m/>
    <m/>
  </r>
  <r>
    <n v="1055"/>
    <s v="Donor_107"/>
    <d v="2025-01-15T00:00:00"/>
    <s v="West"/>
    <s v="WinterMealDrive"/>
    <m/>
    <n v="863"/>
    <s v="Credit Card"/>
    <x v="7"/>
    <d v="2025-03-18T00:00:00"/>
    <s v="LAPSED"/>
    <m/>
    <m/>
    <m/>
    <m/>
  </r>
  <r>
    <n v="243"/>
    <s v="Donor_054"/>
    <d v="2024-10-29T00:00:00"/>
    <s v="North"/>
    <s v="WinterMealDrive"/>
    <m/>
    <n v="1409"/>
    <s v="Bank Transfer"/>
    <x v="12"/>
    <d v="2025-06-18T00:00:00"/>
    <s v="ACTIVE"/>
    <m/>
    <m/>
    <m/>
    <m/>
  </r>
  <r>
    <n v="1239"/>
    <s v="Donor_100"/>
    <d v="2024-04-16T00:00:00"/>
    <s v="West"/>
    <s v="YearEndGiving"/>
    <m/>
    <n v="782"/>
    <s v="Cash"/>
    <x v="3"/>
    <d v="2025-06-14T00:00:00"/>
    <s v="ACTIVE"/>
    <m/>
    <m/>
    <m/>
    <m/>
  </r>
  <r>
    <n v="642"/>
    <s v="Donor_114"/>
    <d v="2024-11-06T00:00:00"/>
    <s v="South"/>
    <s v="RamadanFeeding"/>
    <m/>
    <n v="640"/>
    <s v="Cash"/>
    <x v="4"/>
    <d v="2025-04-04T00:00:00"/>
    <s v="ACTIVE"/>
    <m/>
    <m/>
    <m/>
    <m/>
  </r>
  <r>
    <n v="697"/>
    <s v="Donor_015"/>
    <d v="2025-02-08T00:00:00"/>
    <s v="North"/>
    <s v="SchoolLunchFund"/>
    <m/>
    <n v="295"/>
    <s v="Cash"/>
    <x v="13"/>
    <d v="2025-05-02T00:00:00"/>
    <s v="ACTIVE"/>
    <m/>
    <m/>
    <m/>
    <m/>
  </r>
  <r>
    <n v="210"/>
    <s v="Donor_118"/>
    <d v="2025-04-19T00:00:00"/>
    <s v="North"/>
    <s v="YearEndGiving"/>
    <m/>
    <n v="890"/>
    <s v="Cheque"/>
    <x v="17"/>
    <d v="2025-04-19T00:00:00"/>
    <s v="ACTIVE"/>
    <m/>
    <m/>
    <m/>
    <m/>
  </r>
  <r>
    <n v="771"/>
    <s v="Donor_026"/>
    <d v="2024-07-01T00:00:00"/>
    <s v="North"/>
    <s v="SchoolLunchFund"/>
    <m/>
    <n v="2911"/>
    <s v="UPI"/>
    <x v="5"/>
    <d v="2025-05-28T00:00:00"/>
    <s v="ACTIVE"/>
    <m/>
    <m/>
    <m/>
    <m/>
  </r>
  <r>
    <n v="1582"/>
    <s v="Donor_085"/>
    <d v="2024-08-23T00:00:00"/>
    <s v="Central"/>
    <s v="RamadanFeeding"/>
    <m/>
    <n v="2507"/>
    <s v="Bank Transfer"/>
    <x v="1"/>
    <d v="2025-06-22T00:00:00"/>
    <s v="ACTIVE"/>
    <m/>
    <m/>
    <m/>
    <m/>
  </r>
  <r>
    <n v="436"/>
    <s v="Donor_072"/>
    <d v="2024-08-29T00:00:00"/>
    <s v="West"/>
    <s v="RamadanFeeding"/>
    <m/>
    <n v="1717"/>
    <s v="Credit Card"/>
    <x v="1"/>
    <d v="2025-04-13T00:00:00"/>
    <s v="ACTIVE"/>
    <m/>
    <m/>
    <m/>
    <m/>
  </r>
  <r>
    <n v="1064"/>
    <s v="Donor_098"/>
    <d v="2024-09-26T00:00:00"/>
    <s v="Central"/>
    <s v="EmergencyFoodBank"/>
    <m/>
    <n v="329"/>
    <s v="Credit Card"/>
    <x v="0"/>
    <d v="2025-06-20T00:00:00"/>
    <s v="ACTIVE"/>
    <m/>
    <m/>
    <m/>
    <m/>
  </r>
  <r>
    <n v="975"/>
    <s v="Donor_117"/>
    <d v="2024-01-05T00:00:00"/>
    <s v="West"/>
    <s v="FloodReliefMeals"/>
    <m/>
    <n v="1705"/>
    <s v="Cash"/>
    <x v="10"/>
    <d v="2025-04-05T00:00:00"/>
    <s v="ACTIVE"/>
    <m/>
    <m/>
    <m/>
    <m/>
  </r>
  <r>
    <n v="552"/>
    <s v="Donor_075"/>
    <d v="2025-04-29T00:00:00"/>
    <s v="South"/>
    <s v="YearEndGiving"/>
    <m/>
    <n v="531"/>
    <s v="Bank Transfer"/>
    <x v="17"/>
    <d v="2025-04-29T00:00:00"/>
    <s v="ACTIVE"/>
    <m/>
    <m/>
    <m/>
    <m/>
  </r>
  <r>
    <n v="1332"/>
    <s v="Donor_050"/>
    <d v="2024-04-07T00:00:00"/>
    <s v="South"/>
    <s v="YearEndGiving"/>
    <m/>
    <n v="4163"/>
    <s v="Cash"/>
    <x v="3"/>
    <d v="2025-06-18T00:00:00"/>
    <s v="ACTIVE"/>
    <m/>
    <m/>
    <m/>
    <m/>
  </r>
  <r>
    <n v="1274"/>
    <s v="Donor_083"/>
    <d v="2024-06-26T00:00:00"/>
    <s v="East"/>
    <s v="EmergencyFoodBank"/>
    <m/>
    <n v="507"/>
    <s v="UPI"/>
    <x v="2"/>
    <d v="2025-06-21T00:00:00"/>
    <s v="ACTIVE"/>
    <m/>
    <m/>
    <m/>
    <m/>
  </r>
  <r>
    <n v="1014"/>
    <s v="Donor_080"/>
    <d v="2025-05-11T00:00:00"/>
    <s v="South"/>
    <s v="WinterMealDrive"/>
    <m/>
    <n v="800"/>
    <s v="Cheque"/>
    <x v="11"/>
    <d v="2025-05-11T00:00:00"/>
    <s v="ACTIVE"/>
    <m/>
    <m/>
    <m/>
    <m/>
  </r>
  <r>
    <n v="1701"/>
    <s v="Donor_044"/>
    <d v="2025-05-05T00:00:00"/>
    <s v="South"/>
    <s v="RamadanFeeding"/>
    <m/>
    <n v="5393"/>
    <s v="Cash"/>
    <x v="11"/>
    <d v="2025-05-05T00:00:00"/>
    <s v="ACTIVE"/>
    <m/>
    <m/>
    <m/>
    <m/>
  </r>
  <r>
    <n v="467"/>
    <s v="Donor_068"/>
    <d v="2025-05-16T00:00:00"/>
    <s v="Central"/>
    <s v="EmergencyFoodBank"/>
    <m/>
    <n v="2049"/>
    <s v="Credit Card"/>
    <x v="11"/>
    <d v="2025-05-16T00:00:00"/>
    <s v="ACTIVE"/>
    <m/>
    <m/>
    <m/>
    <m/>
  </r>
  <r>
    <n v="1334"/>
    <s v="Donor_046"/>
    <d v="2024-12-01T00:00:00"/>
    <s v="Central"/>
    <s v="RamadanFeeding"/>
    <m/>
    <n v="8584"/>
    <s v="Bank Transfer"/>
    <x v="9"/>
    <d v="2025-05-10T00:00:00"/>
    <s v="ACTIVE"/>
    <m/>
    <m/>
    <m/>
    <m/>
  </r>
  <r>
    <n v="1420"/>
    <s v="Donor_097"/>
    <d v="2025-02-18T00:00:00"/>
    <s v="East"/>
    <s v="YearEndGiving"/>
    <m/>
    <n v="650"/>
    <s v="Cash"/>
    <x v="13"/>
    <d v="2025-06-04T00:00:00"/>
    <s v="ACTIVE"/>
    <m/>
    <m/>
    <m/>
    <m/>
  </r>
  <r>
    <n v="278"/>
    <s v="Donor_067"/>
    <d v="2024-12-21T00:00:00"/>
    <s v="Central"/>
    <s v="EmergencyFoodBank"/>
    <m/>
    <n v="2167"/>
    <s v="Credit Card"/>
    <x v="9"/>
    <d v="2025-06-15T00:00:00"/>
    <s v="ACTIVE"/>
    <m/>
    <m/>
    <m/>
    <m/>
  </r>
  <r>
    <n v="1070"/>
    <s v="Donor_050"/>
    <d v="2024-11-26T00:00:00"/>
    <s v="East"/>
    <s v="SchoolLunchFund"/>
    <m/>
    <n v="1225"/>
    <s v="Credit Card"/>
    <x v="4"/>
    <d v="2025-06-18T00:00:00"/>
    <s v="ACTIVE"/>
    <m/>
    <m/>
    <m/>
    <m/>
  </r>
  <r>
    <n v="1018"/>
    <s v="Donor_051"/>
    <d v="2024-10-08T00:00:00"/>
    <s v="West"/>
    <s v="EmergencyFoodBank"/>
    <m/>
    <n v="986"/>
    <s v="Cash"/>
    <x v="12"/>
    <d v="2025-06-11T00:00:00"/>
    <s v="ACTIVE"/>
    <m/>
    <m/>
    <m/>
    <m/>
  </r>
  <r>
    <n v="1200"/>
    <s v="Donor_073"/>
    <d v="2024-03-18T00:00:00"/>
    <s v="North"/>
    <s v="YearEndGiving"/>
    <m/>
    <n v="1013"/>
    <s v="Cheque"/>
    <x v="8"/>
    <d v="2025-06-23T00:00:00"/>
    <s v="ACTIVE"/>
    <m/>
    <m/>
    <m/>
    <m/>
  </r>
  <r>
    <n v="723"/>
    <s v="Donor_045"/>
    <d v="2024-08-27T00:00:00"/>
    <s v="East"/>
    <s v="FloodReliefMeals"/>
    <m/>
    <n v="1629"/>
    <s v="Cheque"/>
    <x v="1"/>
    <d v="2025-05-11T00:00:00"/>
    <s v="ACTIVE"/>
    <m/>
    <m/>
    <m/>
    <m/>
  </r>
  <r>
    <n v="1760"/>
    <s v="Donor_098"/>
    <d v="2024-04-12T00:00:00"/>
    <s v="West"/>
    <s v="EmergencyFoodBank"/>
    <m/>
    <n v="2276"/>
    <s v="Cash"/>
    <x v="3"/>
    <d v="2025-06-20T00:00:00"/>
    <s v="ACTIVE"/>
    <m/>
    <m/>
    <m/>
    <m/>
  </r>
  <r>
    <n v="787"/>
    <s v="Donor_042"/>
    <d v="2024-11-02T00:00:00"/>
    <s v="Central"/>
    <s v="WinterMealDrive"/>
    <m/>
    <n v="584"/>
    <s v="Credit Card"/>
    <x v="4"/>
    <d v="2025-02-10T00:00:00"/>
    <s v="LAPSED"/>
    <m/>
    <m/>
    <m/>
    <m/>
  </r>
  <r>
    <n v="1393"/>
    <s v="Donor_112"/>
    <d v="2024-10-04T00:00:00"/>
    <s v="East"/>
    <s v="YearEndGiving"/>
    <m/>
    <n v="8911"/>
    <s v="Bank Transfer"/>
    <x v="12"/>
    <d v="2025-05-26T00:00:00"/>
    <s v="ACTIVE"/>
    <m/>
    <m/>
    <m/>
    <m/>
  </r>
  <r>
    <n v="1188"/>
    <s v="Donor_079"/>
    <d v="2024-06-10T00:00:00"/>
    <s v="South"/>
    <s v="FloodReliefMeals"/>
    <m/>
    <n v="11925"/>
    <s v="Cheque"/>
    <x v="2"/>
    <d v="2025-06-07T00:00:00"/>
    <s v="ACTIVE"/>
    <m/>
    <m/>
    <m/>
    <m/>
  </r>
  <r>
    <n v="1242"/>
    <s v="Donor_028"/>
    <d v="2024-01-27T00:00:00"/>
    <s v="Central"/>
    <s v="SchoolLunchFund"/>
    <m/>
    <n v="526"/>
    <s v="Bank Transfer"/>
    <x v="10"/>
    <d v="2025-03-09T00:00:00"/>
    <s v="LAPSED"/>
    <m/>
    <m/>
    <m/>
    <m/>
  </r>
  <r>
    <n v="1769"/>
    <s v="Donor_010"/>
    <d v="2024-01-12T00:00:00"/>
    <s v="West"/>
    <s v="SchoolLunchFund"/>
    <m/>
    <n v="694"/>
    <s v="Credit Card"/>
    <x v="10"/>
    <d v="2025-06-01T00:00:00"/>
    <s v="ACTIVE"/>
    <m/>
    <m/>
    <m/>
    <m/>
  </r>
  <r>
    <n v="907"/>
    <s v="Donor_102"/>
    <d v="2024-01-14T00:00:00"/>
    <s v="North"/>
    <s v="WinterMealDrive"/>
    <m/>
    <n v="10945"/>
    <s v="Bank Transfer"/>
    <x v="10"/>
    <d v="2025-04-29T00:00:00"/>
    <s v="ACTIVE"/>
    <m/>
    <m/>
    <m/>
    <m/>
  </r>
  <r>
    <n v="564"/>
    <s v="Donor_021"/>
    <d v="2024-09-20T00:00:00"/>
    <s v="North"/>
    <s v="FloodReliefMeals"/>
    <m/>
    <n v="477"/>
    <s v="Bank Transfer"/>
    <x v="0"/>
    <d v="2025-04-05T00:00:00"/>
    <s v="ACTIVE"/>
    <m/>
    <m/>
    <m/>
    <m/>
  </r>
  <r>
    <n v="389"/>
    <s v="Donor_090"/>
    <d v="2024-02-16T00:00:00"/>
    <s v="North"/>
    <s v="FloodReliefMeals"/>
    <m/>
    <n v="8425"/>
    <s v="Bank Transfer"/>
    <x v="14"/>
    <d v="2025-04-25T00:00:00"/>
    <s v="ACTIVE"/>
    <m/>
    <m/>
    <m/>
    <m/>
  </r>
  <r>
    <n v="23"/>
    <s v="Donor_034"/>
    <d v="2025-02-03T00:00:00"/>
    <s v="West"/>
    <s v="FloodReliefMeals"/>
    <m/>
    <n v="809"/>
    <s v="Cheque"/>
    <x v="13"/>
    <d v="2025-06-21T00:00:00"/>
    <s v="ACTIVE"/>
    <m/>
    <m/>
    <m/>
    <m/>
  </r>
  <r>
    <n v="1110"/>
    <s v="Donor_022"/>
    <d v="2024-08-07T00:00:00"/>
    <s v="East"/>
    <s v="EmergencyFoodBank"/>
    <m/>
    <n v="1704"/>
    <s v="Cheque"/>
    <x v="1"/>
    <d v="2025-06-21T00:00:00"/>
    <s v="ACTIVE"/>
    <m/>
    <m/>
    <m/>
    <m/>
  </r>
  <r>
    <n v="125"/>
    <s v="Donor_010"/>
    <d v="2024-06-21T00:00:00"/>
    <s v="Central"/>
    <s v="EmergencyFoodBank"/>
    <m/>
    <n v="1012"/>
    <s v="Credit Card"/>
    <x v="2"/>
    <d v="2025-06-01T00:00:00"/>
    <s v="ACTIVE"/>
    <m/>
    <m/>
    <m/>
    <m/>
  </r>
  <r>
    <n v="1270"/>
    <s v="Donor_006"/>
    <d v="2025-02-17T00:00:00"/>
    <s v="East"/>
    <s v="WinterMealDrive"/>
    <m/>
    <n v="337"/>
    <s v="Cheque"/>
    <x v="13"/>
    <d v="2025-06-06T00:00:00"/>
    <s v="ACTIVE"/>
    <m/>
    <m/>
    <m/>
    <m/>
  </r>
  <r>
    <n v="774"/>
    <s v="Donor_082"/>
    <d v="2025-03-15T00:00:00"/>
    <s v="South"/>
    <s v="WinterMealDrive"/>
    <m/>
    <n v="2284"/>
    <s v="Bank Transfer"/>
    <x v="6"/>
    <d v="2025-06-02T00:00:00"/>
    <s v="ACTIVE"/>
    <m/>
    <m/>
    <m/>
    <m/>
  </r>
  <r>
    <n v="881"/>
    <s v="Donor_025"/>
    <d v="2024-04-23T00:00:00"/>
    <s v="East"/>
    <s v="WinterMealDrive"/>
    <m/>
    <n v="1437"/>
    <s v="Bank Transfer"/>
    <x v="3"/>
    <d v="2025-06-07T00:00:00"/>
    <s v="ACTIVE"/>
    <m/>
    <m/>
    <m/>
    <m/>
  </r>
  <r>
    <n v="51"/>
    <s v="Donor_069"/>
    <d v="2025-03-05T00:00:00"/>
    <s v="Central"/>
    <s v="YearEndGiving"/>
    <m/>
    <n v="1991"/>
    <s v="Bank Transfer"/>
    <x v="6"/>
    <d v="2025-06-13T00:00:00"/>
    <s v="ACTIVE"/>
    <m/>
    <m/>
    <m/>
    <m/>
  </r>
  <r>
    <n v="1477"/>
    <s v="Donor_022"/>
    <d v="2024-05-09T00:00:00"/>
    <s v="Central"/>
    <s v="SchoolLunchFund"/>
    <m/>
    <n v="602"/>
    <s v="Cheque"/>
    <x v="15"/>
    <d v="2025-06-21T00:00:00"/>
    <s v="ACTIVE"/>
    <m/>
    <m/>
    <m/>
    <m/>
  </r>
  <r>
    <n v="1318"/>
    <s v="Donor_082"/>
    <d v="2025-06-02T00:00:00"/>
    <s v="East"/>
    <s v="SchoolLunchFund"/>
    <m/>
    <n v="675"/>
    <s v="Bank Transfer"/>
    <x v="16"/>
    <d v="2025-06-02T00:00:00"/>
    <s v="ACTIVE"/>
    <m/>
    <m/>
    <m/>
    <m/>
  </r>
  <r>
    <n v="1106"/>
    <s v="Donor_103"/>
    <d v="2024-05-09T00:00:00"/>
    <s v="Central"/>
    <s v="YearEndGiving"/>
    <m/>
    <n v="699"/>
    <s v="Cheque"/>
    <x v="15"/>
    <d v="2025-02-25T00:00:00"/>
    <s v="LAPSED"/>
    <m/>
    <m/>
    <m/>
    <m/>
  </r>
  <r>
    <n v="704"/>
    <s v="Donor_064"/>
    <d v="2024-04-29T00:00:00"/>
    <s v="Central"/>
    <s v="EmergencyFoodBank"/>
    <m/>
    <n v="4897"/>
    <s v="Cash"/>
    <x v="3"/>
    <d v="2025-06-20T00:00:00"/>
    <s v="ACTIVE"/>
    <m/>
    <m/>
    <m/>
    <m/>
  </r>
  <r>
    <n v="483"/>
    <s v="Donor_015"/>
    <d v="2024-04-01T00:00:00"/>
    <s v="West"/>
    <s v="RamadanFeeding"/>
    <m/>
    <n v="4697"/>
    <s v="Bank Transfer"/>
    <x v="3"/>
    <d v="2025-05-02T00:00:00"/>
    <s v="ACTIVE"/>
    <m/>
    <m/>
    <m/>
    <m/>
  </r>
  <r>
    <n v="1721"/>
    <s v="Donor_115"/>
    <d v="2024-08-28T00:00:00"/>
    <s v="Central"/>
    <s v="FloodReliefMeals"/>
    <m/>
    <n v="5300"/>
    <s v="UPI"/>
    <x v="1"/>
    <d v="2025-06-20T00:00:00"/>
    <s v="ACTIVE"/>
    <m/>
    <m/>
    <m/>
    <m/>
  </r>
  <r>
    <n v="67"/>
    <s v="Donor_071"/>
    <d v="2024-02-25T00:00:00"/>
    <s v="East"/>
    <s v="EmergencyFoodBank"/>
    <m/>
    <n v="1583"/>
    <s v="Cash"/>
    <x v="14"/>
    <d v="2025-06-08T00:00:00"/>
    <s v="ACTIVE"/>
    <m/>
    <m/>
    <m/>
    <m/>
  </r>
  <r>
    <n v="1553"/>
    <s v="Donor_083"/>
    <d v="2024-02-01T00:00:00"/>
    <s v="West"/>
    <s v="SchoolLunchFund"/>
    <m/>
    <n v="1848"/>
    <s v="Credit Card"/>
    <x v="14"/>
    <d v="2025-06-21T00:00:00"/>
    <s v="ACTIVE"/>
    <m/>
    <m/>
    <m/>
    <m/>
  </r>
  <r>
    <n v="734"/>
    <s v="Donor_065"/>
    <d v="2025-05-02T00:00:00"/>
    <s v="North"/>
    <s v="WinterMealDrive"/>
    <m/>
    <n v="8719"/>
    <s v="UPI"/>
    <x v="11"/>
    <d v="2025-05-02T00:00:00"/>
    <s v="ACTIVE"/>
    <m/>
    <m/>
    <m/>
    <m/>
  </r>
  <r>
    <n v="1611"/>
    <s v="Donor_091"/>
    <d v="2024-06-26T00:00:00"/>
    <s v="Central"/>
    <s v="WinterMealDrive"/>
    <m/>
    <n v="1314"/>
    <s v="UPI"/>
    <x v="2"/>
    <d v="2025-05-16T00:00:00"/>
    <s v="ACTIVE"/>
    <m/>
    <m/>
    <m/>
    <m/>
  </r>
  <r>
    <n v="802"/>
    <s v="Donor_083"/>
    <d v="2025-06-19T00:00:00"/>
    <s v="North"/>
    <s v="RamadanFeeding"/>
    <m/>
    <n v="2444"/>
    <s v="Cheque"/>
    <x v="16"/>
    <d v="2025-06-21T00:00:00"/>
    <s v="ACTIVE"/>
    <m/>
    <m/>
    <m/>
    <m/>
  </r>
  <r>
    <n v="1533"/>
    <s v="Donor_060"/>
    <d v="2024-04-07T00:00:00"/>
    <s v="Central"/>
    <s v="RamadanFeeding"/>
    <m/>
    <n v="10881"/>
    <s v="Cheque"/>
    <x v="3"/>
    <d v="2025-05-20T00:00:00"/>
    <s v="ACTIVE"/>
    <m/>
    <m/>
    <m/>
    <m/>
  </r>
  <r>
    <n v="1328"/>
    <s v="Donor_081"/>
    <d v="2024-11-11T00:00:00"/>
    <s v="South"/>
    <s v="FloodReliefMeals"/>
    <m/>
    <n v="2684"/>
    <s v="Cash"/>
    <x v="4"/>
    <d v="2025-06-07T00:00:00"/>
    <s v="ACTIVE"/>
    <m/>
    <m/>
    <m/>
    <m/>
  </r>
  <r>
    <n v="908"/>
    <s v="Donor_105"/>
    <d v="2025-03-30T00:00:00"/>
    <s v="South"/>
    <s v="FloodReliefMeals"/>
    <m/>
    <n v="4958"/>
    <s v="Credit Card"/>
    <x v="6"/>
    <d v="2025-06-15T00:00:00"/>
    <s v="ACTIVE"/>
    <m/>
    <m/>
    <m/>
    <m/>
  </r>
  <r>
    <n v="32"/>
    <s v="Donor_072"/>
    <d v="2025-03-13T00:00:00"/>
    <s v="North"/>
    <s v="WinterMealDrive"/>
    <m/>
    <n v="1178"/>
    <s v="Credit Card"/>
    <x v="6"/>
    <d v="2025-04-13T00:00:00"/>
    <s v="ACTIVE"/>
    <m/>
    <m/>
    <m/>
    <m/>
  </r>
  <r>
    <n v="418"/>
    <s v="Donor_096"/>
    <d v="2024-05-01T00:00:00"/>
    <s v="South"/>
    <s v="RamadanFeeding"/>
    <m/>
    <n v="1260"/>
    <s v="Cheque"/>
    <x v="15"/>
    <d v="2025-06-04T00:00:00"/>
    <s v="ACTIVE"/>
    <m/>
    <m/>
    <m/>
    <m/>
  </r>
  <r>
    <n v="633"/>
    <s v="Donor_018"/>
    <d v="2025-06-16T00:00:00"/>
    <s v="West"/>
    <s v="FloodReliefMeals"/>
    <m/>
    <n v="2557"/>
    <s v="UPI"/>
    <x v="16"/>
    <d v="2025-06-16T00:00:00"/>
    <s v="ACTIVE"/>
    <m/>
    <m/>
    <m/>
    <m/>
  </r>
  <r>
    <n v="1409"/>
    <s v="Donor_004"/>
    <d v="2025-04-25T00:00:00"/>
    <s v="Central"/>
    <s v="SchoolLunchFund"/>
    <m/>
    <n v="981"/>
    <s v="UPI"/>
    <x v="17"/>
    <d v="2025-05-26T00:00:00"/>
    <s v="ACTIVE"/>
    <m/>
    <m/>
    <m/>
    <m/>
  </r>
  <r>
    <n v="1303"/>
    <s v="Donor_049"/>
    <d v="2025-04-29T00:00:00"/>
    <s v="West"/>
    <s v="SchoolLunchFund"/>
    <m/>
    <n v="517"/>
    <s v="Bank Transfer"/>
    <x v="17"/>
    <d v="2025-06-19T00:00:00"/>
    <s v="ACTIVE"/>
    <m/>
    <m/>
    <m/>
    <m/>
  </r>
  <r>
    <n v="65"/>
    <s v="Donor_093"/>
    <d v="2024-05-03T00:00:00"/>
    <s v="South"/>
    <s v="FloodReliefMeals"/>
    <m/>
    <n v="1097"/>
    <s v="Credit Card"/>
    <x v="15"/>
    <d v="2025-03-24T00:00:00"/>
    <s v="LAPSED"/>
    <m/>
    <m/>
    <m/>
    <m/>
  </r>
  <r>
    <n v="1570"/>
    <s v="Donor_040"/>
    <d v="2024-10-30T00:00:00"/>
    <s v="East"/>
    <s v="YearEndGiving"/>
    <m/>
    <n v="545"/>
    <s v="Credit Card"/>
    <x v="12"/>
    <d v="2025-05-15T00:00:00"/>
    <s v="ACTIVE"/>
    <m/>
    <m/>
    <m/>
    <m/>
  </r>
  <r>
    <n v="78"/>
    <s v="Donor_105"/>
    <d v="2025-02-14T00:00:00"/>
    <s v="Central"/>
    <s v="WinterMealDrive"/>
    <m/>
    <n v="251"/>
    <s v="Bank Transfer"/>
    <x v="13"/>
    <d v="2025-06-15T00:00:00"/>
    <s v="ACTIVE"/>
    <m/>
    <m/>
    <m/>
    <m/>
  </r>
  <r>
    <n v="492"/>
    <s v="Donor_072"/>
    <d v="2024-01-31T00:00:00"/>
    <s v="East"/>
    <s v="SchoolLunchFund"/>
    <m/>
    <n v="1405"/>
    <s v="Cash"/>
    <x v="10"/>
    <d v="2025-04-13T00:00:00"/>
    <s v="ACTIVE"/>
    <m/>
    <m/>
    <m/>
    <m/>
  </r>
  <r>
    <n v="1280"/>
    <s v="Donor_006"/>
    <d v="2025-02-08T00:00:00"/>
    <s v="West"/>
    <s v="SchoolLunchFund"/>
    <m/>
    <n v="1656"/>
    <s v="UPI"/>
    <x v="13"/>
    <d v="2025-06-06T00:00:00"/>
    <s v="ACTIVE"/>
    <m/>
    <m/>
    <m/>
    <m/>
  </r>
  <r>
    <n v="1666"/>
    <s v="Donor_074"/>
    <d v="2024-08-26T00:00:00"/>
    <s v="West"/>
    <s v="YearEndGiving"/>
    <m/>
    <n v="4875"/>
    <s v="UPI"/>
    <x v="1"/>
    <d v="2025-06-18T00:00:00"/>
    <s v="ACTIVE"/>
    <m/>
    <m/>
    <m/>
    <m/>
  </r>
  <r>
    <n v="533"/>
    <s v="Donor_105"/>
    <d v="2024-04-05T00:00:00"/>
    <s v="West"/>
    <s v="WinterMealDrive"/>
    <m/>
    <n v="277"/>
    <s v="Cash"/>
    <x v="3"/>
    <d v="2025-06-15T00:00:00"/>
    <s v="ACTIVE"/>
    <m/>
    <m/>
    <m/>
    <m/>
  </r>
  <r>
    <n v="66"/>
    <s v="Donor_077"/>
    <d v="2025-06-21T00:00:00"/>
    <s v="East"/>
    <s v="WinterMealDrive"/>
    <m/>
    <n v="1837"/>
    <s v="Bank Transfer"/>
    <x v="16"/>
    <d v="2025-06-21T00:00:00"/>
    <s v="ACTIVE"/>
    <m/>
    <m/>
    <m/>
    <m/>
  </r>
  <r>
    <n v="1529"/>
    <s v="Donor_027"/>
    <d v="2024-09-01T00:00:00"/>
    <s v="South"/>
    <s v="SchoolLunchFund"/>
    <m/>
    <n v="4389"/>
    <s v="Cheque"/>
    <x v="0"/>
    <d v="2025-06-06T00:00:00"/>
    <s v="ACTIVE"/>
    <m/>
    <m/>
    <m/>
    <m/>
  </r>
  <r>
    <n v="297"/>
    <s v="Donor_005"/>
    <d v="2024-06-01T00:00:00"/>
    <s v="Central"/>
    <s v="YearEndGiving"/>
    <m/>
    <n v="2118"/>
    <s v="Cash"/>
    <x v="2"/>
    <d v="2025-06-10T00:00:00"/>
    <s v="ACTIVE"/>
    <m/>
    <m/>
    <m/>
    <m/>
  </r>
  <r>
    <n v="592"/>
    <s v="Donor_058"/>
    <d v="2024-04-10T00:00:00"/>
    <s v="West"/>
    <s v="SchoolLunchFund"/>
    <m/>
    <n v="1023"/>
    <s v="UPI"/>
    <x v="3"/>
    <d v="2025-06-22T00:00:00"/>
    <s v="ACTIVE"/>
    <m/>
    <m/>
    <m/>
    <m/>
  </r>
  <r>
    <n v="768"/>
    <s v="Donor_089"/>
    <d v="2024-08-16T00:00:00"/>
    <s v="South"/>
    <s v="RamadanFeeding"/>
    <m/>
    <n v="1791"/>
    <s v="Bank Transfer"/>
    <x v="1"/>
    <d v="2025-05-16T00:00:00"/>
    <s v="ACTIVE"/>
    <m/>
    <m/>
    <m/>
    <m/>
  </r>
  <r>
    <n v="725"/>
    <s v="Donor_048"/>
    <d v="2024-03-20T00:00:00"/>
    <s v="Central"/>
    <s v="RamadanFeeding"/>
    <m/>
    <n v="10076"/>
    <s v="Cash"/>
    <x v="8"/>
    <d v="2025-06-08T00:00:00"/>
    <s v="ACTIVE"/>
    <m/>
    <m/>
    <m/>
    <m/>
  </r>
  <r>
    <n v="627"/>
    <s v="Donor_089"/>
    <d v="2025-03-11T00:00:00"/>
    <s v="North"/>
    <s v="WinterMealDrive"/>
    <m/>
    <n v="555"/>
    <s v="Cash"/>
    <x v="6"/>
    <d v="2025-05-16T00:00:00"/>
    <s v="ACTIVE"/>
    <m/>
    <m/>
    <m/>
    <m/>
  </r>
  <r>
    <n v="1278"/>
    <s v="Donor_077"/>
    <d v="2024-05-25T00:00:00"/>
    <s v="South"/>
    <s v="YearEndGiving"/>
    <m/>
    <n v="2882"/>
    <s v="Cash"/>
    <x v="15"/>
    <d v="2025-06-21T00:00:00"/>
    <s v="ACTIVE"/>
    <m/>
    <m/>
    <m/>
    <m/>
  </r>
  <r>
    <n v="1754"/>
    <s v="Donor_094"/>
    <d v="2024-11-12T00:00:00"/>
    <s v="North"/>
    <s v="EmergencyFoodBank"/>
    <m/>
    <n v="1156"/>
    <s v="UPI"/>
    <x v="4"/>
    <d v="2025-06-19T00:00:00"/>
    <s v="ACTIVE"/>
    <m/>
    <m/>
    <m/>
    <m/>
  </r>
  <r>
    <n v="1456"/>
    <s v="Donor_056"/>
    <d v="2024-01-03T00:00:00"/>
    <s v="North"/>
    <s v="WinterMealDrive"/>
    <m/>
    <n v="2535"/>
    <s v="Cheque"/>
    <x v="10"/>
    <d v="2025-05-08T00:00:00"/>
    <s v="ACTIVE"/>
    <m/>
    <m/>
    <m/>
    <m/>
  </r>
  <r>
    <n v="252"/>
    <s v="Donor_018"/>
    <d v="2025-05-11T00:00:00"/>
    <s v="South"/>
    <s v="RamadanFeeding"/>
    <m/>
    <n v="10022"/>
    <s v="Cash"/>
    <x v="11"/>
    <d v="2025-06-16T00:00:00"/>
    <s v="ACTIVE"/>
    <m/>
    <m/>
    <m/>
    <m/>
  </r>
  <r>
    <n v="1657"/>
    <s v="Donor_104"/>
    <d v="2024-02-08T00:00:00"/>
    <s v="Central"/>
    <s v="FloodReliefMeals"/>
    <m/>
    <n v="352"/>
    <s v="Cash"/>
    <x v="14"/>
    <d v="2025-05-08T00:00:00"/>
    <s v="ACTIVE"/>
    <m/>
    <m/>
    <m/>
    <m/>
  </r>
  <r>
    <n v="1193"/>
    <s v="Donor_100"/>
    <d v="2024-02-17T00:00:00"/>
    <s v="West"/>
    <s v="EmergencyFoodBank"/>
    <m/>
    <n v="270"/>
    <s v="Cheque"/>
    <x v="14"/>
    <d v="2025-06-14T00:00:00"/>
    <s v="ACTIVE"/>
    <m/>
    <m/>
    <m/>
    <m/>
  </r>
  <r>
    <n v="1714"/>
    <s v="Donor_040"/>
    <d v="2024-03-03T00:00:00"/>
    <s v="East"/>
    <s v="RamadanFeeding"/>
    <m/>
    <n v="1703"/>
    <s v="UPI"/>
    <x v="8"/>
    <d v="2025-05-15T00:00:00"/>
    <s v="ACTIVE"/>
    <m/>
    <m/>
    <m/>
    <m/>
  </r>
  <r>
    <n v="983"/>
    <s v="Donor_089"/>
    <d v="2024-07-29T00:00:00"/>
    <s v="North"/>
    <s v="WinterMealDrive"/>
    <m/>
    <n v="247"/>
    <s v="UPI"/>
    <x v="5"/>
    <d v="2025-05-16T00:00:00"/>
    <s v="ACTIVE"/>
    <m/>
    <m/>
    <m/>
    <m/>
  </r>
  <r>
    <n v="1600"/>
    <s v="Donor_080"/>
    <d v="2024-01-17T00:00:00"/>
    <s v="East"/>
    <s v="SchoolLunchFund"/>
    <m/>
    <n v="913"/>
    <s v="UPI"/>
    <x v="10"/>
    <d v="2025-05-11T00:00:00"/>
    <s v="ACTIVE"/>
    <m/>
    <m/>
    <m/>
    <m/>
  </r>
  <r>
    <n v="707"/>
    <s v="Donor_102"/>
    <d v="2024-04-13T00:00:00"/>
    <s v="West"/>
    <s v="RamadanFeeding"/>
    <m/>
    <n v="2235"/>
    <s v="Cheque"/>
    <x v="3"/>
    <d v="2025-04-29T00:00:00"/>
    <s v="ACTIVE"/>
    <m/>
    <m/>
    <m/>
    <m/>
  </r>
  <r>
    <n v="488"/>
    <s v="Donor_084"/>
    <d v="2025-04-21T00:00:00"/>
    <s v="North"/>
    <s v="WinterMealDrive"/>
    <m/>
    <n v="798"/>
    <s v="Bank Transfer"/>
    <x v="17"/>
    <d v="2025-05-13T00:00:00"/>
    <s v="ACTIVE"/>
    <m/>
    <m/>
    <m/>
    <m/>
  </r>
  <r>
    <n v="274"/>
    <s v="Donor_002"/>
    <d v="2024-03-10T00:00:00"/>
    <s v="East"/>
    <s v="SchoolLunchFund"/>
    <m/>
    <n v="585"/>
    <s v="Cash"/>
    <x v="8"/>
    <d v="2025-04-12T00:00:00"/>
    <s v="ACTIVE"/>
    <m/>
    <m/>
    <m/>
    <m/>
  </r>
  <r>
    <n v="1359"/>
    <s v="Donor_093"/>
    <d v="2024-10-15T00:00:00"/>
    <s v="West"/>
    <s v="SchoolLunchFund"/>
    <m/>
    <n v="2024"/>
    <s v="Bank Transfer"/>
    <x v="12"/>
    <d v="2025-03-24T00:00:00"/>
    <s v="LAPSED"/>
    <m/>
    <m/>
    <m/>
    <m/>
  </r>
  <r>
    <n v="1510"/>
    <s v="Donor_080"/>
    <d v="2024-05-31T00:00:00"/>
    <s v="West"/>
    <s v="WinterMealDrive"/>
    <m/>
    <n v="816"/>
    <s v="Cheque"/>
    <x v="15"/>
    <d v="2025-05-11T00:00:00"/>
    <s v="ACTIVE"/>
    <m/>
    <m/>
    <m/>
    <m/>
  </r>
  <r>
    <n v="964"/>
    <s v="Donor_045"/>
    <d v="2024-12-17T00:00:00"/>
    <s v="West"/>
    <s v="YearEndGiving"/>
    <m/>
    <n v="8020"/>
    <s v="Cheque"/>
    <x v="9"/>
    <d v="2025-05-11T00:00:00"/>
    <s v="ACTIVE"/>
    <m/>
    <m/>
    <m/>
    <m/>
  </r>
  <r>
    <n v="878"/>
    <s v="Donor_052"/>
    <d v="2024-07-09T00:00:00"/>
    <s v="East"/>
    <s v="WinterMealDrive"/>
    <m/>
    <n v="972"/>
    <s v="Credit Card"/>
    <x v="5"/>
    <d v="2025-06-13T00:00:00"/>
    <s v="ACTIVE"/>
    <m/>
    <m/>
    <m/>
    <m/>
  </r>
  <r>
    <n v="1272"/>
    <s v="Donor_081"/>
    <d v="2024-10-26T00:00:00"/>
    <s v="West"/>
    <s v="RamadanFeeding"/>
    <m/>
    <n v="713"/>
    <s v="Cash"/>
    <x v="12"/>
    <d v="2025-06-07T00:00:00"/>
    <s v="ACTIVE"/>
    <m/>
    <m/>
    <m/>
    <m/>
  </r>
  <r>
    <n v="1637"/>
    <s v="Donor_003"/>
    <d v="2024-05-11T00:00:00"/>
    <s v="Central"/>
    <s v="SchoolLunchFund"/>
    <m/>
    <n v="5989"/>
    <s v="Bank Transfer"/>
    <x v="15"/>
    <d v="2025-05-08T00:00:00"/>
    <s v="ACTIVE"/>
    <m/>
    <m/>
    <m/>
    <m/>
  </r>
  <r>
    <n v="412"/>
    <s v="Donor_113"/>
    <d v="2024-02-09T00:00:00"/>
    <s v="Central"/>
    <s v="YearEndGiving"/>
    <m/>
    <n v="0"/>
    <s v="Credit Card"/>
    <x v="14"/>
    <d v="2025-04-17T00:00:00"/>
    <s v="ACTIVE"/>
    <m/>
    <m/>
    <m/>
    <m/>
  </r>
  <r>
    <n v="668"/>
    <s v="Donor_021"/>
    <d v="2024-04-23T00:00:00"/>
    <s v="South"/>
    <s v="YearEndGiving"/>
    <m/>
    <n v="1708"/>
    <s v="Cash"/>
    <x v="3"/>
    <d v="2025-04-05T00:00:00"/>
    <s v="ACTIVE"/>
    <m/>
    <m/>
    <m/>
    <m/>
  </r>
  <r>
    <n v="150"/>
    <s v="Donor_104"/>
    <d v="2024-07-05T00:00:00"/>
    <s v="South"/>
    <s v="WinterMealDrive"/>
    <m/>
    <n v="244"/>
    <s v="Credit Card"/>
    <x v="5"/>
    <d v="2025-05-08T00:00:00"/>
    <s v="ACTIVE"/>
    <m/>
    <m/>
    <m/>
    <m/>
  </r>
  <r>
    <n v="645"/>
    <s v="Donor_049"/>
    <d v="2024-12-15T00:00:00"/>
    <s v="North"/>
    <s v="RamadanFeeding"/>
    <m/>
    <n v="5984"/>
    <s v="Cash"/>
    <x v="9"/>
    <d v="2025-06-19T00:00:00"/>
    <s v="ACTIVE"/>
    <m/>
    <m/>
    <m/>
    <m/>
  </r>
  <r>
    <n v="1450"/>
    <s v="Donor_054"/>
    <d v="2024-09-13T00:00:00"/>
    <s v="North"/>
    <s v="RamadanFeeding"/>
    <m/>
    <n v="4296"/>
    <s v="Credit Card"/>
    <x v="0"/>
    <d v="2025-06-18T00:00:00"/>
    <s v="ACTIVE"/>
    <m/>
    <m/>
    <m/>
    <m/>
  </r>
  <r>
    <n v="219"/>
    <s v="Donor_065"/>
    <d v="2024-08-11T00:00:00"/>
    <s v="West"/>
    <s v="FloodReliefMeals"/>
    <m/>
    <n v="0"/>
    <s v="Cheque"/>
    <x v="1"/>
    <d v="2025-05-02T00:00:00"/>
    <s v="ACTIVE"/>
    <m/>
    <m/>
    <m/>
    <m/>
  </r>
  <r>
    <n v="240"/>
    <s v="Donor_070"/>
    <d v="2025-03-04T00:00:00"/>
    <s v="North"/>
    <s v="FloodReliefMeals"/>
    <m/>
    <n v="10375"/>
    <s v="UPI"/>
    <x v="6"/>
    <d v="2025-03-27T00:00:00"/>
    <s v="ACTIVE"/>
    <m/>
    <m/>
    <m/>
    <m/>
  </r>
  <r>
    <n v="1132"/>
    <s v="Donor_040"/>
    <d v="2024-04-02T00:00:00"/>
    <s v="South"/>
    <s v="FloodReliefMeals"/>
    <m/>
    <n v="288"/>
    <s v="Cash"/>
    <x v="3"/>
    <d v="2025-05-15T00:00:00"/>
    <s v="ACTIVE"/>
    <m/>
    <m/>
    <m/>
    <m/>
  </r>
  <r>
    <n v="793"/>
    <s v="Donor_009"/>
    <d v="2025-04-01T00:00:00"/>
    <s v="West"/>
    <s v="YearEndGiving"/>
    <m/>
    <n v="2021"/>
    <s v="Cheque"/>
    <x v="17"/>
    <d v="2025-05-15T00:00:00"/>
    <s v="ACTIVE"/>
    <m/>
    <m/>
    <m/>
    <m/>
  </r>
  <r>
    <n v="192"/>
    <s v="Donor_095"/>
    <d v="2024-01-15T00:00:00"/>
    <s v="East"/>
    <s v="FloodReliefMeals"/>
    <m/>
    <n v="1740"/>
    <s v="Cash"/>
    <x v="10"/>
    <d v="2025-05-17T00:00:00"/>
    <s v="ACTIVE"/>
    <m/>
    <m/>
    <m/>
    <m/>
  </r>
  <r>
    <n v="334"/>
    <s v="Donor_066"/>
    <d v="2024-01-08T00:00:00"/>
    <s v="East"/>
    <s v="YearEndGiving"/>
    <m/>
    <n v="2298"/>
    <s v="UPI"/>
    <x v="10"/>
    <d v="2025-03-22T00:00:00"/>
    <s v="LAPSED"/>
    <m/>
    <m/>
    <m/>
    <m/>
  </r>
  <r>
    <n v="963"/>
    <s v="Donor_082"/>
    <d v="2024-11-17T00:00:00"/>
    <s v="West"/>
    <s v="SchoolLunchFund"/>
    <m/>
    <n v="1379"/>
    <s v="Credit Card"/>
    <x v="4"/>
    <d v="2025-06-02T00:00:00"/>
    <s v="ACTIVE"/>
    <m/>
    <m/>
    <m/>
    <m/>
  </r>
  <r>
    <n v="1199"/>
    <s v="Donor_003"/>
    <d v="2025-01-17T00:00:00"/>
    <s v="Central"/>
    <s v="RamadanFeeding"/>
    <m/>
    <n v="592"/>
    <s v="Bank Transfer"/>
    <x v="7"/>
    <d v="2025-05-08T00:00:00"/>
    <s v="ACTIVE"/>
    <m/>
    <m/>
    <m/>
    <m/>
  </r>
  <r>
    <n v="1758"/>
    <s v="Donor_021"/>
    <d v="2024-01-11T00:00:00"/>
    <s v="West"/>
    <s v="EmergencyFoodBank"/>
    <m/>
    <n v="416"/>
    <s v="UPI"/>
    <x v="10"/>
    <d v="2025-04-05T00:00:00"/>
    <s v="ACTIVE"/>
    <m/>
    <m/>
    <m/>
    <m/>
  </r>
  <r>
    <n v="1493"/>
    <s v="Donor_064"/>
    <d v="2024-12-07T00:00:00"/>
    <s v="South"/>
    <s v="RamadanFeeding"/>
    <m/>
    <n v="8066"/>
    <s v="UPI"/>
    <x v="9"/>
    <d v="2025-06-20T00:00:00"/>
    <s v="ACTIVE"/>
    <m/>
    <m/>
    <m/>
    <m/>
  </r>
  <r>
    <n v="1594"/>
    <s v="Donor_068"/>
    <d v="2024-12-17T00:00:00"/>
    <s v="Central"/>
    <s v="EmergencyFoodBank"/>
    <m/>
    <n v="4204"/>
    <s v="Cheque"/>
    <x v="9"/>
    <d v="2025-05-16T00:00:00"/>
    <s v="ACTIVE"/>
    <m/>
    <m/>
    <m/>
    <m/>
  </r>
  <r>
    <n v="583"/>
    <s v="Donor_023"/>
    <d v="2025-05-24T00:00:00"/>
    <s v="South"/>
    <s v="EmergencyFoodBank"/>
    <m/>
    <n v="411"/>
    <s v="Bank Transfer"/>
    <x v="11"/>
    <d v="2025-05-24T00:00:00"/>
    <s v="ACTIVE"/>
    <m/>
    <m/>
    <m/>
    <m/>
  </r>
  <r>
    <n v="1719"/>
    <s v="Donor_050"/>
    <d v="2025-06-18T00:00:00"/>
    <s v="West"/>
    <s v="RamadanFeeding"/>
    <m/>
    <n v="634"/>
    <s v="UPI"/>
    <x v="16"/>
    <d v="2025-06-18T00:00:00"/>
    <s v="ACTIVE"/>
    <m/>
    <m/>
    <m/>
    <m/>
  </r>
  <r>
    <n v="1458"/>
    <s v="Donor_119"/>
    <d v="2024-08-28T00:00:00"/>
    <s v="West"/>
    <s v="YearEndGiving"/>
    <m/>
    <n v="4354"/>
    <s v="Credit Card"/>
    <x v="1"/>
    <d v="2025-05-18T00:00:00"/>
    <s v="ACTIVE"/>
    <m/>
    <m/>
    <m/>
    <m/>
  </r>
  <r>
    <n v="840"/>
    <s v="Donor_083"/>
    <d v="2024-03-07T00:00:00"/>
    <s v="East"/>
    <s v="RamadanFeeding"/>
    <m/>
    <n v="796"/>
    <s v="Cheque"/>
    <x v="8"/>
    <d v="2025-06-21T00:00:00"/>
    <s v="ACTIVE"/>
    <m/>
    <m/>
    <m/>
    <m/>
  </r>
  <r>
    <n v="628"/>
    <s v="Donor_061"/>
    <d v="2024-03-01T00:00:00"/>
    <s v="North"/>
    <s v="FloodReliefMeals"/>
    <m/>
    <n v="413"/>
    <s v="UPI"/>
    <x v="8"/>
    <d v="2025-05-21T00:00:00"/>
    <s v="ACTIVE"/>
    <m/>
    <m/>
    <m/>
    <m/>
  </r>
  <r>
    <n v="324"/>
    <s v="Donor_005"/>
    <d v="2025-04-29T00:00:00"/>
    <s v="South"/>
    <s v="FloodReliefMeals"/>
    <m/>
    <n v="643"/>
    <s v="Cheque"/>
    <x v="17"/>
    <d v="2025-06-10T00:00:00"/>
    <s v="ACTIVE"/>
    <m/>
    <m/>
    <m/>
    <m/>
  </r>
  <r>
    <n v="1484"/>
    <s v="Donor_050"/>
    <d v="2024-07-30T00:00:00"/>
    <s v="East"/>
    <s v="SchoolLunchFund"/>
    <m/>
    <n v="1992"/>
    <s v="Bank Transfer"/>
    <x v="5"/>
    <d v="2025-06-18T00:00:00"/>
    <s v="ACTIVE"/>
    <m/>
    <m/>
    <m/>
    <m/>
  </r>
  <r>
    <n v="1161"/>
    <s v="Donor_054"/>
    <d v="2025-03-04T00:00:00"/>
    <s v="West"/>
    <s v="SchoolLunchFund"/>
    <m/>
    <n v="524"/>
    <s v="Credit Card"/>
    <x v="6"/>
    <d v="2025-06-18T00:00:00"/>
    <s v="ACTIVE"/>
    <m/>
    <m/>
    <m/>
    <m/>
  </r>
  <r>
    <n v="779"/>
    <s v="Donor_038"/>
    <d v="2024-03-27T00:00:00"/>
    <s v="West"/>
    <s v="YearEndGiving"/>
    <m/>
    <n v="4460"/>
    <s v="UPI"/>
    <x v="8"/>
    <d v="2025-04-26T00:00:00"/>
    <s v="ACTIVE"/>
    <m/>
    <m/>
    <m/>
    <m/>
  </r>
  <r>
    <n v="1077"/>
    <s v="Donor_082"/>
    <d v="2024-02-06T00:00:00"/>
    <s v="North"/>
    <s v="SchoolLunchFund"/>
    <m/>
    <n v="1552"/>
    <s v="Credit Card"/>
    <x v="14"/>
    <d v="2025-06-02T00:00:00"/>
    <s v="ACTIVE"/>
    <m/>
    <m/>
    <m/>
    <m/>
  </r>
  <r>
    <n v="940"/>
    <s v="Donor_118"/>
    <d v="2024-04-20T00:00:00"/>
    <s v="West"/>
    <s v="RamadanFeeding"/>
    <m/>
    <n v="1921"/>
    <s v="UPI"/>
    <x v="3"/>
    <d v="2025-04-19T00:00:00"/>
    <s v="ACTIVE"/>
    <m/>
    <m/>
    <m/>
    <m/>
  </r>
  <r>
    <n v="438"/>
    <s v="Donor_061"/>
    <d v="2024-09-17T00:00:00"/>
    <s v="NOT KNOWN"/>
    <s v="RamadanFeeding"/>
    <m/>
    <n v="4520"/>
    <s v="Bank Transfer"/>
    <x v="0"/>
    <d v="2025-05-21T00:00:00"/>
    <s v="ACTIVE"/>
    <m/>
    <m/>
    <m/>
    <m/>
  </r>
  <r>
    <n v="120"/>
    <s v="Donor_068"/>
    <d v="2025-05-13T00:00:00"/>
    <s v="East"/>
    <s v="WinterMealDrive"/>
    <m/>
    <n v="1916"/>
    <s v="Cheque"/>
    <x v="11"/>
    <d v="2025-05-16T00:00:00"/>
    <s v="ACTIVE"/>
    <m/>
    <m/>
    <m/>
    <m/>
  </r>
  <r>
    <n v="1232"/>
    <s v="Donor_083"/>
    <d v="2024-06-12T00:00:00"/>
    <s v="West"/>
    <s v="RamadanFeeding"/>
    <m/>
    <n v="1799"/>
    <s v="Bank Transfer"/>
    <x v="2"/>
    <d v="2025-06-21T00:00:00"/>
    <s v="ACTIVE"/>
    <m/>
    <m/>
    <m/>
    <m/>
  </r>
  <r>
    <n v="1410"/>
    <s v="Donor_117"/>
    <d v="2025-04-01T00:00:00"/>
    <s v="West"/>
    <s v="WinterMealDrive"/>
    <m/>
    <n v="676"/>
    <s v="Credit Card"/>
    <x v="17"/>
    <d v="2025-04-05T00:00:00"/>
    <s v="ACTIVE"/>
    <m/>
    <m/>
    <m/>
    <m/>
  </r>
  <r>
    <n v="1027"/>
    <s v="Donor_012"/>
    <d v="2024-07-15T00:00:00"/>
    <s v="Central"/>
    <s v="WinterMealDrive"/>
    <m/>
    <n v="881"/>
    <s v="Credit Card"/>
    <x v="5"/>
    <d v="2025-06-23T00:00:00"/>
    <s v="ACTIVE"/>
    <m/>
    <m/>
    <m/>
    <m/>
  </r>
  <r>
    <n v="1250"/>
    <s v="Donor_042"/>
    <d v="2024-03-25T00:00:00"/>
    <s v="South"/>
    <s v="RamadanFeeding"/>
    <m/>
    <n v="449"/>
    <s v="Credit Card"/>
    <x v="8"/>
    <d v="2025-02-10T00:00:00"/>
    <s v="LAPSED"/>
    <m/>
    <m/>
    <m/>
    <m/>
  </r>
  <r>
    <n v="77"/>
    <s v="Donor_012"/>
    <d v="2025-05-18T00:00:00"/>
    <s v="West"/>
    <s v="FloodReliefMeals"/>
    <m/>
    <n v="700"/>
    <s v="UPI"/>
    <x v="11"/>
    <d v="2025-06-23T00:00:00"/>
    <s v="ACTIVE"/>
    <m/>
    <m/>
    <m/>
    <m/>
  </r>
  <r>
    <n v="1054"/>
    <s v="Donor_070"/>
    <d v="2024-12-27T00:00:00"/>
    <s v="North"/>
    <s v="YearEndGiving"/>
    <m/>
    <n v="1880"/>
    <s v="UPI"/>
    <x v="9"/>
    <d v="2025-03-27T00:00:00"/>
    <s v="ACTIVE"/>
    <m/>
    <m/>
    <m/>
    <m/>
  </r>
  <r>
    <n v="901"/>
    <s v="Donor_081"/>
    <d v="2024-02-28T00:00:00"/>
    <s v="North"/>
    <s v="FloodReliefMeals"/>
    <m/>
    <n v="2184"/>
    <s v="Bank Transfer"/>
    <x v="14"/>
    <d v="2025-06-07T00:00:00"/>
    <s v="ACTIVE"/>
    <m/>
    <m/>
    <m/>
    <m/>
  </r>
  <r>
    <n v="372"/>
    <s v="Donor_092"/>
    <d v="2024-11-17T00:00:00"/>
    <s v="Central"/>
    <s v="EmergencyFoodBank"/>
    <m/>
    <n v="1761"/>
    <s v="Cheque"/>
    <x v="4"/>
    <d v="2025-05-07T00:00:00"/>
    <s v="ACTIVE"/>
    <m/>
    <m/>
    <m/>
    <m/>
  </r>
  <r>
    <n v="1680"/>
    <s v="Donor_097"/>
    <d v="2024-10-12T00:00:00"/>
    <s v="East"/>
    <s v="RamadanFeeding"/>
    <m/>
    <n v="1357"/>
    <s v="Cheque"/>
    <x v="12"/>
    <d v="2025-06-04T00:00:00"/>
    <s v="ACTIVE"/>
    <m/>
    <m/>
    <m/>
    <m/>
  </r>
  <r>
    <n v="1305"/>
    <s v="Donor_015"/>
    <d v="2024-06-02T00:00:00"/>
    <s v="South"/>
    <s v="EmergencyFoodBank"/>
    <m/>
    <n v="4585"/>
    <s v="UPI"/>
    <x v="2"/>
    <d v="2025-05-02T00:00:00"/>
    <s v="ACTIVE"/>
    <m/>
    <m/>
    <m/>
    <m/>
  </r>
  <r>
    <n v="1781"/>
    <s v="Donor_009"/>
    <d v="2024-08-09T00:00:00"/>
    <s v="Central"/>
    <s v="RamadanFeeding"/>
    <m/>
    <n v="1505"/>
    <s v="Cheque"/>
    <x v="1"/>
    <d v="2025-05-15T00:00:00"/>
    <s v="ACTIVE"/>
    <m/>
    <m/>
    <m/>
    <m/>
  </r>
  <r>
    <n v="942"/>
    <s v="Donor_008"/>
    <d v="2025-01-24T00:00:00"/>
    <s v="East"/>
    <s v="RamadanFeeding"/>
    <m/>
    <n v="266"/>
    <s v="Credit Card"/>
    <x v="7"/>
    <d v="2025-06-07T00:00:00"/>
    <s v="ACTIVE"/>
    <m/>
    <m/>
    <m/>
    <m/>
  </r>
  <r>
    <n v="578"/>
    <s v="Donor_119"/>
    <d v="2024-09-06T00:00:00"/>
    <s v="Central"/>
    <s v="WinterMealDrive"/>
    <m/>
    <n v="1260"/>
    <s v="Cheque"/>
    <x v="0"/>
    <d v="2025-05-18T00:00:00"/>
    <s v="ACTIVE"/>
    <m/>
    <m/>
    <m/>
    <m/>
  </r>
  <r>
    <n v="820"/>
    <s v="Donor_053"/>
    <d v="2024-03-13T00:00:00"/>
    <s v="North"/>
    <s v="WinterMealDrive"/>
    <m/>
    <n v="880"/>
    <s v="Credit Card"/>
    <x v="8"/>
    <d v="2025-04-16T00:00:00"/>
    <s v="ACTIVE"/>
    <m/>
    <m/>
    <m/>
    <m/>
  </r>
  <r>
    <n v="1327"/>
    <s v="Donor_091"/>
    <d v="2024-11-27T00:00:00"/>
    <s v="NOT KNOWN"/>
    <s v="YearEndGiving"/>
    <m/>
    <n v="2141"/>
    <s v="Cheque"/>
    <x v="4"/>
    <d v="2025-05-16T00:00:00"/>
    <s v="ACTIVE"/>
    <m/>
    <m/>
    <m/>
    <m/>
  </r>
  <r>
    <n v="1346"/>
    <s v="Donor_001"/>
    <d v="2025-05-18T00:00:00"/>
    <s v="East"/>
    <s v="EmergencyFoodBank"/>
    <m/>
    <n v="1033"/>
    <s v="Bank Transfer"/>
    <x v="11"/>
    <d v="2025-05-18T00:00:00"/>
    <s v="ACTIVE"/>
    <m/>
    <m/>
    <m/>
    <m/>
  </r>
  <r>
    <n v="1563"/>
    <s v="Donor_029"/>
    <d v="2025-01-12T00:00:00"/>
    <s v="East"/>
    <s v="FloodReliefMeals"/>
    <m/>
    <n v="579"/>
    <s v="Cash"/>
    <x v="7"/>
    <d v="2025-06-05T00:00:00"/>
    <s v="ACTIVE"/>
    <m/>
    <m/>
    <m/>
    <m/>
  </r>
  <r>
    <n v="1442"/>
    <s v="Donor_106"/>
    <d v="2024-01-01T00:00:00"/>
    <s v="South"/>
    <s v="SchoolLunchFund"/>
    <m/>
    <n v="847"/>
    <s v="Cash"/>
    <x v="10"/>
    <d v="2025-06-11T00:00:00"/>
    <s v="ACTIVE"/>
    <m/>
    <m/>
    <m/>
    <m/>
  </r>
  <r>
    <n v="887"/>
    <s v="Donor_025"/>
    <d v="2024-10-07T00:00:00"/>
    <s v="South"/>
    <s v="RamadanFeeding"/>
    <m/>
    <n v="523"/>
    <s v="UPI"/>
    <x v="12"/>
    <d v="2025-06-07T00:00:00"/>
    <s v="ACTIVE"/>
    <m/>
    <m/>
    <m/>
    <m/>
  </r>
  <r>
    <n v="969"/>
    <s v="Donor_055"/>
    <d v="2025-01-27T00:00:00"/>
    <s v="South"/>
    <s v="YearEndGiving"/>
    <m/>
    <n v="4748"/>
    <s v="UPI"/>
    <x v="7"/>
    <d v="2025-05-11T00:00:00"/>
    <s v="ACTIVE"/>
    <m/>
    <m/>
    <m/>
    <m/>
  </r>
  <r>
    <n v="786"/>
    <s v="Donor_040"/>
    <d v="2024-05-11T00:00:00"/>
    <s v="North"/>
    <s v="RamadanFeeding"/>
    <m/>
    <n v="4680"/>
    <s v="Cash"/>
    <x v="15"/>
    <d v="2025-05-15T00:00:00"/>
    <s v="ACTIVE"/>
    <m/>
    <m/>
    <m/>
    <m/>
  </r>
  <r>
    <n v="1562"/>
    <s v="Donor_059"/>
    <d v="2024-02-25T00:00:00"/>
    <s v="West"/>
    <s v="SchoolLunchFund"/>
    <m/>
    <n v="8784"/>
    <s v="Cheque"/>
    <x v="14"/>
    <d v="2025-06-16T00:00:00"/>
    <s v="ACTIVE"/>
    <m/>
    <m/>
    <m/>
    <m/>
  </r>
  <r>
    <n v="1486"/>
    <s v="Donor_061"/>
    <d v="2024-01-15T00:00:00"/>
    <s v="Central"/>
    <s v="WinterMealDrive"/>
    <m/>
    <n v="282"/>
    <s v="Credit Card"/>
    <x v="10"/>
    <d v="2025-05-21T00:00:00"/>
    <s v="ACTIVE"/>
    <m/>
    <m/>
    <m/>
    <m/>
  </r>
  <r>
    <n v="302"/>
    <s v="Donor_091"/>
    <d v="2024-01-29T00:00:00"/>
    <s v="East"/>
    <s v="YearEndGiving"/>
    <m/>
    <n v="1538"/>
    <s v="Credit Card"/>
    <x v="10"/>
    <d v="2025-05-16T00:00:00"/>
    <s v="ACTIVE"/>
    <m/>
    <m/>
    <m/>
    <m/>
  </r>
  <r>
    <n v="690"/>
    <s v="Donor_066"/>
    <d v="2025-01-11T00:00:00"/>
    <s v="South"/>
    <s v="RamadanFeeding"/>
    <m/>
    <n v="346"/>
    <s v="Cash"/>
    <x v="7"/>
    <d v="2025-03-22T00:00:00"/>
    <s v="LAPSED"/>
    <m/>
    <m/>
    <m/>
    <m/>
  </r>
  <r>
    <n v="813"/>
    <s v="Donor_078"/>
    <d v="2024-08-15T00:00:00"/>
    <s v="West"/>
    <s v="YearEndGiving"/>
    <m/>
    <n v="4367"/>
    <s v="UPI"/>
    <x v="1"/>
    <d v="2025-03-13T00:00:00"/>
    <s v="LAPSED"/>
    <m/>
    <m/>
    <m/>
    <m/>
  </r>
  <r>
    <n v="1062"/>
    <s v="Donor_119"/>
    <d v="2024-05-08T00:00:00"/>
    <s v="Central"/>
    <s v="SchoolLunchFund"/>
    <m/>
    <n v="802"/>
    <s v="Credit Card"/>
    <x v="15"/>
    <d v="2025-05-18T00:00:00"/>
    <s v="ACTIVE"/>
    <m/>
    <m/>
    <m/>
    <m/>
  </r>
  <r>
    <n v="237"/>
    <s v="Donor_047"/>
    <d v="2025-02-06T00:00:00"/>
    <s v="North"/>
    <s v="YearEndGiving"/>
    <m/>
    <n v="2074"/>
    <s v="Cheque"/>
    <x v="13"/>
    <d v="2025-05-04T00:00:00"/>
    <s v="ACTIVE"/>
    <m/>
    <m/>
    <m/>
    <m/>
  </r>
  <r>
    <n v="1116"/>
    <s v="Donor_057"/>
    <d v="2024-02-27T00:00:00"/>
    <s v="NOT KNOWN"/>
    <s v="FloodReliefMeals"/>
    <m/>
    <n v="1143"/>
    <s v="Bank Transfer"/>
    <x v="14"/>
    <d v="2025-03-30T00:00:00"/>
    <s v="ACTIVE"/>
    <m/>
    <m/>
    <m/>
    <m/>
  </r>
  <r>
    <n v="1230"/>
    <s v="Donor_054"/>
    <d v="2025-06-18T00:00:00"/>
    <s v="West"/>
    <s v="RamadanFeeding"/>
    <m/>
    <n v="4272"/>
    <s v="Bank Transfer"/>
    <x v="16"/>
    <d v="2025-06-18T00:00:00"/>
    <s v="ACTIVE"/>
    <m/>
    <m/>
    <m/>
    <m/>
  </r>
  <r>
    <n v="500"/>
    <s v="Donor_089"/>
    <d v="2025-05-16T00:00:00"/>
    <s v="East"/>
    <s v="RamadanFeeding"/>
    <m/>
    <n v="1942"/>
    <s v="UPI"/>
    <x v="11"/>
    <d v="2025-05-16T00:00:00"/>
    <s v="ACTIVE"/>
    <m/>
    <m/>
    <m/>
    <m/>
  </r>
  <r>
    <n v="1498"/>
    <s v="Donor_065"/>
    <d v="2024-03-31T00:00:00"/>
    <s v="Central"/>
    <s v="SchoolLunchFund"/>
    <m/>
    <n v="2000"/>
    <s v="Bank Transfer"/>
    <x v="8"/>
    <d v="2025-05-02T00:00:00"/>
    <s v="ACTIVE"/>
    <m/>
    <m/>
    <m/>
    <m/>
  </r>
  <r>
    <n v="1080"/>
    <s v="Donor_108"/>
    <d v="2024-11-03T00:00:00"/>
    <s v="South"/>
    <s v="FloodReliefMeals"/>
    <m/>
    <n v="299"/>
    <s v="Cash"/>
    <x v="4"/>
    <d v="2025-05-21T00:00:00"/>
    <s v="ACTIVE"/>
    <m/>
    <m/>
    <m/>
    <m/>
  </r>
  <r>
    <n v="795"/>
    <s v="Donor_117"/>
    <d v="2025-01-28T00:00:00"/>
    <s v="South"/>
    <s v="EmergencyFoodBank"/>
    <m/>
    <n v="957"/>
    <s v="UPI"/>
    <x v="7"/>
    <d v="2025-04-05T00:00:00"/>
    <s v="ACTIVE"/>
    <m/>
    <m/>
    <m/>
    <m/>
  </r>
  <r>
    <n v="1404"/>
    <s v="Donor_013"/>
    <d v="2024-05-07T00:00:00"/>
    <s v="South"/>
    <s v="RamadanFeeding"/>
    <m/>
    <n v="1794"/>
    <s v="Cheque"/>
    <x v="15"/>
    <d v="2025-04-28T00:00:00"/>
    <s v="ACTIVE"/>
    <m/>
    <m/>
    <m/>
    <m/>
  </r>
  <r>
    <n v="991"/>
    <s v="Donor_051"/>
    <d v="2025-02-05T00:00:00"/>
    <s v="North"/>
    <s v="SchoolLunchFund"/>
    <m/>
    <n v="2495"/>
    <s v="Credit Card"/>
    <x v="13"/>
    <d v="2025-06-11T00:00:00"/>
    <s v="ACTIVE"/>
    <m/>
    <m/>
    <m/>
    <m/>
  </r>
  <r>
    <n v="1243"/>
    <s v="Donor_046"/>
    <d v="2024-09-16T00:00:00"/>
    <s v="East"/>
    <s v="FloodReliefMeals"/>
    <m/>
    <n v="1821"/>
    <s v="UPI"/>
    <x v="0"/>
    <d v="2025-05-10T00:00:00"/>
    <s v="ACTIVE"/>
    <m/>
    <m/>
    <m/>
    <m/>
  </r>
  <r>
    <n v="935"/>
    <s v="Donor_010"/>
    <d v="2024-04-01T00:00:00"/>
    <s v="South"/>
    <s v="EmergencyFoodBank"/>
    <m/>
    <n v="271"/>
    <s v="Cash"/>
    <x v="3"/>
    <d v="2025-06-01T00:00:00"/>
    <s v="ACTIVE"/>
    <m/>
    <m/>
    <m/>
    <m/>
  </r>
  <r>
    <n v="388"/>
    <s v="Donor_056"/>
    <d v="2025-02-18T00:00:00"/>
    <s v="East"/>
    <s v="WinterMealDrive"/>
    <m/>
    <n v="802"/>
    <s v="Cheque"/>
    <x v="13"/>
    <d v="2025-05-08T00:00:00"/>
    <s v="ACTIVE"/>
    <m/>
    <m/>
    <m/>
    <m/>
  </r>
  <r>
    <n v="391"/>
    <s v="Donor_087"/>
    <d v="2024-11-01T00:00:00"/>
    <s v="East"/>
    <s v="WinterMealDrive"/>
    <m/>
    <n v="11499"/>
    <s v="Credit Card"/>
    <x v="4"/>
    <d v="2025-06-09T00:00:00"/>
    <s v="ACTIVE"/>
    <m/>
    <m/>
    <m/>
    <m/>
  </r>
  <r>
    <n v="744"/>
    <s v="Donor_006"/>
    <d v="2024-10-15T00:00:00"/>
    <s v="South"/>
    <s v="EmergencyFoodBank"/>
    <m/>
    <n v="10252"/>
    <s v="Bank Transfer"/>
    <x v="12"/>
    <d v="2025-06-06T00:00:00"/>
    <s v="ACTIVE"/>
    <m/>
    <m/>
    <m/>
    <m/>
  </r>
  <r>
    <n v="353"/>
    <s v="Donor_100"/>
    <d v="2024-04-02T00:00:00"/>
    <s v="Central"/>
    <s v="WinterMealDrive"/>
    <m/>
    <n v="1162"/>
    <s v="Credit Card"/>
    <x v="3"/>
    <d v="2025-06-14T00:00:00"/>
    <s v="ACTIVE"/>
    <m/>
    <m/>
    <m/>
    <m/>
  </r>
  <r>
    <n v="1218"/>
    <s v="Donor_079"/>
    <d v="2025-01-09T00:00:00"/>
    <s v="North"/>
    <s v="RamadanFeeding"/>
    <m/>
    <n v="330"/>
    <s v="Cheque"/>
    <x v="7"/>
    <d v="2025-06-07T00:00:00"/>
    <s v="ACTIVE"/>
    <m/>
    <m/>
    <m/>
    <m/>
  </r>
  <r>
    <n v="236"/>
    <s v="Donor_023"/>
    <d v="2024-11-17T00:00:00"/>
    <s v="West"/>
    <s v="FloodReliefMeals"/>
    <m/>
    <n v="2735"/>
    <s v="Cash"/>
    <x v="4"/>
    <d v="2025-05-24T00:00:00"/>
    <s v="ACTIVE"/>
    <m/>
    <m/>
    <m/>
    <m/>
  </r>
  <r>
    <n v="1569"/>
    <s v="Donor_017"/>
    <d v="2024-11-21T00:00:00"/>
    <s v="West"/>
    <s v="RamadanFeeding"/>
    <m/>
    <n v="10294"/>
    <s v="Bank Transfer"/>
    <x v="4"/>
    <d v="2025-02-02T00:00:00"/>
    <s v="LAPSED"/>
    <m/>
    <m/>
    <m/>
    <m/>
  </r>
  <r>
    <n v="481"/>
    <s v="Donor_071"/>
    <d v="2024-02-20T00:00:00"/>
    <s v="West"/>
    <s v="FloodReliefMeals"/>
    <m/>
    <n v="959"/>
    <s v="Cash"/>
    <x v="14"/>
    <d v="2025-06-08T00:00:00"/>
    <s v="ACTIVE"/>
    <m/>
    <m/>
    <m/>
    <m/>
  </r>
  <r>
    <n v="568"/>
    <s v="Donor_062"/>
    <d v="2025-05-17T00:00:00"/>
    <s v="West"/>
    <s v="RamadanFeeding"/>
    <m/>
    <n v="1016"/>
    <s v="UPI"/>
    <x v="11"/>
    <d v="2025-05-17T00:00:00"/>
    <s v="ACTIVE"/>
    <m/>
    <m/>
    <m/>
    <m/>
  </r>
  <r>
    <n v="1141"/>
    <s v="Donor_055"/>
    <d v="2025-02-15T00:00:00"/>
    <s v="North"/>
    <s v="FloodReliefMeals"/>
    <m/>
    <n v="678"/>
    <s v="UPI"/>
    <x v="13"/>
    <d v="2025-05-11T00:00:00"/>
    <s v="ACTIVE"/>
    <m/>
    <m/>
    <m/>
    <m/>
  </r>
  <r>
    <n v="1523"/>
    <s v="Donor_003"/>
    <d v="2024-06-11T00:00:00"/>
    <s v="South"/>
    <s v="RamadanFeeding"/>
    <m/>
    <n v="1421"/>
    <s v="Cheque"/>
    <x v="2"/>
    <d v="2025-05-08T00:00:00"/>
    <s v="ACTIVE"/>
    <m/>
    <m/>
    <m/>
    <m/>
  </r>
  <r>
    <n v="1681"/>
    <s v="Donor_036"/>
    <d v="2024-10-23T00:00:00"/>
    <s v="North"/>
    <s v="YearEndGiving"/>
    <m/>
    <n v="721"/>
    <s v="UPI"/>
    <x v="12"/>
    <d v="2025-06-07T00:00:00"/>
    <s v="ACTIVE"/>
    <m/>
    <m/>
    <m/>
    <m/>
  </r>
  <r>
    <n v="1413"/>
    <s v="Donor_036"/>
    <d v="2025-03-22T00:00:00"/>
    <s v="South"/>
    <s v="SchoolLunchFund"/>
    <m/>
    <n v="693"/>
    <s v="Cheque"/>
    <x v="6"/>
    <d v="2025-06-07T00:00:00"/>
    <s v="ACTIVE"/>
    <m/>
    <m/>
    <m/>
    <m/>
  </r>
  <r>
    <n v="121"/>
    <s v="Donor_038"/>
    <d v="2024-09-18T00:00:00"/>
    <s v="East"/>
    <s v="WinterMealDrive"/>
    <m/>
    <n v="499"/>
    <s v="Cash"/>
    <x v="0"/>
    <d v="2025-04-26T00:00:00"/>
    <s v="ACTIVE"/>
    <m/>
    <m/>
    <m/>
    <m/>
  </r>
  <r>
    <n v="1559"/>
    <s v="Donor_110"/>
    <d v="2024-02-11T00:00:00"/>
    <s v="North"/>
    <s v="SchoolLunchFund"/>
    <m/>
    <n v="330"/>
    <s v="UPI"/>
    <x v="14"/>
    <d v="2025-06-04T00:00:00"/>
    <s v="ACTIVE"/>
    <m/>
    <m/>
    <m/>
    <m/>
  </r>
  <r>
    <n v="1025"/>
    <s v="Donor_057"/>
    <d v="2024-03-15T00:00:00"/>
    <s v="East"/>
    <s v="YearEndGiving"/>
    <m/>
    <n v="585"/>
    <s v="Bank Transfer"/>
    <x v="8"/>
    <d v="2025-03-30T00:00:00"/>
    <s v="ACTIVE"/>
    <m/>
    <m/>
    <m/>
    <m/>
  </r>
  <r>
    <n v="1087"/>
    <s v="Donor_111"/>
    <d v="2025-02-09T00:00:00"/>
    <s v="NOT KNOWN"/>
    <s v="FloodReliefMeals"/>
    <m/>
    <n v="1746"/>
    <s v="Bank Transfer"/>
    <x v="13"/>
    <d v="2025-04-26T00:00:00"/>
    <s v="ACTIVE"/>
    <m/>
    <m/>
    <m/>
    <m/>
  </r>
  <r>
    <n v="927"/>
    <s v="Donor_097"/>
    <d v="2024-01-12T00:00:00"/>
    <s v="East"/>
    <s v="SchoolLunchFund"/>
    <m/>
    <n v="8807"/>
    <s v="UPI"/>
    <x v="10"/>
    <d v="2025-06-04T00:00:00"/>
    <s v="ACTIVE"/>
    <m/>
    <m/>
    <m/>
    <m/>
  </r>
  <r>
    <n v="516"/>
    <s v="Donor_064"/>
    <d v="2025-05-24T00:00:00"/>
    <s v="South"/>
    <s v="YearEndGiving"/>
    <m/>
    <n v="2167"/>
    <s v="Credit Card"/>
    <x v="11"/>
    <d v="2025-06-20T00:00:00"/>
    <s v="ACTIVE"/>
    <m/>
    <m/>
    <m/>
    <m/>
  </r>
  <r>
    <n v="224"/>
    <s v="Donor_073"/>
    <d v="2024-12-05T00:00:00"/>
    <s v="North"/>
    <s v="YearEndGiving"/>
    <m/>
    <n v="446"/>
    <s v="Cheque"/>
    <x v="9"/>
    <d v="2025-06-23T00:00:00"/>
    <s v="ACTIVE"/>
    <m/>
    <m/>
    <m/>
    <m/>
  </r>
  <r>
    <n v="1335"/>
    <s v="Donor_106"/>
    <d v="2024-07-23T00:00:00"/>
    <s v="South"/>
    <s v="YearEndGiving"/>
    <m/>
    <n v="918"/>
    <s v="UPI"/>
    <x v="5"/>
    <d v="2025-06-11T00:00:00"/>
    <s v="ACTIVE"/>
    <m/>
    <m/>
    <m/>
    <m/>
  </r>
  <r>
    <n v="614"/>
    <s v="Donor_094"/>
    <d v="2025-03-10T00:00:00"/>
    <s v="West"/>
    <s v="SchoolLunchFund"/>
    <m/>
    <n v="857"/>
    <s v="Bank Transfer"/>
    <x v="6"/>
    <d v="2025-06-19T00:00:00"/>
    <s v="ACTIVE"/>
    <m/>
    <m/>
    <m/>
    <m/>
  </r>
  <r>
    <n v="844"/>
    <s v="Donor_064"/>
    <d v="2024-08-12T00:00:00"/>
    <s v="West"/>
    <s v="SchoolLunchFund"/>
    <m/>
    <n v="2146"/>
    <s v="UPI"/>
    <x v="1"/>
    <d v="2025-06-20T00:00:00"/>
    <s v="ACTIVE"/>
    <m/>
    <m/>
    <m/>
    <m/>
  </r>
  <r>
    <n v="1246"/>
    <s v="Donor_082"/>
    <d v="2025-05-24T00:00:00"/>
    <s v="South"/>
    <s v="RamadanFeeding"/>
    <m/>
    <n v="1812"/>
    <s v="Cash"/>
    <x v="11"/>
    <d v="2025-06-02T00:00:00"/>
    <s v="ACTIVE"/>
    <m/>
    <m/>
    <m/>
    <m/>
  </r>
  <r>
    <n v="53"/>
    <s v="Donor_018"/>
    <d v="2025-03-14T00:00:00"/>
    <s v="West"/>
    <s v="SchoolLunchFund"/>
    <m/>
    <n v="452"/>
    <s v="Bank Transfer"/>
    <x v="6"/>
    <d v="2025-06-16T00:00:00"/>
    <s v="ACTIVE"/>
    <m/>
    <m/>
    <m/>
    <m/>
  </r>
  <r>
    <n v="1663"/>
    <s v="Donor_031"/>
    <d v="2024-03-26T00:00:00"/>
    <s v="East"/>
    <s v="EmergencyFoodBank"/>
    <m/>
    <n v="10382"/>
    <s v="Cheque"/>
    <x v="8"/>
    <d v="2025-05-17T00:00:00"/>
    <s v="ACTIVE"/>
    <m/>
    <m/>
    <m/>
    <m/>
  </r>
  <r>
    <n v="486"/>
    <s v="Donor_043"/>
    <d v="2024-01-24T00:00:00"/>
    <s v="South"/>
    <s v="EmergencyFoodBank"/>
    <m/>
    <n v="8848"/>
    <s v="Cheque"/>
    <x v="10"/>
    <d v="2025-06-13T00:00:00"/>
    <s v="ACTIVE"/>
    <m/>
    <m/>
    <m/>
    <m/>
  </r>
  <r>
    <n v="1725"/>
    <s v="Donor_039"/>
    <d v="2025-01-14T00:00:00"/>
    <s v="North"/>
    <s v="EmergencyFoodBank"/>
    <m/>
    <n v="1082"/>
    <s v="Credit Card"/>
    <x v="7"/>
    <d v="2025-04-25T00:00:00"/>
    <s v="ACTIVE"/>
    <m/>
    <m/>
    <m/>
    <m/>
  </r>
  <r>
    <n v="819"/>
    <s v="Donor_001"/>
    <d v="2024-07-13T00:00:00"/>
    <s v="North"/>
    <s v="YearEndGiving"/>
    <m/>
    <n v="4983"/>
    <s v="Cash"/>
    <x v="5"/>
    <d v="2025-05-18T00:00:00"/>
    <s v="ACTIVE"/>
    <m/>
    <m/>
    <m/>
    <m/>
  </r>
  <r>
    <n v="156"/>
    <s v="Donor_109"/>
    <d v="2024-05-26T00:00:00"/>
    <s v="Central"/>
    <s v="EmergencyFoodBank"/>
    <m/>
    <n v="244"/>
    <s v="UPI"/>
    <x v="15"/>
    <d v="2025-06-22T00:00:00"/>
    <s v="ACTIVE"/>
    <m/>
    <m/>
    <m/>
    <m/>
  </r>
  <r>
    <n v="601"/>
    <s v="Donor_014"/>
    <d v="2024-03-19T00:00:00"/>
    <s v="South"/>
    <s v="FloodReliefMeals"/>
    <m/>
    <n v="1079"/>
    <s v="Cash"/>
    <x v="8"/>
    <d v="2025-06-03T00:00:00"/>
    <s v="ACTIVE"/>
    <m/>
    <m/>
    <m/>
    <m/>
  </r>
  <r>
    <n v="1448"/>
    <s v="Donor_051"/>
    <d v="2024-06-09T00:00:00"/>
    <s v="South"/>
    <s v="FloodReliefMeals"/>
    <m/>
    <n v="820"/>
    <s v="Bank Transfer"/>
    <x v="2"/>
    <d v="2025-06-11T00:00:00"/>
    <s v="ACTIVE"/>
    <m/>
    <m/>
    <m/>
    <m/>
  </r>
  <r>
    <n v="249"/>
    <s v="Donor_118"/>
    <d v="2024-10-31T00:00:00"/>
    <s v="Central"/>
    <s v="YearEndGiving"/>
    <m/>
    <n v="1069"/>
    <s v="Bank Transfer"/>
    <x v="12"/>
    <d v="2025-04-19T00:00:00"/>
    <s v="ACTIVE"/>
    <m/>
    <m/>
    <m/>
    <m/>
  </r>
  <r>
    <n v="762"/>
    <s v="Donor_043"/>
    <d v="2025-06-13T00:00:00"/>
    <s v="Central"/>
    <s v="SchoolLunchFund"/>
    <m/>
    <n v="841"/>
    <s v="Cheque"/>
    <x v="16"/>
    <d v="2025-06-13T00:00:00"/>
    <s v="ACTIVE"/>
    <m/>
    <m/>
    <m/>
    <m/>
  </r>
  <r>
    <n v="1649"/>
    <s v="Donor_026"/>
    <d v="2024-03-27T00:00:00"/>
    <s v="Central"/>
    <s v="WinterMealDrive"/>
    <m/>
    <n v="736"/>
    <s v="Credit Card"/>
    <x v="8"/>
    <d v="2025-05-28T00:00:00"/>
    <s v="ACTIVE"/>
    <m/>
    <m/>
    <m/>
    <m/>
  </r>
  <r>
    <n v="1131"/>
    <s v="Donor_114"/>
    <d v="2024-11-03T00:00:00"/>
    <s v="Central"/>
    <s v="EmergencyFoodBank"/>
    <m/>
    <n v="8794"/>
    <s v="Cheque"/>
    <x v="4"/>
    <d v="2025-04-04T00:00:00"/>
    <s v="ACTIVE"/>
    <m/>
    <m/>
    <m/>
    <m/>
  </r>
  <r>
    <n v="543"/>
    <s v="Donor_111"/>
    <d v="2024-04-22T00:00:00"/>
    <s v="East"/>
    <s v="WinterMealDrive"/>
    <m/>
    <n v="1945"/>
    <s v="Cheque"/>
    <x v="3"/>
    <d v="2025-04-26T00:00:00"/>
    <s v="ACTIVE"/>
    <m/>
    <m/>
    <m/>
    <m/>
  </r>
  <r>
    <n v="794"/>
    <s v="Donor_083"/>
    <d v="2024-10-21T00:00:00"/>
    <s v="West"/>
    <s v="FloodReliefMeals"/>
    <m/>
    <n v="2391"/>
    <s v="Credit Card"/>
    <x v="12"/>
    <d v="2025-06-21T00:00:00"/>
    <s v="ACTIVE"/>
    <m/>
    <m/>
    <m/>
    <m/>
  </r>
  <r>
    <n v="1142"/>
    <s v="Donor_092"/>
    <d v="2025-04-29T00:00:00"/>
    <s v="East"/>
    <s v="YearEndGiving"/>
    <m/>
    <n v="4223"/>
    <s v="Credit Card"/>
    <x v="17"/>
    <d v="2025-05-07T00:00:00"/>
    <s v="ACTIVE"/>
    <m/>
    <m/>
    <m/>
    <m/>
  </r>
  <r>
    <n v="1316"/>
    <s v="Donor_024"/>
    <d v="2025-03-29T00:00:00"/>
    <s v="Central"/>
    <s v="WinterMealDrive"/>
    <m/>
    <n v="870"/>
    <s v="Credit Card"/>
    <x v="6"/>
    <d v="2025-06-07T00:00:00"/>
    <s v="ACTIVE"/>
    <m/>
    <m/>
    <m/>
    <m/>
  </r>
  <r>
    <n v="629"/>
    <s v="Donor_024"/>
    <d v="2024-07-23T00:00:00"/>
    <s v="East"/>
    <s v="WinterMealDrive"/>
    <m/>
    <n v="858"/>
    <s v="Bank Transfer"/>
    <x v="5"/>
    <d v="2025-06-07T00:00:00"/>
    <s v="ACTIVE"/>
    <m/>
    <m/>
    <m/>
    <m/>
  </r>
  <r>
    <n v="151"/>
    <s v="Donor_051"/>
    <d v="2025-06-11T00:00:00"/>
    <s v="Central"/>
    <s v="RamadanFeeding"/>
    <m/>
    <n v="2037"/>
    <s v="Credit Card"/>
    <x v="16"/>
    <d v="2025-06-11T00:00:00"/>
    <s v="ACTIVE"/>
    <m/>
    <m/>
    <m/>
    <m/>
  </r>
  <r>
    <n v="1483"/>
    <s v="Donor_112"/>
    <d v="2024-05-06T00:00:00"/>
    <s v="East"/>
    <s v="FloodReliefMeals"/>
    <m/>
    <n v="714"/>
    <s v="Cheque"/>
    <x v="15"/>
    <d v="2025-05-26T00:00:00"/>
    <s v="ACTIVE"/>
    <m/>
    <m/>
    <m/>
    <m/>
  </r>
  <r>
    <n v="292"/>
    <s v="Donor_019"/>
    <d v="2024-12-01T00:00:00"/>
    <s v="North"/>
    <s v="EmergencyFoodBank"/>
    <m/>
    <n v="2375"/>
    <s v="Cash"/>
    <x v="9"/>
    <d v="2025-05-28T00:00:00"/>
    <s v="ACTIVE"/>
    <m/>
    <m/>
    <m/>
    <m/>
  </r>
  <r>
    <n v="382"/>
    <s v="Donor_047"/>
    <d v="2024-12-05T00:00:00"/>
    <s v="East"/>
    <s v="SchoolLunchFund"/>
    <m/>
    <n v="0"/>
    <s v="Cheque"/>
    <x v="9"/>
    <d v="2025-05-04T00:00:00"/>
    <s v="ACTIVE"/>
    <m/>
    <m/>
    <m/>
    <m/>
  </r>
  <r>
    <n v="687"/>
    <s v="Donor_028"/>
    <d v="2024-05-12T00:00:00"/>
    <s v="North"/>
    <s v="EmergencyFoodBank"/>
    <m/>
    <n v="2323"/>
    <s v="UPI"/>
    <x v="15"/>
    <d v="2025-03-09T00:00:00"/>
    <s v="LAPSED"/>
    <m/>
    <m/>
    <m/>
    <m/>
  </r>
  <r>
    <n v="1225"/>
    <s v="Donor_055"/>
    <d v="2025-01-09T00:00:00"/>
    <s v="North"/>
    <s v="YearEndGiving"/>
    <m/>
    <n v="1257"/>
    <s v="Cash"/>
    <x v="7"/>
    <d v="2025-05-11T00:00:00"/>
    <s v="ACTIVE"/>
    <m/>
    <m/>
    <m/>
    <m/>
  </r>
  <r>
    <n v="898"/>
    <s v="Donor_034"/>
    <d v="2025-06-21T00:00:00"/>
    <s v="East"/>
    <s v="SchoolLunchFund"/>
    <m/>
    <n v="2708"/>
    <s v="Cheque"/>
    <x v="16"/>
    <d v="2025-06-21T00:00:00"/>
    <s v="ACTIVE"/>
    <m/>
    <m/>
    <m/>
    <m/>
  </r>
  <r>
    <n v="855"/>
    <s v="Donor_039"/>
    <d v="2025-03-20T00:00:00"/>
    <s v="Central"/>
    <s v="SchoolLunchFund"/>
    <m/>
    <n v="0"/>
    <s v="Cheque"/>
    <x v="6"/>
    <d v="2025-04-25T00:00:00"/>
    <s v="ACTIVE"/>
    <m/>
    <m/>
    <m/>
    <m/>
  </r>
  <r>
    <n v="1072"/>
    <s v="Donor_119"/>
    <d v="2024-04-18T00:00:00"/>
    <s v="South"/>
    <s v="EmergencyFoodBank"/>
    <m/>
    <n v="2141"/>
    <s v="Credit Card"/>
    <x v="3"/>
    <d v="2025-05-18T00:00:00"/>
    <s v="ACTIVE"/>
    <m/>
    <m/>
    <m/>
    <m/>
  </r>
  <r>
    <n v="1800"/>
    <s v="Donor_059"/>
    <d v="2024-10-15T00:00:00"/>
    <s v="South"/>
    <s v="FloodReliefMeals"/>
    <m/>
    <n v="473"/>
    <s v="Credit Card"/>
    <x v="12"/>
    <d v="2025-06-16T00:00:00"/>
    <s v="ACTIVE"/>
    <m/>
    <m/>
    <m/>
    <m/>
  </r>
  <r>
    <n v="1376"/>
    <s v="Donor_033"/>
    <d v="2024-02-19T00:00:00"/>
    <s v="Central"/>
    <s v="WinterMealDrive"/>
    <m/>
    <n v="9964"/>
    <s v="Cash"/>
    <x v="14"/>
    <d v="2025-06-21T00:00:00"/>
    <s v="ACTIVE"/>
    <m/>
    <m/>
    <m/>
    <m/>
  </r>
  <r>
    <n v="1528"/>
    <s v="Donor_060"/>
    <d v="2024-05-17T00:00:00"/>
    <s v="Central"/>
    <s v="EmergencyFoodBank"/>
    <m/>
    <n v="535"/>
    <s v="Bank Transfer"/>
    <x v="15"/>
    <d v="2025-05-20T00:00:00"/>
    <s v="ACTIVE"/>
    <m/>
    <m/>
    <m/>
    <m/>
  </r>
  <r>
    <n v="892"/>
    <s v="Donor_012"/>
    <d v="2025-01-28T00:00:00"/>
    <s v="North"/>
    <s v="SchoolLunchFund"/>
    <m/>
    <n v="816"/>
    <s v="Credit Card"/>
    <x v="7"/>
    <d v="2025-06-23T00:00:00"/>
    <s v="ACTIVE"/>
    <m/>
    <m/>
    <m/>
    <m/>
  </r>
  <r>
    <n v="1323"/>
    <s v="Donor_058"/>
    <d v="2025-04-20T00:00:00"/>
    <s v="South"/>
    <s v="SchoolLunchFund"/>
    <m/>
    <n v="726"/>
    <s v="UPI"/>
    <x v="17"/>
    <d v="2025-06-22T00:00:00"/>
    <s v="ACTIVE"/>
    <m/>
    <m/>
    <m/>
    <m/>
  </r>
  <r>
    <n v="616"/>
    <s v="Donor_038"/>
    <d v="2025-01-25T00:00:00"/>
    <s v="Central"/>
    <s v="RamadanFeeding"/>
    <m/>
    <n v="565"/>
    <s v="Bank Transfer"/>
    <x v="7"/>
    <d v="2025-04-26T00:00:00"/>
    <s v="ACTIVE"/>
    <m/>
    <m/>
    <m/>
    <m/>
  </r>
  <r>
    <n v="155"/>
    <s v="Donor_079"/>
    <d v="2024-12-27T00:00:00"/>
    <s v="West"/>
    <s v="FloodReliefMeals"/>
    <m/>
    <n v="415"/>
    <s v="Cash"/>
    <x v="9"/>
    <d v="2025-06-07T00:00:00"/>
    <s v="ACTIVE"/>
    <m/>
    <m/>
    <m/>
    <m/>
  </r>
  <r>
    <n v="1194"/>
    <s v="Donor_057"/>
    <d v="2025-01-13T00:00:00"/>
    <s v="East"/>
    <s v="WinterMealDrive"/>
    <m/>
    <n v="256"/>
    <s v="UPI"/>
    <x v="7"/>
    <d v="2025-03-30T00:00:00"/>
    <s v="ACTIVE"/>
    <m/>
    <m/>
    <m/>
    <m/>
  </r>
  <r>
    <n v="1755"/>
    <s v="Donor_013"/>
    <d v="2025-02-01T00:00:00"/>
    <s v="Central"/>
    <s v="EmergencyFoodBank"/>
    <m/>
    <n v="428"/>
    <s v="Bank Transfer"/>
    <x v="13"/>
    <d v="2025-04-28T00:00:00"/>
    <s v="ACTIVE"/>
    <m/>
    <m/>
    <m/>
    <m/>
  </r>
  <r>
    <n v="1798"/>
    <s v="Donor_069"/>
    <d v="2024-02-10T00:00:00"/>
    <s v="West"/>
    <s v="YearEndGiving"/>
    <m/>
    <n v="1096"/>
    <s v="Cash"/>
    <x v="14"/>
    <d v="2025-06-13T00:00:00"/>
    <s v="ACTIVE"/>
    <m/>
    <m/>
    <m/>
    <m/>
  </r>
  <r>
    <n v="323"/>
    <s v="Donor_119"/>
    <d v="2024-04-12T00:00:00"/>
    <s v="North"/>
    <s v="YearEndGiving"/>
    <m/>
    <n v="1114"/>
    <s v="Cheque"/>
    <x v="3"/>
    <d v="2025-05-18T00:00:00"/>
    <s v="ACTIVE"/>
    <m/>
    <m/>
    <m/>
    <m/>
  </r>
  <r>
    <n v="1397"/>
    <s v="Donor_069"/>
    <d v="2025-04-15T00:00:00"/>
    <s v="East"/>
    <s v="SchoolLunchFund"/>
    <m/>
    <n v="2606"/>
    <s v="Bank Transfer"/>
    <x v="17"/>
    <d v="2025-06-13T00:00:00"/>
    <s v="ACTIVE"/>
    <m/>
    <m/>
    <m/>
    <m/>
  </r>
  <r>
    <n v="1283"/>
    <s v="Donor_011"/>
    <d v="2024-07-07T00:00:00"/>
    <s v="North"/>
    <s v="SchoolLunchFund"/>
    <m/>
    <n v="785"/>
    <s v="Cash"/>
    <x v="5"/>
    <d v="2025-06-04T00:00:00"/>
    <s v="ACTIVE"/>
    <m/>
    <m/>
    <m/>
    <m/>
  </r>
  <r>
    <n v="83"/>
    <s v="Donor_096"/>
    <d v="2025-06-04T00:00:00"/>
    <s v="NOT KNOWN"/>
    <s v="WinterMealDrive"/>
    <m/>
    <n v="2773"/>
    <s v="Cash"/>
    <x v="16"/>
    <d v="2025-06-04T00:00:00"/>
    <s v="ACTIVE"/>
    <m/>
    <m/>
    <m/>
    <m/>
  </r>
  <r>
    <n v="513"/>
    <s v="Donor_038"/>
    <d v="2024-03-07T00:00:00"/>
    <s v="West"/>
    <s v="SchoolLunchFund"/>
    <m/>
    <n v="1078"/>
    <s v="Bank Transfer"/>
    <x v="8"/>
    <d v="2025-04-26T00:00:00"/>
    <s v="ACTIVE"/>
    <m/>
    <m/>
    <m/>
    <m/>
  </r>
  <r>
    <n v="1375"/>
    <s v="Donor_002"/>
    <d v="2024-04-07T00:00:00"/>
    <s v="South"/>
    <s v="YearEndGiving"/>
    <m/>
    <n v="587"/>
    <s v="Cash"/>
    <x v="3"/>
    <d v="2025-04-12T00:00:00"/>
    <s v="ACTIVE"/>
    <m/>
    <m/>
    <m/>
    <m/>
  </r>
  <r>
    <n v="930"/>
    <s v="Donor_004"/>
    <d v="2024-06-02T00:00:00"/>
    <s v="Central"/>
    <s v="RamadanFeeding"/>
    <m/>
    <n v="310"/>
    <s v="UPI"/>
    <x v="2"/>
    <d v="2025-05-26T00:00:00"/>
    <s v="ACTIVE"/>
    <m/>
    <m/>
    <m/>
    <m/>
  </r>
  <r>
    <n v="1474"/>
    <s v="Donor_013"/>
    <d v="2024-10-31T00:00:00"/>
    <s v="West"/>
    <s v="WinterMealDrive"/>
    <m/>
    <n v="2919"/>
    <s v="Cash"/>
    <x v="12"/>
    <d v="2025-04-28T00:00:00"/>
    <s v="ACTIVE"/>
    <m/>
    <m/>
    <m/>
    <m/>
  </r>
  <r>
    <n v="11"/>
    <s v="Donor_049"/>
    <d v="2025-01-29T00:00:00"/>
    <s v="Central"/>
    <s v="RamadanFeeding"/>
    <m/>
    <n v="9006"/>
    <s v="Cheque"/>
    <x v="7"/>
    <d v="2025-06-19T00:00:00"/>
    <s v="ACTIVE"/>
    <m/>
    <m/>
    <m/>
    <m/>
  </r>
  <r>
    <n v="832"/>
    <s v="Donor_079"/>
    <d v="2025-01-22T00:00:00"/>
    <s v="North"/>
    <s v="FloodReliefMeals"/>
    <m/>
    <n v="5613"/>
    <s v="UPI"/>
    <x v="7"/>
    <d v="2025-06-07T00:00:00"/>
    <s v="ACTIVE"/>
    <m/>
    <m/>
    <m/>
    <m/>
  </r>
  <r>
    <n v="33"/>
    <s v="Donor_006"/>
    <d v="2024-05-10T00:00:00"/>
    <s v="East"/>
    <s v="FloodReliefMeals"/>
    <m/>
    <n v="580"/>
    <s v="Credit Card"/>
    <x v="15"/>
    <d v="2025-06-06T00:00:00"/>
    <s v="ACTIVE"/>
    <m/>
    <m/>
    <m/>
    <m/>
  </r>
  <r>
    <n v="1367"/>
    <s v="Donor_067"/>
    <d v="2025-02-08T00:00:00"/>
    <s v="West"/>
    <s v="SchoolLunchFund"/>
    <m/>
    <n v="5500"/>
    <s v="UPI"/>
    <x v="13"/>
    <d v="2025-06-15T00:00:00"/>
    <s v="ACTIVE"/>
    <m/>
    <m/>
    <m/>
    <m/>
  </r>
  <r>
    <n v="414"/>
    <s v="Donor_055"/>
    <d v="2024-04-10T00:00:00"/>
    <s v="South"/>
    <s v="FloodReliefMeals"/>
    <m/>
    <n v="332"/>
    <s v="UPI"/>
    <x v="3"/>
    <d v="2025-05-11T00:00:00"/>
    <s v="ACTIVE"/>
    <m/>
    <m/>
    <m/>
    <m/>
  </r>
  <r>
    <n v="581"/>
    <s v="Donor_001"/>
    <d v="2025-03-04T00:00:00"/>
    <s v="Central"/>
    <s v="SchoolLunchFund"/>
    <m/>
    <n v="1694"/>
    <s v="Cheque"/>
    <x v="6"/>
    <d v="2025-05-18T00:00:00"/>
    <s v="ACTIVE"/>
    <m/>
    <m/>
    <m/>
    <m/>
  </r>
  <r>
    <n v="1398"/>
    <s v="Donor_025"/>
    <d v="2024-03-09T00:00:00"/>
    <s v="East"/>
    <s v="RamadanFeeding"/>
    <m/>
    <n v="352"/>
    <s v="Cheque"/>
    <x v="8"/>
    <d v="2025-06-07T00:00:00"/>
    <s v="ACTIVE"/>
    <m/>
    <m/>
    <m/>
    <m/>
  </r>
  <r>
    <n v="1716"/>
    <s v="Donor_076"/>
    <d v="2024-08-19T00:00:00"/>
    <s v="West"/>
    <s v="SchoolLunchFund"/>
    <m/>
    <n v="8942"/>
    <s v="Cheque"/>
    <x v="1"/>
    <d v="2025-06-08T00:00:00"/>
    <s v="ACTIVE"/>
    <m/>
    <m/>
    <m/>
    <m/>
  </r>
  <r>
    <n v="615"/>
    <s v="Donor_012"/>
    <d v="2025-01-19T00:00:00"/>
    <s v="North"/>
    <s v="RamadanFeeding"/>
    <m/>
    <n v="2415"/>
    <s v="Cheque"/>
    <x v="7"/>
    <d v="2025-06-23T00:00:00"/>
    <s v="ACTIVE"/>
    <m/>
    <m/>
    <m/>
    <m/>
  </r>
  <r>
    <n v="1046"/>
    <s v="Donor_119"/>
    <d v="2024-12-10T00:00:00"/>
    <s v="East"/>
    <s v="YearEndGiving"/>
    <m/>
    <n v="2206"/>
    <s v="Bank Transfer"/>
    <x v="9"/>
    <d v="2025-05-18T00:00:00"/>
    <s v="ACTIVE"/>
    <m/>
    <m/>
    <m/>
    <m/>
  </r>
  <r>
    <n v="1015"/>
    <s v="Donor_107"/>
    <d v="2024-01-26T00:00:00"/>
    <s v="Central"/>
    <s v="RamadanFeeding"/>
    <m/>
    <n v="617"/>
    <s v="UPI"/>
    <x v="10"/>
    <d v="2025-03-18T00:00:00"/>
    <s v="LAPSED"/>
    <m/>
    <m/>
    <m/>
    <m/>
  </r>
  <r>
    <n v="90"/>
    <s v="Donor_032"/>
    <d v="2024-05-29T00:00:00"/>
    <s v="Central"/>
    <s v="RamadanFeeding"/>
    <m/>
    <n v="1302"/>
    <s v="UPI"/>
    <x v="15"/>
    <d v="2025-04-29T00:00:00"/>
    <s v="ACTIVE"/>
    <m/>
    <m/>
    <m/>
    <m/>
  </r>
  <r>
    <n v="1792"/>
    <s v="Donor_016"/>
    <d v="2024-07-26T00:00:00"/>
    <s v="West"/>
    <s v="RamadanFeeding"/>
    <m/>
    <n v="500"/>
    <s v="Bank Transfer"/>
    <x v="5"/>
    <d v="2025-06-17T00:00:00"/>
    <s v="ACTIVE"/>
    <m/>
    <m/>
    <m/>
    <m/>
  </r>
  <r>
    <n v="602"/>
    <s v="Donor_088"/>
    <d v="2025-03-02T00:00:00"/>
    <s v="Central"/>
    <s v="SchoolLunchFund"/>
    <m/>
    <n v="282"/>
    <s v="Cash"/>
    <x v="6"/>
    <d v="2025-05-21T00:00:00"/>
    <s v="ACTIVE"/>
    <m/>
    <m/>
    <m/>
    <m/>
  </r>
  <r>
    <n v="1238"/>
    <s v="Donor_054"/>
    <d v="2024-12-02T00:00:00"/>
    <s v="East"/>
    <s v="FloodReliefMeals"/>
    <m/>
    <n v="805"/>
    <s v="Cash"/>
    <x v="9"/>
    <d v="2025-06-18T00:00:00"/>
    <s v="ACTIVE"/>
    <m/>
    <m/>
    <m/>
    <m/>
  </r>
  <r>
    <n v="134"/>
    <s v="Donor_040"/>
    <d v="2024-12-24T00:00:00"/>
    <s v="West"/>
    <s v="SchoolLunchFund"/>
    <m/>
    <n v="924"/>
    <s v="Cash"/>
    <x v="9"/>
    <d v="2025-05-15T00:00:00"/>
    <s v="ACTIVE"/>
    <m/>
    <m/>
    <m/>
    <m/>
  </r>
  <r>
    <n v="556"/>
    <s v="Donor_074"/>
    <d v="2024-08-03T00:00:00"/>
    <s v="East"/>
    <s v="WinterMealDrive"/>
    <m/>
    <n v="2755"/>
    <s v="UPI"/>
    <x v="1"/>
    <d v="2025-06-18T00:00:00"/>
    <s v="ACTIVE"/>
    <m/>
    <m/>
    <m/>
    <m/>
  </r>
  <r>
    <n v="1032"/>
    <s v="Donor_070"/>
    <d v="2024-02-28T00:00:00"/>
    <s v="North"/>
    <s v="YearEndGiving"/>
    <m/>
    <n v="352"/>
    <s v="Bank Transfer"/>
    <x v="14"/>
    <d v="2025-03-27T00:00:00"/>
    <s v="ACTIVE"/>
    <m/>
    <m/>
    <m/>
    <m/>
  </r>
  <r>
    <n v="1414"/>
    <s v="Donor_037"/>
    <d v="2024-06-29T00:00:00"/>
    <s v="Central"/>
    <s v="RamadanFeeding"/>
    <m/>
    <n v="868"/>
    <s v="Credit Card"/>
    <x v="2"/>
    <d v="2025-05-23T00:00:00"/>
    <s v="ACTIVE"/>
    <m/>
    <m/>
    <m/>
    <m/>
  </r>
  <r>
    <n v="321"/>
    <s v="Donor_107"/>
    <d v="2024-05-31T00:00:00"/>
    <s v="Central"/>
    <s v="FloodReliefMeals"/>
    <m/>
    <n v="5822"/>
    <s v="UPI"/>
    <x v="15"/>
    <d v="2025-03-18T00:00:00"/>
    <s v="LAPSED"/>
    <m/>
    <m/>
    <m/>
    <m/>
  </r>
  <r>
    <n v="1599"/>
    <s v="Donor_080"/>
    <d v="2025-01-09T00:00:00"/>
    <s v="South"/>
    <s v="RamadanFeeding"/>
    <m/>
    <n v="327"/>
    <s v="Cheque"/>
    <x v="7"/>
    <d v="2025-05-11T00:00:00"/>
    <s v="ACTIVE"/>
    <m/>
    <m/>
    <m/>
    <m/>
  </r>
  <r>
    <n v="1212"/>
    <s v="Donor_073"/>
    <d v="2024-06-30T00:00:00"/>
    <s v="North"/>
    <s v="SchoolLunchFund"/>
    <m/>
    <n v="8623"/>
    <s v="Cash"/>
    <x v="2"/>
    <d v="2025-06-23T00:00:00"/>
    <s v="ACTIVE"/>
    <m/>
    <m/>
    <m/>
    <m/>
  </r>
  <r>
    <n v="1568"/>
    <s v="Donor_087"/>
    <d v="2024-06-17T00:00:00"/>
    <s v="North"/>
    <s v="WinterMealDrive"/>
    <m/>
    <n v="1200"/>
    <s v="UPI"/>
    <x v="2"/>
    <d v="2025-06-09T00:00:00"/>
    <s v="ACTIVE"/>
    <m/>
    <m/>
    <m/>
    <m/>
  </r>
  <r>
    <n v="635"/>
    <s v="Donor_023"/>
    <d v="2025-01-11T00:00:00"/>
    <s v="North"/>
    <s v="EmergencyFoodBank"/>
    <m/>
    <n v="321"/>
    <s v="Cash"/>
    <x v="7"/>
    <d v="2025-05-24T00:00:00"/>
    <s v="ACTIVE"/>
    <m/>
    <m/>
    <m/>
    <m/>
  </r>
  <r>
    <n v="553"/>
    <s v="Donor_010"/>
    <d v="2025-06-01T00:00:00"/>
    <s v="East"/>
    <s v="FloodReliefMeals"/>
    <m/>
    <n v="1569"/>
    <s v="Bank Transfer"/>
    <x v="16"/>
    <d v="2025-06-01T00:00:00"/>
    <s v="ACTIVE"/>
    <m/>
    <m/>
    <m/>
    <m/>
  </r>
  <r>
    <n v="1056"/>
    <s v="Donor_061"/>
    <d v="2025-01-18T00:00:00"/>
    <s v="East"/>
    <s v="YearEndGiving"/>
    <m/>
    <n v="432"/>
    <s v="UPI"/>
    <x v="7"/>
    <d v="2025-05-21T00:00:00"/>
    <s v="ACTIVE"/>
    <m/>
    <m/>
    <m/>
    <m/>
  </r>
  <r>
    <n v="1407"/>
    <s v="Donor_042"/>
    <d v="2024-12-16T00:00:00"/>
    <s v="North"/>
    <s v="RamadanFeeding"/>
    <m/>
    <n v="10463"/>
    <s v="Cash"/>
    <x v="9"/>
    <d v="2025-02-10T00:00:00"/>
    <s v="LAPSED"/>
    <m/>
    <m/>
    <m/>
    <m/>
  </r>
  <r>
    <n v="797"/>
    <s v="Donor_065"/>
    <d v="2024-04-17T00:00:00"/>
    <s v="East"/>
    <s v="RamadanFeeding"/>
    <m/>
    <n v="260"/>
    <s v="Credit Card"/>
    <x v="3"/>
    <d v="2025-05-02T00:00:00"/>
    <s v="ACTIVE"/>
    <m/>
    <m/>
    <m/>
    <m/>
  </r>
  <r>
    <n v="1509"/>
    <s v="Donor_106"/>
    <d v="2024-05-19T00:00:00"/>
    <s v="South"/>
    <s v="WinterMealDrive"/>
    <m/>
    <n v="747"/>
    <s v="Credit Card"/>
    <x v="15"/>
    <d v="2025-06-11T00:00:00"/>
    <s v="ACTIVE"/>
    <m/>
    <m/>
    <m/>
    <m/>
  </r>
  <r>
    <n v="1265"/>
    <s v="Donor_103"/>
    <d v="2024-01-29T00:00:00"/>
    <s v="Central"/>
    <s v="YearEndGiving"/>
    <m/>
    <n v="5719"/>
    <s v="Credit Card"/>
    <x v="10"/>
    <d v="2025-02-25T00:00:00"/>
    <s v="LAPSED"/>
    <m/>
    <m/>
    <m/>
    <m/>
  </r>
  <r>
    <n v="1546"/>
    <s v="Donor_053"/>
    <d v="2024-05-19T00:00:00"/>
    <s v="North"/>
    <s v="SchoolLunchFund"/>
    <m/>
    <n v="2116"/>
    <s v="Cheque"/>
    <x v="15"/>
    <d v="2025-04-16T00:00:00"/>
    <s v="ACTIVE"/>
    <m/>
    <m/>
    <m/>
    <m/>
  </r>
  <r>
    <n v="175"/>
    <s v="Donor_017"/>
    <d v="2024-05-01T00:00:00"/>
    <s v="North"/>
    <s v="RamadanFeeding"/>
    <m/>
    <n v="5590"/>
    <s v="Bank Transfer"/>
    <x v="15"/>
    <d v="2025-02-02T00:00:00"/>
    <s v="LAPSED"/>
    <m/>
    <m/>
    <m/>
    <m/>
  </r>
  <r>
    <n v="767"/>
    <s v="Donor_079"/>
    <d v="2024-12-09T00:00:00"/>
    <s v="East"/>
    <s v="RamadanFeeding"/>
    <m/>
    <n v="4325"/>
    <s v="Cash"/>
    <x v="9"/>
    <d v="2025-06-07T00:00:00"/>
    <s v="ACTIVE"/>
    <m/>
    <m/>
    <m/>
    <m/>
  </r>
  <r>
    <n v="246"/>
    <s v="Donor_051"/>
    <d v="2025-03-18T00:00:00"/>
    <s v="North"/>
    <s v="EmergencyFoodBank"/>
    <m/>
    <n v="1960"/>
    <s v="Cash"/>
    <x v="6"/>
    <d v="2025-06-11T00:00:00"/>
    <s v="ACTIVE"/>
    <m/>
    <m/>
    <m/>
    <m/>
  </r>
  <r>
    <n v="1081"/>
    <s v="Donor_054"/>
    <d v="2024-10-21T00:00:00"/>
    <s v="West"/>
    <s v="FloodReliefMeals"/>
    <m/>
    <n v="2130"/>
    <s v="UPI"/>
    <x v="12"/>
    <d v="2025-06-18T00:00:00"/>
    <s v="ACTIVE"/>
    <m/>
    <m/>
    <m/>
    <m/>
  </r>
  <r>
    <n v="1567"/>
    <s v="Donor_046"/>
    <d v="2024-11-17T00:00:00"/>
    <s v="NOT KNOWN"/>
    <s v="SchoolLunchFund"/>
    <m/>
    <n v="5832"/>
    <s v="Cash"/>
    <x v="4"/>
    <d v="2025-05-10T00:00:00"/>
    <s v="ACTIVE"/>
    <m/>
    <m/>
    <m/>
    <m/>
  </r>
  <r>
    <n v="146"/>
    <s v="Donor_077"/>
    <d v="2025-05-26T00:00:00"/>
    <s v="Central"/>
    <s v="WinterMealDrive"/>
    <m/>
    <n v="10300"/>
    <s v="Credit Card"/>
    <x v="11"/>
    <d v="2025-06-21T00:00:00"/>
    <s v="ACTIVE"/>
    <m/>
    <m/>
    <m/>
    <m/>
  </r>
  <r>
    <n v="91"/>
    <s v="Donor_030"/>
    <d v="2024-05-26T00:00:00"/>
    <s v="West"/>
    <s v="EmergencyFoodBank"/>
    <m/>
    <n v="2460"/>
    <s v="UPI"/>
    <x v="15"/>
    <d v="2025-05-25T00:00:00"/>
    <s v="ACTIVE"/>
    <m/>
    <m/>
    <m/>
    <m/>
  </r>
  <r>
    <n v="683"/>
    <s v="Donor_112"/>
    <d v="2024-07-27T00:00:00"/>
    <s v="East"/>
    <s v="SchoolLunchFund"/>
    <m/>
    <n v="1650"/>
    <s v="Bank Transfer"/>
    <x v="5"/>
    <d v="2025-05-26T00:00:00"/>
    <s v="ACTIVE"/>
    <m/>
    <m/>
    <m/>
    <m/>
  </r>
  <r>
    <n v="311"/>
    <s v="Donor_101"/>
    <d v="2025-05-05T00:00:00"/>
    <s v="Central"/>
    <s v="EmergencyFoodBank"/>
    <m/>
    <n v="1730"/>
    <s v="UPI"/>
    <x v="11"/>
    <d v="2025-05-11T00:00:00"/>
    <s v="ACTIVE"/>
    <m/>
    <m/>
    <m/>
    <m/>
  </r>
  <r>
    <n v="94"/>
    <s v="Donor_117"/>
    <d v="2024-02-20T00:00:00"/>
    <s v="Central"/>
    <s v="EmergencyFoodBank"/>
    <m/>
    <n v="340"/>
    <s v="Bank Transfer"/>
    <x v="14"/>
    <d v="2025-04-05T00:00:00"/>
    <s v="ACTIVE"/>
    <m/>
    <m/>
    <m/>
    <m/>
  </r>
  <r>
    <n v="1750"/>
    <s v="Donor_058"/>
    <d v="2025-03-15T00:00:00"/>
    <s v="South"/>
    <s v="YearEndGiving"/>
    <m/>
    <n v="8876"/>
    <s v="Bank Transfer"/>
    <x v="6"/>
    <d v="2025-06-22T00:00:00"/>
    <s v="ACTIVE"/>
    <m/>
    <m/>
    <m/>
    <m/>
  </r>
  <r>
    <n v="925"/>
    <s v="Donor_105"/>
    <d v="2024-03-20T00:00:00"/>
    <s v="West"/>
    <s v="RamadanFeeding"/>
    <m/>
    <n v="5305"/>
    <s v="Cash"/>
    <x v="8"/>
    <d v="2025-06-15T00:00:00"/>
    <s v="ACTIVE"/>
    <m/>
    <m/>
    <m/>
    <m/>
  </r>
  <r>
    <n v="1527"/>
    <s v="Donor_099"/>
    <d v="2024-01-24T00:00:00"/>
    <s v="South"/>
    <s v="EmergencyFoodBank"/>
    <m/>
    <n v="947"/>
    <s v="Cheque"/>
    <x v="10"/>
    <d v="2025-05-30T00:00:00"/>
    <s v="ACTIVE"/>
    <m/>
    <m/>
    <m/>
    <m/>
  </r>
  <r>
    <n v="1036"/>
    <s v="Donor_088"/>
    <d v="2025-01-23T00:00:00"/>
    <s v="North"/>
    <s v="YearEndGiving"/>
    <m/>
    <n v="246"/>
    <s v="Cash"/>
    <x v="7"/>
    <d v="2025-05-21T00:00:00"/>
    <s v="ACTIVE"/>
    <m/>
    <m/>
    <m/>
    <m/>
  </r>
  <r>
    <n v="244"/>
    <s v="Donor_093"/>
    <d v="2025-03-24T00:00:00"/>
    <s v="West"/>
    <s v="FloodReliefMeals"/>
    <m/>
    <n v="920"/>
    <s v="UPI"/>
    <x v="6"/>
    <d v="2025-03-24T00:00:00"/>
    <s v="LAPSED"/>
    <m/>
    <m/>
    <m/>
    <m/>
  </r>
  <r>
    <n v="1112"/>
    <s v="Donor_049"/>
    <d v="2024-07-14T00:00:00"/>
    <s v="East"/>
    <s v="SchoolLunchFund"/>
    <m/>
    <n v="439"/>
    <s v="Bank Transfer"/>
    <x v="5"/>
    <d v="2025-06-19T00:00:00"/>
    <s v="ACTIVE"/>
    <m/>
    <m/>
    <m/>
    <m/>
  </r>
  <r>
    <n v="215"/>
    <s v="Donor_098"/>
    <d v="2025-04-25T00:00:00"/>
    <s v="East"/>
    <s v="SchoolLunchFund"/>
    <m/>
    <n v="4626"/>
    <s v="UPI"/>
    <x v="17"/>
    <d v="2025-06-20T00:00:00"/>
    <s v="ACTIVE"/>
    <m/>
    <m/>
    <m/>
    <m/>
  </r>
  <r>
    <n v="1198"/>
    <s v="Donor_018"/>
    <d v="2024-01-24T00:00:00"/>
    <s v="North"/>
    <s v="EmergencyFoodBank"/>
    <m/>
    <n v="728"/>
    <s v="Cash"/>
    <x v="10"/>
    <d v="2025-06-16T00:00:00"/>
    <s v="ACTIVE"/>
    <m/>
    <m/>
    <m/>
    <m/>
  </r>
  <r>
    <n v="999"/>
    <s v="Donor_036"/>
    <d v="2024-04-20T00:00:00"/>
    <s v="Central"/>
    <s v="RamadanFeeding"/>
    <m/>
    <n v="8700"/>
    <s v="Bank Transfer"/>
    <x v="3"/>
    <d v="2025-06-07T00:00:00"/>
    <s v="ACTIVE"/>
    <m/>
    <m/>
    <m/>
    <m/>
  </r>
  <r>
    <n v="854"/>
    <s v="Donor_029"/>
    <d v="2025-06-05T00:00:00"/>
    <s v="North"/>
    <s v="YearEndGiving"/>
    <m/>
    <n v="273"/>
    <s v="UPI"/>
    <x v="16"/>
    <d v="2025-06-05T00:00:00"/>
    <s v="ACTIVE"/>
    <m/>
    <m/>
    <m/>
    <m/>
  </r>
  <r>
    <n v="426"/>
    <s v="Donor_073"/>
    <d v="2025-01-21T00:00:00"/>
    <s v="West"/>
    <s v="SchoolLunchFund"/>
    <m/>
    <n v="5922"/>
    <s v="Cash"/>
    <x v="7"/>
    <d v="2025-06-23T00:00:00"/>
    <s v="ACTIVE"/>
    <m/>
    <m/>
    <m/>
    <m/>
  </r>
  <r>
    <n v="1703"/>
    <s v="Donor_047"/>
    <d v="2024-09-16T00:00:00"/>
    <s v="East"/>
    <s v="WinterMealDrive"/>
    <m/>
    <n v="535"/>
    <s v="Cash"/>
    <x v="0"/>
    <d v="2025-05-04T00:00:00"/>
    <s v="ACTIVE"/>
    <m/>
    <m/>
    <m/>
    <m/>
  </r>
  <r>
    <n v="1143"/>
    <s v="Donor_001"/>
    <d v="2024-06-02T00:00:00"/>
    <s v="East"/>
    <s v="EmergencyFoodBank"/>
    <m/>
    <n v="2198"/>
    <s v="Cheque"/>
    <x v="2"/>
    <d v="2025-05-18T00:00:00"/>
    <s v="ACTIVE"/>
    <m/>
    <m/>
    <m/>
    <m/>
  </r>
  <r>
    <n v="1144"/>
    <s v="Donor_112"/>
    <d v="2024-05-04T00:00:00"/>
    <s v="West"/>
    <s v="RamadanFeeding"/>
    <m/>
    <n v="4100"/>
    <s v="Cheque"/>
    <x v="15"/>
    <d v="2025-05-26T00:00:00"/>
    <s v="ACTIVE"/>
    <m/>
    <m/>
    <m/>
    <m/>
  </r>
  <r>
    <n v="227"/>
    <s v="Donor_007"/>
    <d v="2024-12-20T00:00:00"/>
    <s v="North"/>
    <s v="RamadanFeeding"/>
    <m/>
    <n v="2271"/>
    <s v="Bank Transfer"/>
    <x v="9"/>
    <d v="2025-06-21T00:00:00"/>
    <s v="ACTIVE"/>
    <m/>
    <m/>
    <m/>
    <m/>
  </r>
  <r>
    <n v="1471"/>
    <s v="Donor_053"/>
    <d v="2024-11-03T00:00:00"/>
    <s v="North"/>
    <s v="WinterMealDrive"/>
    <m/>
    <n v="2328"/>
    <s v="UPI"/>
    <x v="4"/>
    <d v="2025-04-16T00:00:00"/>
    <s v="ACTIVE"/>
    <m/>
    <m/>
    <m/>
    <m/>
  </r>
  <r>
    <n v="1"/>
    <s v="Donor_004"/>
    <d v="2024-04-24T00:00:00"/>
    <s v="East"/>
    <s v="SchoolLunchFund"/>
    <m/>
    <n v="1712"/>
    <s v="UPI"/>
    <x v="3"/>
    <d v="2025-05-26T00:00:00"/>
    <s v="ACTIVE"/>
    <m/>
    <m/>
    <m/>
    <m/>
  </r>
  <r>
    <n v="402"/>
    <s v="Donor_050"/>
    <d v="2025-01-04T00:00:00"/>
    <s v="West"/>
    <s v="RamadanFeeding"/>
    <m/>
    <n v="408"/>
    <s v="Bank Transfer"/>
    <x v="7"/>
    <d v="2025-06-18T00:00:00"/>
    <s v="ACTIVE"/>
    <m/>
    <m/>
    <m/>
    <m/>
  </r>
  <r>
    <n v="1104"/>
    <s v="Donor_045"/>
    <d v="2024-08-19T00:00:00"/>
    <s v="North"/>
    <s v="SchoolLunchFund"/>
    <m/>
    <n v="2284"/>
    <s v="Cash"/>
    <x v="1"/>
    <d v="2025-05-11T00:00:00"/>
    <s v="ACTIVE"/>
    <m/>
    <m/>
    <m/>
    <m/>
  </r>
  <r>
    <n v="85"/>
    <s v="Donor_120"/>
    <d v="2025-04-11T00:00:00"/>
    <s v="East"/>
    <s v="SchoolLunchFund"/>
    <m/>
    <n v="2057"/>
    <s v="Credit Card"/>
    <x v="17"/>
    <d v="2025-06-19T00:00:00"/>
    <s v="ACTIVE"/>
    <m/>
    <m/>
    <m/>
    <m/>
  </r>
  <r>
    <n v="163"/>
    <s v="Donor_017"/>
    <d v="2024-03-16T00:00:00"/>
    <s v="East"/>
    <s v="EmergencyFoodBank"/>
    <m/>
    <n v="980"/>
    <s v="Cheque"/>
    <x v="8"/>
    <d v="2025-02-02T00:00:00"/>
    <s v="LAPSED"/>
    <m/>
    <m/>
    <m/>
    <m/>
  </r>
  <r>
    <n v="115"/>
    <s v="Donor_015"/>
    <d v="2025-01-11T00:00:00"/>
    <s v="East"/>
    <s v="YearEndGiving"/>
    <m/>
    <n v="2246"/>
    <s v="Cheque"/>
    <x v="7"/>
    <d v="2025-05-02T00:00:00"/>
    <s v="ACTIVE"/>
    <m/>
    <m/>
    <m/>
    <m/>
  </r>
  <r>
    <n v="671"/>
    <s v="Donor_077"/>
    <d v="2025-03-15T00:00:00"/>
    <s v="East"/>
    <s v="SchoolLunchFund"/>
    <m/>
    <n v="1183"/>
    <s v="Credit Card"/>
    <x v="6"/>
    <d v="2025-06-21T00:00:00"/>
    <s v="ACTIVE"/>
    <m/>
    <m/>
    <m/>
    <m/>
  </r>
  <r>
    <n v="1175"/>
    <s v="Donor_083"/>
    <d v="2025-05-11T00:00:00"/>
    <s v="South"/>
    <s v="YearEndGiving"/>
    <m/>
    <n v="261"/>
    <s v="Cash"/>
    <x v="11"/>
    <d v="2025-06-21T00:00:00"/>
    <s v="ACTIVE"/>
    <m/>
    <m/>
    <m/>
    <m/>
  </r>
  <r>
    <n v="1377"/>
    <s v="Donor_088"/>
    <d v="2024-04-22T00:00:00"/>
    <s v="South"/>
    <s v="WinterMealDrive"/>
    <m/>
    <n v="1986"/>
    <s v="Credit Card"/>
    <x v="3"/>
    <d v="2025-05-21T00:00:00"/>
    <s v="ACTIVE"/>
    <m/>
    <m/>
    <m/>
    <m/>
  </r>
  <r>
    <n v="890"/>
    <s v="Donor_036"/>
    <d v="2025-04-28T00:00:00"/>
    <s v="NOT KNOWN"/>
    <s v="WinterMealDrive"/>
    <m/>
    <n v="655"/>
    <s v="Cash"/>
    <x v="17"/>
    <d v="2025-06-07T00:00:00"/>
    <s v="ACTIVE"/>
    <m/>
    <m/>
    <m/>
    <m/>
  </r>
  <r>
    <n v="626"/>
    <s v="Donor_004"/>
    <d v="2024-11-07T00:00:00"/>
    <s v="North"/>
    <s v="SchoolLunchFund"/>
    <m/>
    <n v="1714"/>
    <s v="Credit Card"/>
    <x v="4"/>
    <d v="2025-05-26T00:00:00"/>
    <s v="ACTIVE"/>
    <m/>
    <m/>
    <m/>
    <m/>
  </r>
  <r>
    <n v="1767"/>
    <s v="Donor_092"/>
    <d v="2024-05-08T00:00:00"/>
    <s v="South"/>
    <s v="EmergencyFoodBank"/>
    <m/>
    <n v="2056"/>
    <s v="Bank Transfer"/>
    <x v="15"/>
    <d v="2025-05-07T00:00:00"/>
    <s v="ACTIVE"/>
    <m/>
    <m/>
    <m/>
    <m/>
  </r>
  <r>
    <n v="953"/>
    <s v="Donor_016"/>
    <d v="2025-04-25T00:00:00"/>
    <s v="East"/>
    <s v="RamadanFeeding"/>
    <m/>
    <n v="872"/>
    <s v="Cash"/>
    <x v="17"/>
    <d v="2025-06-17T00:00:00"/>
    <s v="ACTIVE"/>
    <m/>
    <m/>
    <m/>
    <m/>
  </r>
  <r>
    <n v="808"/>
    <s v="Donor_087"/>
    <d v="2025-02-01T00:00:00"/>
    <s v="NOT KNOWN"/>
    <s v="FloodReliefMeals"/>
    <m/>
    <n v="1581"/>
    <s v="Bank Transfer"/>
    <x v="13"/>
    <d v="2025-06-09T00:00:00"/>
    <s v="ACTIVE"/>
    <m/>
    <m/>
    <m/>
    <m/>
  </r>
  <r>
    <n v="259"/>
    <s v="Donor_032"/>
    <d v="2024-05-15T00:00:00"/>
    <s v="South"/>
    <s v="EmergencyFoodBank"/>
    <m/>
    <n v="5657"/>
    <s v="Cash"/>
    <x v="15"/>
    <d v="2025-04-29T00:00:00"/>
    <s v="ACTIVE"/>
    <m/>
    <m/>
    <m/>
    <m/>
  </r>
  <r>
    <n v="625"/>
    <s v="Donor_062"/>
    <d v="2024-01-18T00:00:00"/>
    <s v="East"/>
    <s v="FloodReliefMeals"/>
    <m/>
    <n v="4278"/>
    <s v="Cash"/>
    <x v="10"/>
    <d v="2025-05-17T00:00:00"/>
    <s v="ACTIVE"/>
    <m/>
    <m/>
    <m/>
    <m/>
  </r>
  <r>
    <n v="827"/>
    <s v="Donor_063"/>
    <d v="2024-07-21T00:00:00"/>
    <s v="South"/>
    <s v="YearEndGiving"/>
    <m/>
    <n v="980"/>
    <s v="Credit Card"/>
    <x v="5"/>
    <d v="2025-04-20T00:00:00"/>
    <s v="ACTIVE"/>
    <m/>
    <m/>
    <m/>
    <m/>
  </r>
  <r>
    <n v="235"/>
    <s v="Donor_103"/>
    <d v="2025-01-24T00:00:00"/>
    <s v="East"/>
    <s v="RamadanFeeding"/>
    <m/>
    <n v="4861"/>
    <s v="Cheque"/>
    <x v="7"/>
    <d v="2025-02-25T00:00:00"/>
    <s v="LAPSED"/>
    <m/>
    <m/>
    <m/>
    <m/>
  </r>
  <r>
    <n v="136"/>
    <s v="Donor_018"/>
    <d v="2024-08-19T00:00:00"/>
    <s v="South"/>
    <s v="WinterMealDrive"/>
    <m/>
    <n v="2844"/>
    <s v="UPI"/>
    <x v="1"/>
    <d v="2025-06-16T00:00:00"/>
    <s v="ACTIVE"/>
    <m/>
    <m/>
    <m/>
    <m/>
  </r>
  <r>
    <n v="617"/>
    <s v="Donor_102"/>
    <d v="2024-01-28T00:00:00"/>
    <s v="North"/>
    <s v="SchoolLunchFund"/>
    <m/>
    <n v="2300"/>
    <s v="Cash"/>
    <x v="10"/>
    <d v="2025-04-29T00:00:00"/>
    <s v="ACTIVE"/>
    <m/>
    <m/>
    <m/>
    <m/>
  </r>
  <r>
    <n v="1768"/>
    <s v="Donor_001"/>
    <d v="2024-01-22T00:00:00"/>
    <s v="West"/>
    <s v="RamadanFeeding"/>
    <m/>
    <n v="285"/>
    <s v="Credit Card"/>
    <x v="10"/>
    <d v="2025-05-18T00:00:00"/>
    <s v="ACTIVE"/>
    <m/>
    <m/>
    <m/>
    <m/>
  </r>
  <r>
    <n v="837"/>
    <s v="Donor_039"/>
    <d v="2024-03-30T00:00:00"/>
    <s v="Central"/>
    <s v="RamadanFeeding"/>
    <m/>
    <n v="1738"/>
    <s v="UPI"/>
    <x v="8"/>
    <d v="2025-04-25T00:00:00"/>
    <s v="ACTIVE"/>
    <m/>
    <m/>
    <m/>
    <m/>
  </r>
  <r>
    <n v="843"/>
    <s v="Donor_067"/>
    <d v="2024-05-09T00:00:00"/>
    <s v="Central"/>
    <s v="YearEndGiving"/>
    <m/>
    <n v="1685"/>
    <s v="UPI"/>
    <x v="15"/>
    <d v="2025-06-15T00:00:00"/>
    <s v="ACTIVE"/>
    <m/>
    <m/>
    <m/>
    <m/>
  </r>
  <r>
    <n v="960"/>
    <s v="Donor_093"/>
    <d v="2024-09-08T00:00:00"/>
    <s v="West"/>
    <s v="FloodReliefMeals"/>
    <m/>
    <n v="455"/>
    <s v="Credit Card"/>
    <x v="0"/>
    <d v="2025-03-24T00:00:00"/>
    <s v="LAPSED"/>
    <m/>
    <m/>
    <m/>
    <m/>
  </r>
  <r>
    <n v="593"/>
    <s v="Donor_083"/>
    <d v="2024-09-01T00:00:00"/>
    <s v="North"/>
    <s v="WinterMealDrive"/>
    <m/>
    <n v="320"/>
    <s v="Credit Card"/>
    <x v="0"/>
    <d v="2025-06-21T00:00:00"/>
    <s v="ACTIVE"/>
    <m/>
    <m/>
    <m/>
    <m/>
  </r>
  <r>
    <n v="1315"/>
    <s v="Donor_061"/>
    <d v="2024-07-16T00:00:00"/>
    <s v="South"/>
    <s v="EmergencyFoodBank"/>
    <m/>
    <n v="313"/>
    <s v="Credit Card"/>
    <x v="5"/>
    <d v="2025-05-21T00:00:00"/>
    <s v="ACTIVE"/>
    <m/>
    <m/>
    <m/>
    <m/>
  </r>
  <r>
    <n v="1292"/>
    <s v="Donor_056"/>
    <d v="2024-01-22T00:00:00"/>
    <s v="East"/>
    <s v="SchoolLunchFund"/>
    <m/>
    <n v="492"/>
    <s v="Cheque"/>
    <x v="10"/>
    <d v="2025-05-08T00:00:00"/>
    <s v="ACTIVE"/>
    <m/>
    <m/>
    <m/>
    <m/>
  </r>
  <r>
    <n v="344"/>
    <s v="Donor_069"/>
    <d v="2024-02-08T00:00:00"/>
    <s v="NOT KNOWN"/>
    <s v="EmergencyFoodBank"/>
    <m/>
    <n v="0"/>
    <s v="Bank Transfer"/>
    <x v="14"/>
    <d v="2025-06-13T00:00:00"/>
    <s v="ACTIVE"/>
    <m/>
    <m/>
    <m/>
    <m/>
  </r>
  <r>
    <n v="1492"/>
    <s v="Donor_013"/>
    <d v="2024-12-31T00:00:00"/>
    <s v="West"/>
    <s v="RamadanFeeding"/>
    <m/>
    <n v="2312"/>
    <s v="Bank Transfer"/>
    <x v="9"/>
    <d v="2025-04-28T00:00:00"/>
    <s v="ACTIVE"/>
    <m/>
    <m/>
    <m/>
    <m/>
  </r>
  <r>
    <n v="294"/>
    <s v="Donor_017"/>
    <d v="2024-08-15T00:00:00"/>
    <s v="South"/>
    <s v="RamadanFeeding"/>
    <m/>
    <n v="5373"/>
    <s v="UPI"/>
    <x v="1"/>
    <d v="2025-02-02T00:00:00"/>
    <s v="LAPSED"/>
    <m/>
    <m/>
    <m/>
    <m/>
  </r>
  <r>
    <n v="365"/>
    <s v="Donor_105"/>
    <d v="2024-02-25T00:00:00"/>
    <s v="South"/>
    <s v="RamadanFeeding"/>
    <m/>
    <n v="5120"/>
    <s v="Cheque"/>
    <x v="14"/>
    <d v="2025-06-15T00:00:00"/>
    <s v="ACTIVE"/>
    <m/>
    <m/>
    <m/>
    <m/>
  </r>
  <r>
    <n v="179"/>
    <s v="Donor_077"/>
    <d v="2024-01-28T00:00:00"/>
    <s v="West"/>
    <s v="FloodReliefMeals"/>
    <m/>
    <n v="2177"/>
    <s v="Cheque"/>
    <x v="10"/>
    <d v="2025-06-21T00:00:00"/>
    <s v="ACTIVE"/>
    <m/>
    <m/>
    <m/>
    <m/>
  </r>
  <r>
    <n v="660"/>
    <s v="Donor_120"/>
    <d v="2024-08-29T00:00:00"/>
    <s v="West"/>
    <s v="SchoolLunchFund"/>
    <m/>
    <n v="1264"/>
    <s v="Credit Card"/>
    <x v="1"/>
    <d v="2025-06-19T00:00:00"/>
    <s v="ACTIVE"/>
    <m/>
    <m/>
    <m/>
    <m/>
  </r>
  <r>
    <n v="997"/>
    <s v="Donor_100"/>
    <d v="2025-06-14T00:00:00"/>
    <s v="Central"/>
    <s v="RamadanFeeding"/>
    <m/>
    <n v="908"/>
    <s v="Cheque"/>
    <x v="16"/>
    <d v="2025-06-14T00:00:00"/>
    <s v="ACTIVE"/>
    <m/>
    <m/>
    <m/>
    <m/>
  </r>
  <r>
    <n v="15"/>
    <s v="Donor_011"/>
    <d v="2024-03-21T00:00:00"/>
    <s v="West"/>
    <s v="WinterMealDrive"/>
    <m/>
    <n v="11063"/>
    <s v="Credit Card"/>
    <x v="8"/>
    <d v="2025-06-04T00:00:00"/>
    <s v="ACTIVE"/>
    <m/>
    <m/>
    <m/>
    <m/>
  </r>
  <r>
    <n v="1111"/>
    <s v="Donor_084"/>
    <d v="2025-03-21T00:00:00"/>
    <s v="East"/>
    <s v="SchoolLunchFund"/>
    <m/>
    <n v="573"/>
    <s v="Cash"/>
    <x v="6"/>
    <d v="2025-05-13T00:00:00"/>
    <s v="ACTIVE"/>
    <m/>
    <m/>
    <m/>
    <m/>
  </r>
  <r>
    <n v="1395"/>
    <s v="Donor_025"/>
    <d v="2024-10-29T00:00:00"/>
    <s v="East"/>
    <s v="EmergencyFoodBank"/>
    <m/>
    <n v="10212"/>
    <s v="Credit Card"/>
    <x v="12"/>
    <d v="2025-06-07T00:00:00"/>
    <s v="ACTIVE"/>
    <m/>
    <m/>
    <m/>
    <m/>
  </r>
  <r>
    <n v="166"/>
    <s v="Donor_076"/>
    <d v="2024-06-21T00:00:00"/>
    <s v="Central"/>
    <s v="SchoolLunchFund"/>
    <m/>
    <n v="1595"/>
    <s v="Cheque"/>
    <x v="2"/>
    <d v="2025-06-08T00:00:00"/>
    <s v="ACTIVE"/>
    <m/>
    <m/>
    <m/>
    <m/>
  </r>
  <r>
    <n v="1696"/>
    <s v="Donor_089"/>
    <d v="2025-05-04T00:00:00"/>
    <s v="West"/>
    <s v="FloodReliefMeals"/>
    <m/>
    <n v="640"/>
    <s v="Bank Transfer"/>
    <x v="11"/>
    <d v="2025-05-16T00:00:00"/>
    <s v="ACTIVE"/>
    <m/>
    <m/>
    <m/>
    <m/>
  </r>
  <r>
    <n v="1360"/>
    <s v="Donor_112"/>
    <d v="2024-02-15T00:00:00"/>
    <s v="Central"/>
    <s v="RamadanFeeding"/>
    <m/>
    <n v="11809"/>
    <s v="Cash"/>
    <x v="14"/>
    <d v="2025-05-26T00:00:00"/>
    <s v="ACTIVE"/>
    <m/>
    <m/>
    <m/>
    <m/>
  </r>
  <r>
    <n v="60"/>
    <s v="Donor_060"/>
    <d v="2025-05-10T00:00:00"/>
    <s v="West"/>
    <s v="EmergencyFoodBank"/>
    <m/>
    <n v="2322"/>
    <s v="Credit Card"/>
    <x v="11"/>
    <d v="2025-05-20T00:00:00"/>
    <s v="ACTIVE"/>
    <m/>
    <m/>
    <m/>
    <m/>
  </r>
  <r>
    <n v="710"/>
    <s v="Donor_119"/>
    <d v="2024-02-21T00:00:00"/>
    <s v="West"/>
    <s v="RamadanFeeding"/>
    <m/>
    <n v="1190"/>
    <s v="Cheque"/>
    <x v="14"/>
    <d v="2025-05-18T00:00:00"/>
    <s v="ACTIVE"/>
    <m/>
    <m/>
    <m/>
    <m/>
  </r>
  <r>
    <n v="677"/>
    <s v="Donor_039"/>
    <d v="2025-01-25T00:00:00"/>
    <s v="West"/>
    <s v="EmergencyFoodBank"/>
    <m/>
    <n v="4264"/>
    <s v="Cheque"/>
    <x v="7"/>
    <d v="2025-04-25T00:00:00"/>
    <s v="ACTIVE"/>
    <m/>
    <m/>
    <m/>
    <m/>
  </r>
  <r>
    <n v="1379"/>
    <s v="Donor_013"/>
    <d v="2024-04-28T00:00:00"/>
    <s v="South"/>
    <s v="SchoolLunchFund"/>
    <m/>
    <n v="1644"/>
    <s v="Cheque"/>
    <x v="3"/>
    <d v="2025-04-28T00:00:00"/>
    <s v="ACTIVE"/>
    <m/>
    <m/>
    <m/>
    <m/>
  </r>
  <r>
    <n v="781"/>
    <s v="Donor_108"/>
    <d v="2024-10-28T00:00:00"/>
    <s v="Central"/>
    <s v="YearEndGiving"/>
    <m/>
    <n v="10575"/>
    <s v="Bank Transfer"/>
    <x v="12"/>
    <d v="2025-05-21T00:00:00"/>
    <s v="ACTIVE"/>
    <m/>
    <m/>
    <m/>
    <m/>
  </r>
  <r>
    <n v="425"/>
    <s v="Donor_065"/>
    <d v="2024-03-15T00:00:00"/>
    <s v="East"/>
    <s v="FloodReliefMeals"/>
    <m/>
    <n v="1121"/>
    <s v="Bank Transfer"/>
    <x v="8"/>
    <d v="2025-05-02T00:00:00"/>
    <s v="ACTIVE"/>
    <m/>
    <m/>
    <m/>
    <m/>
  </r>
  <r>
    <n v="293"/>
    <s v="Donor_052"/>
    <d v="2024-02-01T00:00:00"/>
    <s v="West"/>
    <s v="YearEndGiving"/>
    <m/>
    <n v="8999"/>
    <s v="Cash"/>
    <x v="14"/>
    <d v="2025-06-13T00:00:00"/>
    <s v="ACTIVE"/>
    <m/>
    <m/>
    <m/>
    <m/>
  </r>
  <r>
    <n v="1066"/>
    <s v="Donor_115"/>
    <d v="2024-12-10T00:00:00"/>
    <s v="East"/>
    <s v="YearEndGiving"/>
    <m/>
    <n v="1198"/>
    <s v="UPI"/>
    <x v="9"/>
    <d v="2025-06-20T00:00:00"/>
    <s v="ACTIVE"/>
    <m/>
    <m/>
    <m/>
    <m/>
  </r>
  <r>
    <n v="1619"/>
    <s v="Donor_031"/>
    <d v="2024-05-27T00:00:00"/>
    <s v="South"/>
    <s v="FloodReliefMeals"/>
    <m/>
    <n v="5405"/>
    <s v="Credit Card"/>
    <x v="15"/>
    <d v="2025-05-17T00:00:00"/>
    <s v="ACTIVE"/>
    <m/>
    <m/>
    <m/>
    <m/>
  </r>
  <r>
    <n v="330"/>
    <s v="Donor_076"/>
    <d v="2025-04-30T00:00:00"/>
    <s v="Central"/>
    <s v="FloodReliefMeals"/>
    <m/>
    <n v="4327"/>
    <s v="Bank Transfer"/>
    <x v="17"/>
    <d v="2025-06-08T00:00:00"/>
    <s v="ACTIVE"/>
    <m/>
    <m/>
    <m/>
    <m/>
  </r>
  <r>
    <n v="430"/>
    <s v="Donor_020"/>
    <d v="2024-12-30T00:00:00"/>
    <s v="North"/>
    <s v="WinterMealDrive"/>
    <m/>
    <n v="1070"/>
    <s v="Cash"/>
    <x v="9"/>
    <d v="2025-05-31T00:00:00"/>
    <s v="ACTIVE"/>
    <m/>
    <m/>
    <m/>
    <m/>
  </r>
  <r>
    <n v="1013"/>
    <s v="Donor_067"/>
    <d v="2024-07-28T00:00:00"/>
    <s v="NOT KNOWN"/>
    <s v="YearEndGiving"/>
    <m/>
    <n v="256"/>
    <s v="Credit Card"/>
    <x v="5"/>
    <d v="2025-06-15T00:00:00"/>
    <s v="ACTIVE"/>
    <m/>
    <m/>
    <m/>
    <m/>
  </r>
  <r>
    <n v="80"/>
    <s v="Donor_035"/>
    <d v="2024-07-27T00:00:00"/>
    <s v="Central"/>
    <s v="SchoolLunchFund"/>
    <m/>
    <n v="2438"/>
    <s v="Cash"/>
    <x v="5"/>
    <d v="2025-06-15T00:00:00"/>
    <s v="ACTIVE"/>
    <m/>
    <m/>
    <m/>
    <m/>
  </r>
  <r>
    <n v="1053"/>
    <s v="Donor_024"/>
    <d v="2024-02-09T00:00:00"/>
    <s v="Central"/>
    <s v="RamadanFeeding"/>
    <m/>
    <n v="4084"/>
    <s v="Credit Card"/>
    <x v="14"/>
    <d v="2025-06-07T00:00:00"/>
    <s v="ACTIVE"/>
    <m/>
    <m/>
    <m/>
    <m/>
  </r>
  <r>
    <n v="938"/>
    <s v="Donor_095"/>
    <d v="2024-02-28T00:00:00"/>
    <s v="South"/>
    <s v="EmergencyFoodBank"/>
    <m/>
    <n v="8032"/>
    <s v="UPI"/>
    <x v="14"/>
    <d v="2025-05-17T00:00:00"/>
    <s v="ACTIVE"/>
    <m/>
    <m/>
    <m/>
    <m/>
  </r>
  <r>
    <n v="835"/>
    <s v="Donor_078"/>
    <d v="2024-08-27T00:00:00"/>
    <s v="West"/>
    <s v="RamadanFeeding"/>
    <m/>
    <n v="939"/>
    <s v="Cash"/>
    <x v="1"/>
    <d v="2025-03-13T00:00:00"/>
    <s v="LAPSED"/>
    <m/>
    <m/>
    <m/>
    <m/>
  </r>
  <r>
    <n v="750"/>
    <s v="Donor_088"/>
    <d v="2024-10-14T00:00:00"/>
    <s v="East"/>
    <s v="SchoolLunchFund"/>
    <m/>
    <n v="1127"/>
    <s v="Bank Transfer"/>
    <x v="12"/>
    <d v="2025-05-21T00:00:00"/>
    <s v="ACTIVE"/>
    <m/>
    <m/>
    <m/>
    <m/>
  </r>
  <r>
    <n v="891"/>
    <s v="Donor_043"/>
    <d v="2024-05-13T00:00:00"/>
    <s v="East"/>
    <s v="EmergencyFoodBank"/>
    <m/>
    <n v="5486"/>
    <s v="Cheque"/>
    <x v="15"/>
    <d v="2025-06-13T00:00:00"/>
    <s v="ACTIVE"/>
    <m/>
    <m/>
    <m/>
    <m/>
  </r>
  <r>
    <n v="255"/>
    <s v="Donor_070"/>
    <d v="2025-03-27T00:00:00"/>
    <s v="South"/>
    <s v="RamadanFeeding"/>
    <m/>
    <n v="1094"/>
    <s v="Credit Card"/>
    <x v="6"/>
    <d v="2025-03-27T00:00:00"/>
    <s v="ACTIVE"/>
    <m/>
    <m/>
    <m/>
    <m/>
  </r>
  <r>
    <n v="1565"/>
    <s v="Donor_096"/>
    <d v="2024-04-04T00:00:00"/>
    <s v="West"/>
    <s v="EmergencyFoodBank"/>
    <m/>
    <n v="351"/>
    <s v="UPI"/>
    <x v="3"/>
    <d v="2025-06-04T00:00:00"/>
    <s v="ACTIVE"/>
    <m/>
    <m/>
    <m/>
    <m/>
  </r>
  <r>
    <n v="1766"/>
    <s v="Donor_070"/>
    <d v="2024-03-16T00:00:00"/>
    <s v="West"/>
    <s v="EmergencyFoodBank"/>
    <m/>
    <n v="297"/>
    <s v="UPI"/>
    <x v="8"/>
    <d v="2025-03-27T00:00:00"/>
    <s v="ACTIVE"/>
    <m/>
    <m/>
    <m/>
    <m/>
  </r>
  <r>
    <n v="1338"/>
    <s v="Donor_091"/>
    <d v="2024-07-21T00:00:00"/>
    <s v="Central"/>
    <s v="RamadanFeeding"/>
    <m/>
    <n v="2163"/>
    <s v="Credit Card"/>
    <x v="5"/>
    <d v="2025-05-16T00:00:00"/>
    <s v="ACTIVE"/>
    <m/>
    <m/>
    <m/>
    <m/>
  </r>
  <r>
    <n v="1109"/>
    <s v="Donor_072"/>
    <d v="2024-09-03T00:00:00"/>
    <s v="West"/>
    <s v="RamadanFeeding"/>
    <m/>
    <n v="812"/>
    <s v="Bank Transfer"/>
    <x v="0"/>
    <d v="2025-04-13T00:00:00"/>
    <s v="ACTIVE"/>
    <m/>
    <m/>
    <m/>
    <m/>
  </r>
  <r>
    <n v="137"/>
    <s v="Donor_113"/>
    <d v="2024-12-10T00:00:00"/>
    <s v="Central"/>
    <s v="SchoolLunchFund"/>
    <m/>
    <n v="646"/>
    <s v="Credit Card"/>
    <x v="9"/>
    <d v="2025-04-17T00:00:00"/>
    <s v="ACTIVE"/>
    <m/>
    <m/>
    <m/>
    <m/>
  </r>
  <r>
    <n v="1136"/>
    <s v="Donor_069"/>
    <d v="2025-02-07T00:00:00"/>
    <s v="North"/>
    <s v="FloodReliefMeals"/>
    <m/>
    <n v="320"/>
    <s v="Cheque"/>
    <x v="13"/>
    <d v="2025-06-13T00:00:00"/>
    <s v="ACTIVE"/>
    <m/>
    <m/>
    <m/>
    <m/>
  </r>
  <r>
    <n v="1219"/>
    <s v="Donor_085"/>
    <d v="2024-08-18T00:00:00"/>
    <s v="North"/>
    <s v="EmergencyFoodBank"/>
    <m/>
    <n v="1087"/>
    <s v="Bank Transfer"/>
    <x v="1"/>
    <d v="2025-06-22T00:00:00"/>
    <s v="ACTIVE"/>
    <m/>
    <m/>
    <m/>
    <m/>
  </r>
  <r>
    <n v="853"/>
    <s v="Donor_100"/>
    <d v="2024-04-01T00:00:00"/>
    <s v="West"/>
    <s v="EmergencyFoodBank"/>
    <m/>
    <n v="683"/>
    <s v="Cash"/>
    <x v="3"/>
    <d v="2025-06-14T00:00:00"/>
    <s v="ACTIVE"/>
    <m/>
    <m/>
    <m/>
    <m/>
  </r>
  <r>
    <n v="1203"/>
    <s v="Donor_003"/>
    <d v="2025-02-03T00:00:00"/>
    <s v="North"/>
    <s v="SchoolLunchFund"/>
    <m/>
    <n v="4854"/>
    <s v="Bank Transfer"/>
    <x v="13"/>
    <d v="2025-05-08T00:00:00"/>
    <s v="ACTIVE"/>
    <m/>
    <m/>
    <m/>
    <m/>
  </r>
  <r>
    <n v="724"/>
    <s v="Donor_059"/>
    <d v="2025-01-04T00:00:00"/>
    <s v="North"/>
    <s v="SchoolLunchFund"/>
    <m/>
    <n v="849"/>
    <s v="UPI"/>
    <x v="7"/>
    <d v="2025-06-16T00:00:00"/>
    <s v="ACTIVE"/>
    <m/>
    <m/>
    <m/>
    <m/>
  </r>
  <r>
    <n v="860"/>
    <s v="Donor_027"/>
    <d v="2025-06-06T00:00:00"/>
    <s v="North"/>
    <s v="EmergencyFoodBank"/>
    <m/>
    <n v="447"/>
    <s v="Credit Card"/>
    <x v="16"/>
    <d v="2025-06-06T00:00:00"/>
    <s v="ACTIVE"/>
    <m/>
    <m/>
    <m/>
    <m/>
  </r>
  <r>
    <n v="970"/>
    <s v="Donor_038"/>
    <d v="2025-02-23T00:00:00"/>
    <s v="Central"/>
    <s v="EmergencyFoodBank"/>
    <m/>
    <n v="9409"/>
    <s v="UPI"/>
    <x v="13"/>
    <d v="2025-04-26T00:00:00"/>
    <s v="ACTIVE"/>
    <m/>
    <m/>
    <m/>
    <m/>
  </r>
  <r>
    <n v="497"/>
    <s v="Donor_078"/>
    <d v="2024-09-30T00:00:00"/>
    <s v="Central"/>
    <s v="YearEndGiving"/>
    <m/>
    <n v="2077"/>
    <s v="Credit Card"/>
    <x v="0"/>
    <d v="2025-03-13T00:00:00"/>
    <s v="LAPSED"/>
    <m/>
    <m/>
    <m/>
    <m/>
  </r>
  <r>
    <n v="951"/>
    <s v="Donor_082"/>
    <d v="2025-03-23T00:00:00"/>
    <s v="East"/>
    <s v="EmergencyFoodBank"/>
    <m/>
    <n v="1198"/>
    <s v="UPI"/>
    <x v="6"/>
    <d v="2025-06-02T00:00:00"/>
    <s v="ACTIVE"/>
    <m/>
    <m/>
    <m/>
    <m/>
  </r>
  <r>
    <n v="806"/>
    <s v="Donor_002"/>
    <d v="2024-11-19T00:00:00"/>
    <s v="West"/>
    <s v="SchoolLunchFund"/>
    <m/>
    <n v="266"/>
    <s v="Bank Transfer"/>
    <x v="4"/>
    <d v="2025-04-12T00:00:00"/>
    <s v="ACTIVE"/>
    <m/>
    <m/>
    <m/>
    <m/>
  </r>
  <r>
    <n v="130"/>
    <s v="Donor_060"/>
    <d v="2025-01-28T00:00:00"/>
    <s v="Central"/>
    <s v="YearEndGiving"/>
    <m/>
    <n v="490"/>
    <s v="Cheque"/>
    <x v="7"/>
    <d v="2025-05-20T00:00:00"/>
    <s v="ACTIVE"/>
    <m/>
    <m/>
    <m/>
    <m/>
  </r>
  <r>
    <n v="338"/>
    <s v="Donor_038"/>
    <d v="2024-07-04T00:00:00"/>
    <s v="North"/>
    <s v="RamadanFeeding"/>
    <m/>
    <n v="1645"/>
    <s v="Cheque"/>
    <x v="5"/>
    <d v="2025-04-26T00:00:00"/>
    <s v="ACTIVE"/>
    <m/>
    <m/>
    <m/>
    <m/>
  </r>
  <r>
    <n v="1799"/>
    <s v="Donor_085"/>
    <d v="2024-03-27T00:00:00"/>
    <s v="Central"/>
    <s v="YearEndGiving"/>
    <m/>
    <n v="679"/>
    <s v="Credit Card"/>
    <x v="8"/>
    <d v="2025-06-22T00:00:00"/>
    <s v="ACTIVE"/>
    <m/>
    <m/>
    <m/>
    <m/>
  </r>
  <r>
    <n v="609"/>
    <s v="Donor_097"/>
    <d v="2024-10-23T00:00:00"/>
    <s v="Central"/>
    <s v="EmergencyFoodBank"/>
    <m/>
    <n v="1680"/>
    <s v="Cash"/>
    <x v="12"/>
    <d v="2025-06-04T00:00:00"/>
    <s v="ACTIVE"/>
    <m/>
    <m/>
    <m/>
    <m/>
  </r>
  <r>
    <n v="1149"/>
    <s v="Donor_108"/>
    <d v="2024-03-22T00:00:00"/>
    <s v="West"/>
    <s v="WinterMealDrive"/>
    <m/>
    <n v="2057"/>
    <s v="Bank Transfer"/>
    <x v="8"/>
    <d v="2025-05-21T00:00:00"/>
    <s v="ACTIVE"/>
    <m/>
    <m/>
    <m/>
    <m/>
  </r>
  <r>
    <n v="196"/>
    <s v="Donor_054"/>
    <d v="2025-01-17T00:00:00"/>
    <s v="Central"/>
    <s v="RamadanFeeding"/>
    <m/>
    <n v="11208"/>
    <s v="Credit Card"/>
    <x v="7"/>
    <d v="2025-06-18T00:00:00"/>
    <s v="ACTIVE"/>
    <m/>
    <m/>
    <m/>
    <m/>
  </r>
  <r>
    <n v="1251"/>
    <s v="Donor_032"/>
    <d v="2024-08-12T00:00:00"/>
    <s v="South"/>
    <s v="RamadanFeeding"/>
    <m/>
    <n v="1716"/>
    <s v="Bank Transfer"/>
    <x v="1"/>
    <d v="2025-04-29T00:00:00"/>
    <s v="ACTIVE"/>
    <m/>
    <m/>
    <m/>
    <m/>
  </r>
  <r>
    <n v="1293"/>
    <s v="Donor_052"/>
    <d v="2024-08-01T00:00:00"/>
    <s v="West"/>
    <s v="RamadanFeeding"/>
    <m/>
    <n v="328"/>
    <s v="Cash"/>
    <x v="1"/>
    <d v="2025-06-13T00:00:00"/>
    <s v="ACTIVE"/>
    <m/>
    <m/>
    <m/>
    <m/>
  </r>
  <r>
    <n v="1783"/>
    <s v="Donor_079"/>
    <d v="2024-08-06T00:00:00"/>
    <s v="East"/>
    <s v="YearEndGiving"/>
    <m/>
    <n v="1575"/>
    <s v="Credit Card"/>
    <x v="1"/>
    <d v="2025-06-07T00:00:00"/>
    <s v="ACTIVE"/>
    <m/>
    <m/>
    <m/>
    <m/>
  </r>
  <r>
    <n v="910"/>
    <s v="Donor_046"/>
    <d v="2024-05-30T00:00:00"/>
    <s v="East"/>
    <s v="SchoolLunchFund"/>
    <m/>
    <n v="806"/>
    <s v="UPI"/>
    <x v="15"/>
    <d v="2025-05-10T00:00:00"/>
    <s v="ACTIVE"/>
    <m/>
    <m/>
    <m/>
    <m/>
  </r>
  <r>
    <n v="585"/>
    <s v="Donor_093"/>
    <d v="2024-08-28T00:00:00"/>
    <s v="West"/>
    <s v="YearEndGiving"/>
    <m/>
    <n v="4838"/>
    <s v="Bank Transfer"/>
    <x v="1"/>
    <d v="2025-03-24T00:00:00"/>
    <s v="LAPSED"/>
    <m/>
    <m/>
    <m/>
    <m/>
  </r>
  <r>
    <n v="104"/>
    <s v="Donor_016"/>
    <d v="2024-07-13T00:00:00"/>
    <s v="West"/>
    <s v="WinterMealDrive"/>
    <m/>
    <n v="2113"/>
    <s v="Cheque"/>
    <x v="5"/>
    <d v="2025-06-17T00:00:00"/>
    <s v="ACTIVE"/>
    <m/>
    <m/>
    <m/>
    <m/>
  </r>
  <r>
    <n v="1670"/>
    <s v="Donor_034"/>
    <d v="2024-04-30T00:00:00"/>
    <s v="North"/>
    <s v="YearEndGiving"/>
    <m/>
    <n v="634"/>
    <s v="Cash"/>
    <x v="3"/>
    <d v="2025-06-21T00:00:00"/>
    <s v="ACTIVE"/>
    <m/>
    <m/>
    <m/>
    <m/>
  </r>
  <r>
    <n v="1685"/>
    <s v="Donor_090"/>
    <d v="2024-09-11T00:00:00"/>
    <s v="Central"/>
    <s v="RamadanFeeding"/>
    <m/>
    <n v="9761"/>
    <s v="Cheque"/>
    <x v="0"/>
    <d v="2025-04-25T00:00:00"/>
    <s v="ACTIVE"/>
    <m/>
    <m/>
    <m/>
    <m/>
  </r>
  <r>
    <n v="720"/>
    <s v="Donor_028"/>
    <d v="2024-10-17T00:00:00"/>
    <s v="North"/>
    <s v="YearEndGiving"/>
    <m/>
    <n v="9249"/>
    <s v="Bank Transfer"/>
    <x v="12"/>
    <d v="2025-03-09T00:00:00"/>
    <s v="LAPSED"/>
    <m/>
    <m/>
    <m/>
    <m/>
  </r>
  <r>
    <n v="885"/>
    <s v="Donor_024"/>
    <d v="2025-06-07T00:00:00"/>
    <s v="South"/>
    <s v="FloodReliefMeals"/>
    <m/>
    <n v="1146"/>
    <s v="Credit Card"/>
    <x v="16"/>
    <d v="2025-06-07T00:00:00"/>
    <s v="ACTIVE"/>
    <m/>
    <m/>
    <m/>
    <m/>
  </r>
  <r>
    <n v="777"/>
    <s v="Donor_061"/>
    <d v="2025-05-21T00:00:00"/>
    <s v="East"/>
    <s v="YearEndGiving"/>
    <m/>
    <n v="791"/>
    <s v="Cheque"/>
    <x v="11"/>
    <d v="2025-05-21T00:00:00"/>
    <s v="ACTIVE"/>
    <m/>
    <m/>
    <m/>
    <m/>
  </r>
  <r>
    <n v="850"/>
    <s v="Donor_093"/>
    <d v="2025-01-05T00:00:00"/>
    <s v="Central"/>
    <s v="WinterMealDrive"/>
    <m/>
    <n v="1426"/>
    <s v="Cash"/>
    <x v="7"/>
    <d v="2025-03-24T00:00:00"/>
    <s v="LAPSED"/>
    <m/>
    <m/>
    <m/>
    <m/>
  </r>
  <r>
    <n v="895"/>
    <s v="Donor_077"/>
    <d v="2024-06-19T00:00:00"/>
    <s v="East"/>
    <s v="EmergencyFoodBank"/>
    <m/>
    <n v="1374"/>
    <s v="Cheque"/>
    <x v="2"/>
    <d v="2025-06-21T00:00:00"/>
    <s v="ACTIVE"/>
    <m/>
    <m/>
    <m/>
    <m/>
  </r>
  <r>
    <n v="228"/>
    <s v="Donor_004"/>
    <d v="2024-11-30T00:00:00"/>
    <s v="East"/>
    <s v="RamadanFeeding"/>
    <m/>
    <n v="267"/>
    <s v="Cheque"/>
    <x v="4"/>
    <d v="2025-05-26T00:00:00"/>
    <s v="ACTIVE"/>
    <m/>
    <m/>
    <m/>
    <m/>
  </r>
  <r>
    <n v="1698"/>
    <s v="Donor_014"/>
    <d v="2024-01-16T00:00:00"/>
    <s v="West"/>
    <s v="YearEndGiving"/>
    <m/>
    <n v="11928"/>
    <s v="Cash"/>
    <x v="10"/>
    <d v="2025-06-03T00:00:00"/>
    <s v="ACTIVE"/>
    <m/>
    <m/>
    <m/>
    <m/>
  </r>
  <r>
    <n v="1326"/>
    <s v="Donor_063"/>
    <d v="2024-07-13T00:00:00"/>
    <s v="Central"/>
    <s v="EmergencyFoodBank"/>
    <m/>
    <n v="292"/>
    <s v="Credit Card"/>
    <x v="5"/>
    <d v="2025-04-20T00:00:00"/>
    <s v="ACTIVE"/>
    <m/>
    <m/>
    <m/>
    <m/>
  </r>
  <r>
    <n v="1300"/>
    <s v="Donor_028"/>
    <d v="2024-06-03T00:00:00"/>
    <s v="East"/>
    <s v="WinterMealDrive"/>
    <m/>
    <n v="5246"/>
    <s v="Bank Transfer"/>
    <x v="2"/>
    <d v="2025-03-09T00:00:00"/>
    <s v="LAPSED"/>
    <m/>
    <m/>
    <m/>
    <m/>
  </r>
  <r>
    <n v="127"/>
    <s v="Donor_060"/>
    <d v="2025-05-20T00:00:00"/>
    <s v="Central"/>
    <s v="YearEndGiving"/>
    <m/>
    <n v="322"/>
    <s v="Cheque"/>
    <x v="11"/>
    <d v="2025-05-20T00:00:00"/>
    <s v="ACTIVE"/>
    <m/>
    <m/>
    <m/>
    <m/>
  </r>
  <r>
    <n v="406"/>
    <s v="Donor_085"/>
    <d v="2024-05-01T00:00:00"/>
    <s v="South"/>
    <s v="RamadanFeeding"/>
    <m/>
    <n v="5441"/>
    <s v="Cash"/>
    <x v="15"/>
    <d v="2025-06-22T00:00:00"/>
    <s v="ACTIVE"/>
    <m/>
    <m/>
    <m/>
    <m/>
  </r>
  <r>
    <n v="776"/>
    <s v="Donor_097"/>
    <d v="2025-02-01T00:00:00"/>
    <s v="Central"/>
    <s v="FloodReliefMeals"/>
    <m/>
    <n v="302"/>
    <s v="Credit Card"/>
    <x v="13"/>
    <d v="2025-06-04T00:00:00"/>
    <s v="ACTIVE"/>
    <m/>
    <m/>
    <m/>
    <m/>
  </r>
  <r>
    <n v="822"/>
    <s v="Donor_081"/>
    <d v="2025-01-05T00:00:00"/>
    <s v="North"/>
    <s v="EmergencyFoodBank"/>
    <m/>
    <n v="1357"/>
    <s v="Cash"/>
    <x v="7"/>
    <d v="2025-06-07T00:00:00"/>
    <s v="ACTIVE"/>
    <m/>
    <m/>
    <m/>
    <m/>
  </r>
  <r>
    <n v="712"/>
    <s v="Donor_020"/>
    <d v="2024-04-11T00:00:00"/>
    <s v="East"/>
    <s v="FloodReliefMeals"/>
    <m/>
    <n v="1274"/>
    <s v="Credit Card"/>
    <x v="3"/>
    <d v="2025-05-31T00:00:00"/>
    <s v="ACTIVE"/>
    <m/>
    <m/>
    <m/>
    <m/>
  </r>
  <r>
    <n v="1705"/>
    <s v="Donor_088"/>
    <d v="2025-05-18T00:00:00"/>
    <s v="Central"/>
    <s v="EmergencyFoodBank"/>
    <m/>
    <n v="980"/>
    <s v="Cash"/>
    <x v="11"/>
    <d v="2025-05-21T00:00:00"/>
    <s v="ACTIVE"/>
    <m/>
    <m/>
    <m/>
    <m/>
  </r>
  <r>
    <n v="1061"/>
    <s v="Donor_046"/>
    <d v="2024-03-22T00:00:00"/>
    <s v="Central"/>
    <s v="YearEndGiving"/>
    <m/>
    <n v="1166"/>
    <s v="Cash"/>
    <x v="8"/>
    <d v="2025-05-10T00:00:00"/>
    <s v="ACTIVE"/>
    <m/>
    <m/>
    <m/>
    <m/>
  </r>
  <r>
    <n v="1164"/>
    <s v="Donor_009"/>
    <d v="2024-10-27T00:00:00"/>
    <s v="North"/>
    <s v="SchoolLunchFund"/>
    <m/>
    <n v="295"/>
    <s v="Cheque"/>
    <x v="12"/>
    <d v="2025-05-15T00:00:00"/>
    <s v="ACTIVE"/>
    <m/>
    <m/>
    <m/>
    <m/>
  </r>
  <r>
    <n v="304"/>
    <s v="Donor_044"/>
    <d v="2024-05-13T00:00:00"/>
    <s v="South"/>
    <s v="FloodReliefMeals"/>
    <m/>
    <n v="404"/>
    <s v="Cheque"/>
    <x v="15"/>
    <d v="2025-05-05T00:00:00"/>
    <s v="ACTIVE"/>
    <m/>
    <m/>
    <m/>
    <m/>
  </r>
  <r>
    <n v="268"/>
    <s v="Donor_009"/>
    <d v="2024-05-26T00:00:00"/>
    <s v="Central"/>
    <s v="YearEndGiving"/>
    <m/>
    <n v="522"/>
    <s v="Credit Card"/>
    <x v="15"/>
    <d v="2025-05-15T00:00:00"/>
    <s v="ACTIVE"/>
    <m/>
    <m/>
    <m/>
    <m/>
  </r>
  <r>
    <n v="546"/>
    <s v="Donor_111"/>
    <d v="2025-03-01T00:00:00"/>
    <s v="West"/>
    <s v="EmergencyFoodBank"/>
    <m/>
    <n v="787"/>
    <s v="Cash"/>
    <x v="6"/>
    <d v="2025-04-26T00:00:00"/>
    <s v="ACTIVE"/>
    <m/>
    <m/>
    <m/>
    <m/>
  </r>
  <r>
    <n v="213"/>
    <s v="Donor_095"/>
    <d v="2024-07-13T00:00:00"/>
    <s v="North"/>
    <s v="EmergencyFoodBank"/>
    <m/>
    <n v="350"/>
    <s v="Cheque"/>
    <x v="5"/>
    <d v="2025-05-17T00:00:00"/>
    <s v="ACTIVE"/>
    <m/>
    <m/>
    <m/>
    <m/>
  </r>
  <r>
    <n v="897"/>
    <s v="Donor_001"/>
    <d v="2024-07-07T00:00:00"/>
    <s v="South"/>
    <s v="YearEndGiving"/>
    <m/>
    <n v="2074"/>
    <s v="UPI"/>
    <x v="5"/>
    <d v="2025-05-18T00:00:00"/>
    <s v="ACTIVE"/>
    <m/>
    <m/>
    <m/>
    <m/>
  </r>
  <r>
    <n v="1223"/>
    <s v="Donor_059"/>
    <d v="2024-08-07T00:00:00"/>
    <s v="Central"/>
    <s v="FloodReliefMeals"/>
    <m/>
    <n v="9759"/>
    <s v="Bank Transfer"/>
    <x v="1"/>
    <d v="2025-06-16T00:00:00"/>
    <s v="ACTIVE"/>
    <m/>
    <m/>
    <m/>
    <m/>
  </r>
  <r>
    <n v="917"/>
    <s v="Donor_068"/>
    <d v="2025-03-07T00:00:00"/>
    <s v="Central"/>
    <s v="EmergencyFoodBank"/>
    <m/>
    <n v="2162"/>
    <s v="Credit Card"/>
    <x v="6"/>
    <d v="2025-05-16T00:00:00"/>
    <s v="ACTIVE"/>
    <m/>
    <m/>
    <m/>
    <m/>
  </r>
  <r>
    <n v="676"/>
    <s v="Donor_120"/>
    <d v="2024-12-06T00:00:00"/>
    <s v="South"/>
    <s v="RamadanFeeding"/>
    <m/>
    <n v="0"/>
    <s v="Cheque"/>
    <x v="9"/>
    <d v="2025-06-19T00:00:00"/>
    <s v="ACTIVE"/>
    <m/>
    <m/>
    <m/>
    <m/>
  </r>
  <r>
    <n v="1290"/>
    <s v="Donor_117"/>
    <d v="2025-04-05T00:00:00"/>
    <s v="South"/>
    <s v="EmergencyFoodBank"/>
    <m/>
    <n v="314"/>
    <s v="Bank Transfer"/>
    <x v="17"/>
    <d v="2025-04-05T00:00:00"/>
    <s v="ACTIVE"/>
    <m/>
    <m/>
    <m/>
    <m/>
  </r>
  <r>
    <n v="815"/>
    <s v="Donor_032"/>
    <d v="2024-07-21T00:00:00"/>
    <s v="West"/>
    <s v="SchoolLunchFund"/>
    <m/>
    <n v="1842"/>
    <s v="Cheque"/>
    <x v="5"/>
    <d v="2025-04-29T00:00:00"/>
    <s v="ACTIVE"/>
    <m/>
    <m/>
    <m/>
    <m/>
  </r>
  <r>
    <n v="1266"/>
    <s v="Donor_013"/>
    <d v="2024-12-19T00:00:00"/>
    <s v="South"/>
    <s v="YearEndGiving"/>
    <m/>
    <n v="5148"/>
    <s v="Cash"/>
    <x v="9"/>
    <d v="2025-04-28T00:00:00"/>
    <s v="ACTIVE"/>
    <m/>
    <m/>
    <m/>
    <m/>
  </r>
  <r>
    <n v="343"/>
    <s v="Donor_074"/>
    <d v="2024-06-21T00:00:00"/>
    <s v="South"/>
    <s v="RamadanFeeding"/>
    <m/>
    <n v="852"/>
    <s v="Cash"/>
    <x v="2"/>
    <d v="2025-06-18T00:00:00"/>
    <s v="ACTIVE"/>
    <m/>
    <m/>
    <m/>
    <m/>
  </r>
  <r>
    <n v="550"/>
    <s v="Donor_079"/>
    <d v="2024-11-15T00:00:00"/>
    <s v="North"/>
    <s v="FloodReliefMeals"/>
    <m/>
    <n v="11114"/>
    <s v="Cash"/>
    <x v="4"/>
    <d v="2025-06-07T00:00:00"/>
    <s v="ACTIVE"/>
    <m/>
    <m/>
    <m/>
    <m/>
  </r>
  <r>
    <n v="1411"/>
    <s v="Donor_110"/>
    <d v="2024-08-12T00:00:00"/>
    <s v="Central"/>
    <s v="EmergencyFoodBank"/>
    <m/>
    <n v="10396"/>
    <s v="Credit Card"/>
    <x v="1"/>
    <d v="2025-06-04T00:00:00"/>
    <s v="ACTIVE"/>
    <m/>
    <m/>
    <m/>
    <m/>
  </r>
  <r>
    <n v="1215"/>
    <s v="Donor_101"/>
    <d v="2024-01-30T00:00:00"/>
    <s v="North"/>
    <s v="FloodReliefMeals"/>
    <m/>
    <n v="578"/>
    <s v="UPI"/>
    <x v="10"/>
    <d v="2025-05-11T00:00:00"/>
    <s v="ACTIVE"/>
    <m/>
    <m/>
    <m/>
    <m/>
  </r>
  <r>
    <n v="967"/>
    <s v="Donor_066"/>
    <d v="2025-03-22T00:00:00"/>
    <s v="West"/>
    <s v="SchoolLunchFund"/>
    <m/>
    <n v="2173"/>
    <s v="Bank Transfer"/>
    <x v="6"/>
    <d v="2025-03-22T00:00:00"/>
    <s v="LAPSED"/>
    <m/>
    <m/>
    <m/>
    <m/>
  </r>
  <r>
    <n v="1231"/>
    <s v="Donor_008"/>
    <d v="2024-03-09T00:00:00"/>
    <s v="West"/>
    <s v="SchoolLunchFund"/>
    <m/>
    <n v="1489"/>
    <s v="Credit Card"/>
    <x v="8"/>
    <d v="2025-06-07T00:00:00"/>
    <s v="ACTIVE"/>
    <m/>
    <m/>
    <m/>
    <m/>
  </r>
  <r>
    <n v="296"/>
    <s v="Donor_106"/>
    <d v="2025-03-19T00:00:00"/>
    <s v="West"/>
    <s v="RamadanFeeding"/>
    <m/>
    <n v="477"/>
    <s v="Cash"/>
    <x v="6"/>
    <d v="2025-06-11T00:00:00"/>
    <s v="ACTIVE"/>
    <m/>
    <m/>
    <m/>
    <m/>
  </r>
  <r>
    <n v="696"/>
    <s v="Donor_044"/>
    <d v="2024-09-28T00:00:00"/>
    <s v="NOT KNOWN"/>
    <s v="SchoolLunchFund"/>
    <m/>
    <n v="1247"/>
    <s v="Cheque"/>
    <x v="0"/>
    <d v="2025-05-05T00:00:00"/>
    <s v="ACTIVE"/>
    <m/>
    <m/>
    <m/>
    <m/>
  </r>
  <r>
    <n v="1453"/>
    <s v="Donor_056"/>
    <d v="2024-07-20T00:00:00"/>
    <s v="North"/>
    <s v="RamadanFeeding"/>
    <m/>
    <n v="9161"/>
    <s v="Cash"/>
    <x v="5"/>
    <d v="2025-05-08T00:00:00"/>
    <s v="ACTIVE"/>
    <m/>
    <m/>
    <m/>
    <m/>
  </r>
  <r>
    <n v="74"/>
    <s v="Donor_057"/>
    <d v="2024-10-22T00:00:00"/>
    <s v="North"/>
    <s v="RamadanFeeding"/>
    <m/>
    <n v="2700"/>
    <s v="Bank Transfer"/>
    <x v="12"/>
    <d v="2025-03-30T00:00:00"/>
    <s v="ACTIVE"/>
    <m/>
    <m/>
    <m/>
    <m/>
  </r>
  <r>
    <n v="606"/>
    <s v="Donor_021"/>
    <d v="2024-06-06T00:00:00"/>
    <s v="South"/>
    <s v="WinterMealDrive"/>
    <m/>
    <n v="599"/>
    <s v="Cheque"/>
    <x v="2"/>
    <d v="2025-04-05T00:00:00"/>
    <s v="ACTIVE"/>
    <m/>
    <m/>
    <m/>
    <m/>
  </r>
  <r>
    <n v="105"/>
    <s v="Donor_009"/>
    <d v="2024-07-29T00:00:00"/>
    <s v="NOT KNOWN"/>
    <s v="SchoolLunchFund"/>
    <m/>
    <n v="2250"/>
    <s v="Credit Card"/>
    <x v="5"/>
    <d v="2025-05-15T00:00:00"/>
    <s v="ACTIVE"/>
    <m/>
    <m/>
    <m/>
    <m/>
  </r>
  <r>
    <n v="646"/>
    <s v="Donor_117"/>
    <d v="2024-03-27T00:00:00"/>
    <s v="North"/>
    <s v="FloodReliefMeals"/>
    <m/>
    <n v="935"/>
    <s v="UPI"/>
    <x v="8"/>
    <d v="2025-04-05T00:00:00"/>
    <s v="ACTIVE"/>
    <m/>
    <m/>
    <m/>
    <m/>
  </r>
  <r>
    <n v="1405"/>
    <s v="Donor_086"/>
    <d v="2024-09-01T00:00:00"/>
    <s v="East"/>
    <s v="RamadanFeeding"/>
    <m/>
    <n v="734"/>
    <s v="Credit Card"/>
    <x v="0"/>
    <d v="2025-05-29T00:00:00"/>
    <s v="ACTIVE"/>
    <m/>
    <m/>
    <m/>
    <m/>
  </r>
  <r>
    <n v="1771"/>
    <s v="Donor_009"/>
    <d v="2024-04-07T00:00:00"/>
    <s v="North"/>
    <s v="EmergencyFoodBank"/>
    <m/>
    <n v="514"/>
    <s v="Cash"/>
    <x v="3"/>
    <d v="2025-05-15T00:00:00"/>
    <s v="ACTIVE"/>
    <m/>
    <m/>
    <m/>
    <m/>
  </r>
  <r>
    <n v="1041"/>
    <s v="Donor_100"/>
    <d v="2025-01-10T00:00:00"/>
    <s v="Central"/>
    <s v="FloodReliefMeals"/>
    <m/>
    <n v="2021"/>
    <s v="Bank Transfer"/>
    <x v="7"/>
    <d v="2025-06-14T00:00:00"/>
    <s v="ACTIVE"/>
    <m/>
    <m/>
    <m/>
    <m/>
  </r>
  <r>
    <n v="440"/>
    <s v="Donor_049"/>
    <d v="2024-03-21T00:00:00"/>
    <s v="Central"/>
    <s v="FloodReliefMeals"/>
    <m/>
    <n v="316"/>
    <s v="Credit Card"/>
    <x v="8"/>
    <d v="2025-06-19T00:00:00"/>
    <s v="ACTIVE"/>
    <m/>
    <m/>
    <m/>
    <m/>
  </r>
  <r>
    <n v="1020"/>
    <s v="Donor_046"/>
    <d v="2024-06-11T00:00:00"/>
    <s v="Central"/>
    <s v="YearEndGiving"/>
    <m/>
    <n v="1879"/>
    <s v="Cheque"/>
    <x v="2"/>
    <d v="2025-05-10T00:00:00"/>
    <s v="ACTIVE"/>
    <m/>
    <m/>
    <m/>
    <m/>
  </r>
  <r>
    <n v="92"/>
    <s v="Donor_057"/>
    <d v="2024-03-16T00:00:00"/>
    <s v="East"/>
    <s v="YearEndGiving"/>
    <m/>
    <n v="2639"/>
    <s v="Cash"/>
    <x v="8"/>
    <d v="2025-03-30T00:00:00"/>
    <s v="ACTIVE"/>
    <m/>
    <m/>
    <m/>
    <m/>
  </r>
  <r>
    <n v="1113"/>
    <s v="Donor_118"/>
    <d v="2025-01-12T00:00:00"/>
    <s v="East"/>
    <s v="YearEndGiving"/>
    <m/>
    <n v="521"/>
    <s v="UPI"/>
    <x v="7"/>
    <d v="2025-04-19T00:00:00"/>
    <s v="ACTIVE"/>
    <m/>
    <m/>
    <m/>
    <m/>
  </r>
  <r>
    <n v="1586"/>
    <s v="Donor_079"/>
    <d v="2025-05-21T00:00:00"/>
    <s v="Central"/>
    <s v="RamadanFeeding"/>
    <m/>
    <n v="763"/>
    <s v="Cheque"/>
    <x v="11"/>
    <d v="2025-06-07T00:00:00"/>
    <s v="ACTIVE"/>
    <m/>
    <m/>
    <m/>
    <m/>
  </r>
  <r>
    <n v="909"/>
    <s v="Donor_014"/>
    <d v="2024-02-15T00:00:00"/>
    <s v="Central"/>
    <s v="FloodReliefMeals"/>
    <m/>
    <n v="1005"/>
    <s v="Cash"/>
    <x v="14"/>
    <d v="2025-06-03T00:00:00"/>
    <s v="ACTIVE"/>
    <m/>
    <m/>
    <m/>
    <m/>
  </r>
  <r>
    <n v="1475"/>
    <s v="Donor_076"/>
    <d v="2024-04-06T00:00:00"/>
    <s v="North"/>
    <s v="WinterMealDrive"/>
    <m/>
    <n v="245"/>
    <s v="Bank Transfer"/>
    <x v="3"/>
    <d v="2025-06-08T00:00:00"/>
    <s v="ACTIVE"/>
    <m/>
    <m/>
    <m/>
    <m/>
  </r>
  <r>
    <n v="103"/>
    <s v="Donor_057"/>
    <d v="2025-03-30T00:00:00"/>
    <s v="South"/>
    <s v="FloodReliefMeals"/>
    <m/>
    <n v="1192"/>
    <s v="Bank Transfer"/>
    <x v="6"/>
    <d v="2025-03-30T00:00:00"/>
    <s v="ACTIVE"/>
    <m/>
    <m/>
    <m/>
    <m/>
  </r>
  <r>
    <n v="239"/>
    <s v="Donor_092"/>
    <d v="2024-06-06T00:00:00"/>
    <s v="West"/>
    <s v="RamadanFeeding"/>
    <m/>
    <n v="980"/>
    <s v="Cheque"/>
    <x v="2"/>
    <d v="2025-05-07T00:00:00"/>
    <s v="ACTIVE"/>
    <m/>
    <m/>
    <m/>
    <m/>
  </r>
  <r>
    <n v="1736"/>
    <s v="Donor_088"/>
    <d v="2024-12-20T00:00:00"/>
    <s v="East"/>
    <s v="FloodReliefMeals"/>
    <m/>
    <n v="340"/>
    <s v="UPI"/>
    <x v="9"/>
    <d v="2025-05-21T00:00:00"/>
    <s v="ACTIVE"/>
    <m/>
    <m/>
    <m/>
    <m/>
  </r>
  <r>
    <n v="943"/>
    <s v="Donor_011"/>
    <d v="2024-06-29T00:00:00"/>
    <s v="South"/>
    <s v="WinterMealDrive"/>
    <m/>
    <n v="2405"/>
    <s v="Bank Transfer"/>
    <x v="2"/>
    <d v="2025-06-04T00:00:00"/>
    <s v="ACTIVE"/>
    <m/>
    <m/>
    <m/>
    <m/>
  </r>
  <r>
    <n v="1271"/>
    <s v="Donor_073"/>
    <d v="2025-06-23T00:00:00"/>
    <s v="Central"/>
    <s v="EmergencyFoodBank"/>
    <m/>
    <n v="10087"/>
    <s v="Cheque"/>
    <x v="16"/>
    <d v="2025-06-23T00:00:00"/>
    <s v="ACTIVE"/>
    <m/>
    <m/>
    <m/>
    <m/>
  </r>
  <r>
    <n v="939"/>
    <s v="Donor_112"/>
    <d v="2025-02-01T00:00:00"/>
    <s v="West"/>
    <s v="EmergencyFoodBank"/>
    <m/>
    <n v="940"/>
    <s v="Cash"/>
    <x v="13"/>
    <d v="2025-05-26T00:00:00"/>
    <s v="ACTIVE"/>
    <m/>
    <m/>
    <m/>
    <m/>
  </r>
  <r>
    <n v="1534"/>
    <s v="Donor_076"/>
    <d v="2024-01-31T00:00:00"/>
    <s v="North"/>
    <s v="FloodReliefMeals"/>
    <m/>
    <n v="0"/>
    <s v="Credit Card"/>
    <x v="10"/>
    <d v="2025-06-08T00:00:00"/>
    <s v="ACTIVE"/>
    <m/>
    <m/>
    <m/>
    <m/>
  </r>
  <r>
    <n v="1182"/>
    <s v="Donor_073"/>
    <d v="2024-11-03T00:00:00"/>
    <s v="North"/>
    <s v="YearEndGiving"/>
    <m/>
    <n v="858"/>
    <s v="UPI"/>
    <x v="4"/>
    <d v="2025-06-23T00:00:00"/>
    <s v="ACTIVE"/>
    <m/>
    <m/>
    <m/>
    <m/>
  </r>
  <r>
    <n v="1504"/>
    <s v="Donor_114"/>
    <d v="2024-12-03T00:00:00"/>
    <s v="West"/>
    <s v="SchoolLunchFund"/>
    <m/>
    <n v="10642"/>
    <s v="Credit Card"/>
    <x v="9"/>
    <d v="2025-04-04T00:00:00"/>
    <s v="ACTIVE"/>
    <m/>
    <m/>
    <m/>
    <m/>
  </r>
  <r>
    <n v="6"/>
    <s v="Donor_036"/>
    <d v="2025-01-24T00:00:00"/>
    <s v="West"/>
    <s v="EmergencyFoodBank"/>
    <m/>
    <n v="4325"/>
    <s v="Bank Transfer"/>
    <x v="7"/>
    <d v="2025-06-07T00:00:00"/>
    <s v="ACTIVE"/>
    <m/>
    <m/>
    <m/>
    <m/>
  </r>
  <r>
    <n v="1641"/>
    <s v="Donor_079"/>
    <d v="2025-01-05T00:00:00"/>
    <s v="South"/>
    <s v="RamadanFeeding"/>
    <m/>
    <n v="2046"/>
    <s v="Bank Transfer"/>
    <x v="7"/>
    <d v="2025-06-07T00:00:00"/>
    <s v="ACTIVE"/>
    <m/>
    <m/>
    <m/>
    <m/>
  </r>
  <r>
    <n v="966"/>
    <s v="Donor_035"/>
    <d v="2024-05-09T00:00:00"/>
    <s v="East"/>
    <s v="RamadanFeeding"/>
    <m/>
    <n v="2363"/>
    <s v="Bank Transfer"/>
    <x v="15"/>
    <d v="2025-06-15T00:00:00"/>
    <s v="ACTIVE"/>
    <m/>
    <m/>
    <m/>
    <m/>
  </r>
  <r>
    <n v="19"/>
    <s v="Donor_032"/>
    <d v="2025-04-29T00:00:00"/>
    <s v="West"/>
    <s v="RamadanFeeding"/>
    <m/>
    <n v="1675"/>
    <s v="Cash"/>
    <x v="17"/>
    <d v="2025-04-29T00:00:00"/>
    <s v="ACTIVE"/>
    <m/>
    <m/>
    <m/>
    <m/>
  </r>
  <r>
    <n v="1431"/>
    <s v="Donor_021"/>
    <d v="2024-03-08T00:00:00"/>
    <s v="North"/>
    <s v="FloodReliefMeals"/>
    <m/>
    <n v="334"/>
    <s v="Credit Card"/>
    <x v="8"/>
    <d v="2025-04-05T00:00:00"/>
    <s v="ACTIVE"/>
    <m/>
    <m/>
    <m/>
    <m/>
  </r>
  <r>
    <n v="122"/>
    <s v="Donor_010"/>
    <d v="2024-12-28T00:00:00"/>
    <s v="West"/>
    <s v="EmergencyFoodBank"/>
    <m/>
    <n v="487"/>
    <s v="Cash"/>
    <x v="9"/>
    <d v="2025-06-01T00:00:00"/>
    <s v="ACTIVE"/>
    <m/>
    <m/>
    <m/>
    <m/>
  </r>
  <r>
    <n v="662"/>
    <s v="Donor_047"/>
    <d v="2024-05-28T00:00:00"/>
    <s v="West"/>
    <s v="EmergencyFoodBank"/>
    <m/>
    <n v="5643"/>
    <s v="UPI"/>
    <x v="15"/>
    <d v="2025-05-04T00:00:00"/>
    <s v="ACTIVE"/>
    <m/>
    <m/>
    <m/>
    <m/>
  </r>
  <r>
    <n v="1526"/>
    <s v="Donor_061"/>
    <d v="2024-03-27T00:00:00"/>
    <s v="West"/>
    <s v="FloodReliefMeals"/>
    <m/>
    <n v="838"/>
    <s v="Bank Transfer"/>
    <x v="8"/>
    <d v="2025-05-21T00:00:00"/>
    <s v="ACTIVE"/>
    <m/>
    <m/>
    <m/>
    <m/>
  </r>
  <r>
    <n v="275"/>
    <s v="Donor_011"/>
    <d v="2025-02-15T00:00:00"/>
    <s v="Central"/>
    <s v="YearEndGiving"/>
    <m/>
    <n v="1366"/>
    <s v="Bank Transfer"/>
    <x v="13"/>
    <d v="2025-06-04T00:00:00"/>
    <s v="ACTIVE"/>
    <m/>
    <m/>
    <m/>
    <m/>
  </r>
  <r>
    <n v="434"/>
    <s v="Donor_024"/>
    <d v="2024-09-22T00:00:00"/>
    <s v="Central"/>
    <s v="FloodReliefMeals"/>
    <m/>
    <n v="1816"/>
    <s v="Cheque"/>
    <x v="0"/>
    <d v="2025-06-07T00:00:00"/>
    <s v="ACTIVE"/>
    <m/>
    <m/>
    <m/>
    <m/>
  </r>
  <r>
    <n v="812"/>
    <s v="Donor_097"/>
    <d v="2024-10-22T00:00:00"/>
    <s v="North"/>
    <s v="SchoolLunchFund"/>
    <m/>
    <n v="4685"/>
    <s v="Credit Card"/>
    <x v="12"/>
    <d v="2025-06-04T00:00:00"/>
    <s v="ACTIVE"/>
    <m/>
    <m/>
    <m/>
    <m/>
  </r>
  <r>
    <n v="1301"/>
    <s v="Donor_039"/>
    <d v="2024-10-23T00:00:00"/>
    <s v="North"/>
    <s v="YearEndGiving"/>
    <m/>
    <n v="1740"/>
    <s v="Credit Card"/>
    <x v="12"/>
    <d v="2025-04-25T00:00:00"/>
    <s v="ACTIVE"/>
    <m/>
    <m/>
    <m/>
    <m/>
  </r>
  <r>
    <n v="1336"/>
    <s v="Donor_055"/>
    <d v="2025-01-20T00:00:00"/>
    <s v="North"/>
    <s v="FloodReliefMeals"/>
    <m/>
    <n v="2204"/>
    <s v="Bank Transfer"/>
    <x v="7"/>
    <d v="2025-05-11T00:00:00"/>
    <s v="ACTIVE"/>
    <m/>
    <m/>
    <m/>
    <m/>
  </r>
  <r>
    <n v="1687"/>
    <s v="Donor_047"/>
    <d v="2025-05-04T00:00:00"/>
    <s v="South"/>
    <s v="EmergencyFoodBank"/>
    <m/>
    <n v="867"/>
    <s v="UPI"/>
    <x v="11"/>
    <d v="2025-05-04T00:00:00"/>
    <s v="ACTIVE"/>
    <m/>
    <m/>
    <m/>
    <m/>
  </r>
  <r>
    <n v="1706"/>
    <s v="Donor_063"/>
    <d v="2024-06-19T00:00:00"/>
    <s v="South"/>
    <s v="WinterMealDrive"/>
    <m/>
    <n v="2294"/>
    <s v="Cheque"/>
    <x v="2"/>
    <d v="2025-04-20T00:00:00"/>
    <s v="ACTIVE"/>
    <m/>
    <m/>
    <m/>
    <m/>
  </r>
  <r>
    <n v="182"/>
    <s v="Donor_059"/>
    <d v="2024-06-26T00:00:00"/>
    <s v="Central"/>
    <s v="FloodReliefMeals"/>
    <m/>
    <n v="9417"/>
    <s v="Bank Transfer"/>
    <x v="2"/>
    <d v="2025-06-16T00:00:00"/>
    <s v="ACTIVE"/>
    <m/>
    <m/>
    <m/>
    <m/>
  </r>
  <r>
    <n v="185"/>
    <s v="Donor_092"/>
    <d v="2024-10-21T00:00:00"/>
    <s v="North"/>
    <s v="FloodReliefMeals"/>
    <m/>
    <n v="319"/>
    <s v="Cash"/>
    <x v="12"/>
    <d v="2025-05-07T00:00:00"/>
    <s v="ACTIVE"/>
    <m/>
    <m/>
    <m/>
    <m/>
  </r>
  <r>
    <n v="407"/>
    <s v="Donor_003"/>
    <d v="2025-02-24T00:00:00"/>
    <s v="South"/>
    <s v="WinterMealDrive"/>
    <m/>
    <n v="1544"/>
    <s v="Credit Card"/>
    <x v="13"/>
    <d v="2025-05-08T00:00:00"/>
    <s v="ACTIVE"/>
    <m/>
    <m/>
    <m/>
    <m/>
  </r>
  <r>
    <n v="866"/>
    <s v="Donor_076"/>
    <d v="2024-11-09T00:00:00"/>
    <s v="West"/>
    <s v="WinterMealDrive"/>
    <m/>
    <n v="9396"/>
    <s v="Cheque"/>
    <x v="4"/>
    <d v="2025-06-08T00:00:00"/>
    <s v="ACTIVE"/>
    <m/>
    <m/>
    <m/>
    <m/>
  </r>
  <r>
    <n v="521"/>
    <s v="Donor_072"/>
    <d v="2024-11-19T00:00:00"/>
    <s v="Central"/>
    <s v="WinterMealDrive"/>
    <m/>
    <n v="2062"/>
    <s v="Bank Transfer"/>
    <x v="4"/>
    <d v="2025-04-13T00:00:00"/>
    <s v="ACTIVE"/>
    <m/>
    <m/>
    <m/>
    <m/>
  </r>
  <r>
    <n v="1004"/>
    <s v="Donor_086"/>
    <d v="2025-05-29T00:00:00"/>
    <s v="Central"/>
    <s v="SchoolLunchFund"/>
    <m/>
    <n v="1085"/>
    <s v="Credit Card"/>
    <x v="11"/>
    <d v="2025-05-29T00:00:00"/>
    <s v="ACTIVE"/>
    <m/>
    <m/>
    <m/>
    <m/>
  </r>
  <r>
    <n v="381"/>
    <s v="Donor_067"/>
    <d v="2024-07-07T00:00:00"/>
    <s v="North"/>
    <s v="YearEndGiving"/>
    <m/>
    <n v="1450"/>
    <s v="Cheque"/>
    <x v="5"/>
    <d v="2025-06-15T00:00:00"/>
    <s v="ACTIVE"/>
    <m/>
    <m/>
    <m/>
    <m/>
  </r>
  <r>
    <n v="1435"/>
    <s v="Donor_072"/>
    <d v="2024-05-31T00:00:00"/>
    <s v="South"/>
    <s v="SchoolLunchFund"/>
    <m/>
    <n v="1971"/>
    <s v="Credit Card"/>
    <x v="15"/>
    <d v="2025-04-13T00:00:00"/>
    <s v="ACTIVE"/>
    <m/>
    <m/>
    <m/>
    <m/>
  </r>
  <r>
    <n v="1394"/>
    <s v="Donor_067"/>
    <d v="2024-12-09T00:00:00"/>
    <s v="West"/>
    <s v="FloodReliefMeals"/>
    <m/>
    <n v="2598"/>
    <s v="Credit Card"/>
    <x v="9"/>
    <d v="2025-06-15T00:00:00"/>
    <s v="ACTIVE"/>
    <m/>
    <m/>
    <m/>
    <m/>
  </r>
  <r>
    <n v="1425"/>
    <s v="Donor_071"/>
    <d v="2025-06-08T00:00:00"/>
    <s v="West"/>
    <s v="WinterMealDrive"/>
    <m/>
    <n v="248"/>
    <s v="Bank Transfer"/>
    <x v="16"/>
    <d v="2025-06-08T00:00:00"/>
    <s v="ACTIVE"/>
    <m/>
    <m/>
    <m/>
    <m/>
  </r>
  <r>
    <n v="428"/>
    <s v="Donor_032"/>
    <d v="2024-09-26T00:00:00"/>
    <s v="East"/>
    <s v="WinterMealDrive"/>
    <m/>
    <n v="802"/>
    <s v="Bank Transfer"/>
    <x v="0"/>
    <d v="2025-04-29T00:00:00"/>
    <s v="ACTIVE"/>
    <m/>
    <m/>
    <m/>
    <m/>
  </r>
  <r>
    <n v="79"/>
    <s v="Donor_085"/>
    <d v="2024-01-02T00:00:00"/>
    <s v="Central"/>
    <s v="RamadanFeeding"/>
    <m/>
    <n v="616"/>
    <s v="Cheque"/>
    <x v="10"/>
    <d v="2025-06-22T00:00:00"/>
    <s v="ACTIVE"/>
    <m/>
    <m/>
    <m/>
    <m/>
  </r>
  <r>
    <n v="1010"/>
    <s v="Donor_048"/>
    <d v="2025-06-08T00:00:00"/>
    <s v="South"/>
    <s v="YearEndGiving"/>
    <m/>
    <n v="11600"/>
    <s v="Bank Transfer"/>
    <x v="16"/>
    <d v="2025-06-08T00:00:00"/>
    <s v="ACTIVE"/>
    <m/>
    <m/>
    <m/>
    <m/>
  </r>
  <r>
    <n v="1779"/>
    <s v="Donor_043"/>
    <d v="2025-01-15T00:00:00"/>
    <s v="Central"/>
    <s v="YearEndGiving"/>
    <m/>
    <n v="1092"/>
    <s v="Bank Transfer"/>
    <x v="7"/>
    <d v="2025-06-13T00:00:00"/>
    <s v="ACTIVE"/>
    <m/>
    <m/>
    <m/>
    <m/>
  </r>
  <r>
    <n v="608"/>
    <s v="Donor_099"/>
    <d v="2025-05-26T00:00:00"/>
    <s v="South"/>
    <s v="RamadanFeeding"/>
    <m/>
    <n v="4312"/>
    <s v="Cheque"/>
    <x v="11"/>
    <d v="2025-05-30T00:00:00"/>
    <s v="ACTIVE"/>
    <m/>
    <m/>
    <m/>
    <m/>
  </r>
  <r>
    <n v="1613"/>
    <s v="Donor_045"/>
    <d v="2025-04-19T00:00:00"/>
    <s v="North"/>
    <s v="YearEndGiving"/>
    <m/>
    <n v="1660"/>
    <s v="Cash"/>
    <x v="17"/>
    <d v="2025-05-11T00:00:00"/>
    <s v="ACTIVE"/>
    <m/>
    <m/>
    <m/>
    <m/>
  </r>
  <r>
    <n v="1796"/>
    <s v="Donor_050"/>
    <d v="2024-06-21T00:00:00"/>
    <s v="South"/>
    <s v="RamadanFeeding"/>
    <m/>
    <n v="835"/>
    <s v="Credit Card"/>
    <x v="2"/>
    <d v="2025-06-18T00:00:00"/>
    <s v="ACTIVE"/>
    <m/>
    <m/>
    <m/>
    <m/>
  </r>
  <r>
    <n v="1668"/>
    <s v="Donor_098"/>
    <d v="2024-04-03T00:00:00"/>
    <s v="North"/>
    <s v="SchoolLunchFund"/>
    <m/>
    <n v="11564"/>
    <s v="Cheque"/>
    <x v="3"/>
    <d v="2025-06-20T00:00:00"/>
    <s v="ACTIVE"/>
    <m/>
    <m/>
    <m/>
    <m/>
  </r>
  <r>
    <n v="1058"/>
    <s v="Donor_049"/>
    <d v="2024-06-02T00:00:00"/>
    <s v="North"/>
    <s v="WinterMealDrive"/>
    <m/>
    <n v="2052"/>
    <s v="Cheque"/>
    <x v="2"/>
    <d v="2025-06-19T00:00:00"/>
    <s v="ACTIVE"/>
    <m/>
    <m/>
    <m/>
    <m/>
  </r>
  <r>
    <n v="1441"/>
    <s v="Donor_086"/>
    <d v="2024-12-31T00:00:00"/>
    <s v="Central"/>
    <s v="WinterMealDrive"/>
    <m/>
    <n v="433"/>
    <s v="Bank Transfer"/>
    <x v="9"/>
    <d v="2025-05-29T00:00:00"/>
    <s v="ACTIVE"/>
    <m/>
    <m/>
    <m/>
    <m/>
  </r>
  <r>
    <n v="1515"/>
    <s v="Donor_065"/>
    <d v="2024-10-22T00:00:00"/>
    <s v="Central"/>
    <s v="WinterMealDrive"/>
    <m/>
    <n v="4759"/>
    <s v="UPI"/>
    <x v="12"/>
    <d v="2025-05-02T00:00:00"/>
    <s v="ACTIVE"/>
    <m/>
    <m/>
    <m/>
    <m/>
  </r>
  <r>
    <n v="1092"/>
    <s v="Donor_049"/>
    <d v="2025-04-27T00:00:00"/>
    <s v="East"/>
    <s v="RamadanFeeding"/>
    <m/>
    <n v="889"/>
    <s v="Cash"/>
    <x v="17"/>
    <d v="2025-06-19T00:00:00"/>
    <s v="ACTIVE"/>
    <m/>
    <m/>
    <m/>
    <m/>
  </r>
  <r>
    <n v="1102"/>
    <s v="Donor_022"/>
    <d v="2024-05-18T00:00:00"/>
    <s v="NOT KNOWN"/>
    <s v="EmergencyFoodBank"/>
    <m/>
    <n v="241"/>
    <s v="Cash"/>
    <x v="15"/>
    <d v="2025-06-21T00:00:00"/>
    <s v="ACTIVE"/>
    <m/>
    <m/>
    <m/>
    <m/>
  </r>
  <r>
    <n v="1130"/>
    <s v="Donor_098"/>
    <d v="2024-08-27T00:00:00"/>
    <s v="Central"/>
    <s v="WinterMealDrive"/>
    <m/>
    <n v="728"/>
    <s v="Bank Transfer"/>
    <x v="1"/>
    <d v="2025-06-20T00:00:00"/>
    <s v="ACTIVE"/>
    <m/>
    <m/>
    <m/>
    <m/>
  </r>
  <r>
    <n v="1236"/>
    <s v="Donor_098"/>
    <d v="2025-05-13T00:00:00"/>
    <s v="East"/>
    <s v="SchoolLunchFund"/>
    <m/>
    <n v="8412"/>
    <s v="Cheque"/>
    <x v="11"/>
    <d v="2025-06-20T00:00:00"/>
    <s v="ACTIVE"/>
    <m/>
    <m/>
    <m/>
    <m/>
  </r>
  <r>
    <n v="1596"/>
    <s v="Donor_001"/>
    <d v="2024-08-17T00:00:00"/>
    <s v="South"/>
    <s v="FloodReliefMeals"/>
    <m/>
    <n v="1151"/>
    <s v="Cheque"/>
    <x v="1"/>
    <d v="2025-05-18T00:00:00"/>
    <s v="ACTIVE"/>
    <m/>
    <m/>
    <m/>
    <m/>
  </r>
  <r>
    <n v="959"/>
    <s v="Donor_074"/>
    <d v="2024-03-21T00:00:00"/>
    <s v="West"/>
    <s v="WinterMealDrive"/>
    <m/>
    <n v="1790"/>
    <s v="Bank Transfer"/>
    <x v="8"/>
    <d v="2025-06-18T00:00:00"/>
    <s v="ACTIVE"/>
    <m/>
    <m/>
    <m/>
    <m/>
  </r>
  <r>
    <n v="560"/>
    <s v="Donor_041"/>
    <d v="2024-07-03T00:00:00"/>
    <s v="Central"/>
    <s v="WinterMealDrive"/>
    <m/>
    <n v="566"/>
    <s v="UPI"/>
    <x v="5"/>
    <d v="2025-06-13T00:00:00"/>
    <s v="ACTIVE"/>
    <m/>
    <m/>
    <m/>
    <m/>
  </r>
  <r>
    <n v="847"/>
    <s v="Donor_044"/>
    <d v="2025-02-05T00:00:00"/>
    <s v="West"/>
    <s v="EmergencyFoodBank"/>
    <m/>
    <n v="359"/>
    <s v="Cash"/>
    <x v="13"/>
    <d v="2025-05-05T00:00:00"/>
    <s v="ACTIVE"/>
    <m/>
    <m/>
    <m/>
    <m/>
  </r>
  <r>
    <n v="691"/>
    <s v="Donor_079"/>
    <d v="2025-01-12T00:00:00"/>
    <s v="South"/>
    <s v="RamadanFeeding"/>
    <m/>
    <n v="628"/>
    <s v="Cheque"/>
    <x v="7"/>
    <d v="2025-06-07T00:00:00"/>
    <s v="ACTIVE"/>
    <m/>
    <m/>
    <m/>
    <m/>
  </r>
  <r>
    <n v="1520"/>
    <s v="Donor_107"/>
    <d v="2024-09-15T00:00:00"/>
    <s v="Central"/>
    <s v="WinterMealDrive"/>
    <m/>
    <n v="11661"/>
    <s v="UPI"/>
    <x v="0"/>
    <d v="2025-03-18T00:00:00"/>
    <s v="LAPSED"/>
    <m/>
    <m/>
    <m/>
    <m/>
  </r>
  <r>
    <n v="1748"/>
    <s v="Donor_029"/>
    <d v="2025-02-16T00:00:00"/>
    <s v="South"/>
    <s v="WinterMealDrive"/>
    <m/>
    <n v="347"/>
    <s v="Credit Card"/>
    <x v="13"/>
    <d v="2025-06-05T00:00:00"/>
    <s v="ACTIVE"/>
    <m/>
    <m/>
    <m/>
    <m/>
  </r>
  <r>
    <n v="1684"/>
    <s v="Donor_108"/>
    <d v="2024-08-19T00:00:00"/>
    <s v="East"/>
    <s v="YearEndGiving"/>
    <m/>
    <n v="1751"/>
    <s v="Cash"/>
    <x v="1"/>
    <d v="2025-05-21T00:00:00"/>
    <s v="ACTIVE"/>
    <m/>
    <m/>
    <m/>
    <m/>
  </r>
  <r>
    <n v="437"/>
    <s v="Donor_069"/>
    <d v="2025-06-13T00:00:00"/>
    <s v="East"/>
    <s v="RamadanFeeding"/>
    <m/>
    <n v="2251"/>
    <s v="Cheque"/>
    <x v="16"/>
    <d v="2025-06-13T00:00:00"/>
    <s v="ACTIVE"/>
    <m/>
    <m/>
    <m/>
    <m/>
  </r>
  <r>
    <n v="491"/>
    <s v="Donor_046"/>
    <d v="2024-12-26T00:00:00"/>
    <s v="East"/>
    <s v="SchoolLunchFund"/>
    <m/>
    <n v="9104"/>
    <s v="UPI"/>
    <x v="9"/>
    <d v="2025-05-10T00:00:00"/>
    <s v="ACTIVE"/>
    <m/>
    <m/>
    <m/>
    <m/>
  </r>
  <r>
    <n v="1463"/>
    <s v="Donor_093"/>
    <d v="2024-09-13T00:00:00"/>
    <s v="North"/>
    <s v="YearEndGiving"/>
    <m/>
    <n v="1197"/>
    <s v="Credit Card"/>
    <x v="0"/>
    <d v="2025-03-24T00:00:00"/>
    <s v="LAPSED"/>
    <m/>
    <m/>
    <m/>
    <m/>
  </r>
  <r>
    <n v="1660"/>
    <s v="Donor_056"/>
    <d v="2024-11-26T00:00:00"/>
    <s v="South"/>
    <s v="SchoolLunchFund"/>
    <m/>
    <n v="10679"/>
    <s v="Cheque"/>
    <x v="4"/>
    <d v="2025-05-08T00:00:00"/>
    <s v="ACTIVE"/>
    <m/>
    <m/>
    <m/>
    <m/>
  </r>
  <r>
    <n v="1388"/>
    <s v="Donor_051"/>
    <d v="2025-01-17T00:00:00"/>
    <s v="West"/>
    <s v="YearEndGiving"/>
    <m/>
    <n v="2199"/>
    <s v="Credit Card"/>
    <x v="7"/>
    <d v="2025-06-11T00:00:00"/>
    <s v="ACTIVE"/>
    <m/>
    <m/>
    <m/>
    <m/>
  </r>
  <r>
    <n v="70"/>
    <s v="Donor_049"/>
    <d v="2025-06-19T00:00:00"/>
    <s v="West"/>
    <s v="RamadanFeeding"/>
    <m/>
    <n v="2860"/>
    <s v="Cash"/>
    <x v="16"/>
    <d v="2025-06-19T00:00:00"/>
    <s v="ACTIVE"/>
    <m/>
    <m/>
    <m/>
    <m/>
  </r>
  <r>
    <n v="809"/>
    <s v="Donor_049"/>
    <d v="2025-04-04T00:00:00"/>
    <s v="Central"/>
    <s v="EmergencyFoodBank"/>
    <m/>
    <n v="2003"/>
    <s v="UPI"/>
    <x v="17"/>
    <d v="2025-06-19T00:00:00"/>
    <s v="ACTIVE"/>
    <m/>
    <m/>
    <m/>
    <m/>
  </r>
  <r>
    <n v="1185"/>
    <s v="Donor_063"/>
    <d v="2024-07-05T00:00:00"/>
    <s v="North"/>
    <s v="FloodReliefMeals"/>
    <m/>
    <n v="9882"/>
    <s v="Credit Card"/>
    <x v="5"/>
    <d v="2025-04-20T00:00:00"/>
    <s v="ACTIVE"/>
    <m/>
    <m/>
    <m/>
    <m/>
  </r>
  <r>
    <n v="12"/>
    <s v="Donor_099"/>
    <d v="2024-09-30T00:00:00"/>
    <s v="East"/>
    <s v="WinterMealDrive"/>
    <m/>
    <n v="2435"/>
    <s v="Cash"/>
    <x v="0"/>
    <d v="2025-05-30T00:00:00"/>
    <s v="ACTIVE"/>
    <m/>
    <m/>
    <m/>
    <m/>
  </r>
  <r>
    <n v="145"/>
    <s v="Donor_100"/>
    <d v="2024-04-23T00:00:00"/>
    <s v="East"/>
    <s v="SchoolLunchFund"/>
    <m/>
    <n v="2122"/>
    <s v="Credit Card"/>
    <x v="3"/>
    <d v="2025-06-14T00:00:00"/>
    <s v="ACTIVE"/>
    <m/>
    <m/>
    <m/>
    <m/>
  </r>
  <r>
    <n v="918"/>
    <s v="Donor_018"/>
    <d v="2025-04-30T00:00:00"/>
    <s v="North"/>
    <s v="WinterMealDrive"/>
    <m/>
    <n v="4722"/>
    <s v="Credit Card"/>
    <x v="17"/>
    <d v="2025-06-16T00:00:00"/>
    <s v="ACTIVE"/>
    <m/>
    <m/>
    <m/>
    <m/>
  </r>
  <r>
    <n v="1542"/>
    <s v="Donor_114"/>
    <d v="2025-02-11T00:00:00"/>
    <s v="Central"/>
    <s v="WinterMealDrive"/>
    <m/>
    <n v="477"/>
    <s v="Cash"/>
    <x v="13"/>
    <d v="2025-04-04T00:00:00"/>
    <s v="ACTIVE"/>
    <m/>
    <m/>
    <m/>
    <m/>
  </r>
  <r>
    <n v="1452"/>
    <s v="Donor_026"/>
    <d v="2025-05-28T00:00:00"/>
    <s v="South"/>
    <s v="SchoolLunchFund"/>
    <m/>
    <n v="5361"/>
    <s v="Cheque"/>
    <x v="11"/>
    <d v="2025-05-28T00:00:00"/>
    <s v="ACTIVE"/>
    <m/>
    <m/>
    <m/>
    <m/>
  </r>
  <r>
    <n v="640"/>
    <s v="Donor_085"/>
    <d v="2024-03-19T00:00:00"/>
    <s v="Central"/>
    <s v="RamadanFeeding"/>
    <m/>
    <n v="264"/>
    <s v="Cash"/>
    <x v="8"/>
    <d v="2025-06-22T00:00:00"/>
    <s v="ACTIVE"/>
    <m/>
    <m/>
    <m/>
    <m/>
  </r>
  <r>
    <n v="177"/>
    <s v="Donor_042"/>
    <d v="2024-05-23T00:00:00"/>
    <s v="Central"/>
    <s v="FloodReliefMeals"/>
    <m/>
    <n v="1436"/>
    <s v="Cheque"/>
    <x v="15"/>
    <d v="2025-02-10T00:00:00"/>
    <s v="LAPSED"/>
    <m/>
    <m/>
    <m/>
    <m/>
  </r>
  <r>
    <n v="995"/>
    <s v="Donor_107"/>
    <d v="2024-10-24T00:00:00"/>
    <s v="South"/>
    <s v="YearEndGiving"/>
    <m/>
    <n v="8669"/>
    <s v="Credit Card"/>
    <x v="12"/>
    <d v="2025-03-18T00:00:00"/>
    <s v="LAPSED"/>
    <m/>
    <m/>
    <m/>
    <m/>
  </r>
  <r>
    <n v="441"/>
    <s v="Donor_109"/>
    <d v="2025-02-18T00:00:00"/>
    <s v="North"/>
    <s v="WinterMealDrive"/>
    <m/>
    <n v="1406"/>
    <s v="Bank Transfer"/>
    <x v="13"/>
    <d v="2025-06-22T00:00:00"/>
    <s v="ACTIVE"/>
    <m/>
    <m/>
    <m/>
    <m/>
  </r>
  <r>
    <n v="522"/>
    <s v="Donor_108"/>
    <d v="2024-10-14T00:00:00"/>
    <s v="North"/>
    <s v="FloodReliefMeals"/>
    <m/>
    <n v="788"/>
    <s v="Credit Card"/>
    <x v="12"/>
    <d v="2025-05-21T00:00:00"/>
    <s v="ACTIVE"/>
    <m/>
    <m/>
    <m/>
    <m/>
  </r>
  <r>
    <n v="1786"/>
    <s v="Donor_029"/>
    <d v="2024-06-01T00:00:00"/>
    <s v="South"/>
    <s v="SchoolLunchFund"/>
    <m/>
    <n v="300"/>
    <s v="Credit Card"/>
    <x v="2"/>
    <d v="2025-06-05T00:00:00"/>
    <s v="ACTIVE"/>
    <m/>
    <m/>
    <m/>
    <m/>
  </r>
  <r>
    <n v="1752"/>
    <s v="Donor_091"/>
    <d v="2024-10-10T00:00:00"/>
    <s v="North"/>
    <s v="RamadanFeeding"/>
    <m/>
    <n v="4898"/>
    <s v="Bank Transfer"/>
    <x v="12"/>
    <d v="2025-05-16T00:00:00"/>
    <s v="ACTIVE"/>
    <m/>
    <m/>
    <m/>
    <m/>
  </r>
  <r>
    <n v="1005"/>
    <s v="Donor_005"/>
    <d v="2024-08-12T00:00:00"/>
    <s v="West"/>
    <s v="FloodReliefMeals"/>
    <m/>
    <n v="2249"/>
    <s v="Cash"/>
    <x v="1"/>
    <d v="2025-06-10T00:00:00"/>
    <s v="ACTIVE"/>
    <m/>
    <m/>
    <m/>
    <m/>
  </r>
  <r>
    <n v="1256"/>
    <s v="Donor_076"/>
    <d v="2025-05-24T00:00:00"/>
    <s v="West"/>
    <s v="WinterMealDrive"/>
    <m/>
    <n v="1213"/>
    <s v="Cash"/>
    <x v="11"/>
    <d v="2025-06-08T00:00:00"/>
    <s v="ACTIVE"/>
    <m/>
    <m/>
    <m/>
    <m/>
  </r>
  <r>
    <n v="1235"/>
    <s v="Donor_113"/>
    <d v="2024-03-13T00:00:00"/>
    <s v="East"/>
    <s v="FloodReliefMeals"/>
    <m/>
    <n v="476"/>
    <s v="Bank Transfer"/>
    <x v="8"/>
    <d v="2025-04-17T00:00:00"/>
    <s v="ACTIVE"/>
    <m/>
    <m/>
    <m/>
    <m/>
  </r>
  <r>
    <n v="144"/>
    <s v="Donor_058"/>
    <d v="2025-04-25T00:00:00"/>
    <s v="Central"/>
    <s v="WinterMealDrive"/>
    <m/>
    <n v="808"/>
    <s v="Credit Card"/>
    <x v="17"/>
    <d v="2025-06-22T00:00:00"/>
    <s v="ACTIVE"/>
    <m/>
    <m/>
    <m/>
    <m/>
  </r>
  <r>
    <n v="754"/>
    <s v="Donor_083"/>
    <d v="2025-03-13T00:00:00"/>
    <s v="North"/>
    <s v="FloodReliefMeals"/>
    <m/>
    <n v="853"/>
    <s v="Cash"/>
    <x v="6"/>
    <d v="2025-06-21T00:00:00"/>
    <s v="ACTIVE"/>
    <m/>
    <m/>
    <m/>
    <m/>
  </r>
  <r>
    <n v="520"/>
    <s v="Donor_115"/>
    <d v="2025-04-16T00:00:00"/>
    <s v="Central"/>
    <s v="FloodReliefMeals"/>
    <m/>
    <n v="334"/>
    <s v="Cash"/>
    <x v="17"/>
    <d v="2025-06-20T00:00:00"/>
    <s v="ACTIVE"/>
    <m/>
    <m/>
    <m/>
    <m/>
  </r>
  <r>
    <n v="823"/>
    <s v="Donor_002"/>
    <d v="2024-06-14T00:00:00"/>
    <s v="North"/>
    <s v="WinterMealDrive"/>
    <m/>
    <n v="719"/>
    <s v="Cheque"/>
    <x v="2"/>
    <d v="2025-04-12T00:00:00"/>
    <s v="ACTIVE"/>
    <m/>
    <m/>
    <m/>
    <m/>
  </r>
  <r>
    <n v="429"/>
    <s v="Donor_024"/>
    <d v="2024-10-02T00:00:00"/>
    <s v="South"/>
    <s v="RamadanFeeding"/>
    <m/>
    <n v="1788"/>
    <s v="Credit Card"/>
    <x v="12"/>
    <d v="2025-06-07T00:00:00"/>
    <s v="ACTIVE"/>
    <m/>
    <m/>
    <m/>
    <m/>
  </r>
  <r>
    <n v="1506"/>
    <s v="Donor_112"/>
    <d v="2024-04-03T00:00:00"/>
    <s v="Central"/>
    <s v="WinterMealDrive"/>
    <m/>
    <n v="1740"/>
    <s v="Credit Card"/>
    <x v="3"/>
    <d v="2025-05-26T00:00:00"/>
    <s v="ACTIVE"/>
    <m/>
    <m/>
    <m/>
    <m/>
  </r>
  <r>
    <n v="1033"/>
    <s v="Donor_018"/>
    <d v="2024-03-01T00:00:00"/>
    <s v="South"/>
    <s v="YearEndGiving"/>
    <m/>
    <n v="5848"/>
    <s v="UPI"/>
    <x v="8"/>
    <d v="2025-06-16T00:00:00"/>
    <s v="ACTIVE"/>
    <m/>
    <m/>
    <m/>
    <m/>
  </r>
  <r>
    <n v="157"/>
    <s v="Donor_078"/>
    <d v="2024-02-03T00:00:00"/>
    <s v="South"/>
    <s v="EmergencyFoodBank"/>
    <m/>
    <n v="354"/>
    <s v="Bank Transfer"/>
    <x v="14"/>
    <d v="2025-03-13T00:00:00"/>
    <s v="LAPSED"/>
    <m/>
    <m/>
    <m/>
    <m/>
  </r>
  <r>
    <n v="540"/>
    <s v="Donor_097"/>
    <d v="2024-01-01T00:00:00"/>
    <s v="South"/>
    <s v="EmergencyFoodBank"/>
    <m/>
    <n v="1472"/>
    <s v="Bank Transfer"/>
    <x v="10"/>
    <d v="2025-06-04T00:00:00"/>
    <s v="ACTIVE"/>
    <m/>
    <m/>
    <m/>
    <m/>
  </r>
  <r>
    <n v="1531"/>
    <s v="Donor_078"/>
    <d v="2024-02-19T00:00:00"/>
    <s v="South"/>
    <s v="SchoolLunchFund"/>
    <m/>
    <n v="1052"/>
    <s v="Credit Card"/>
    <x v="14"/>
    <d v="2025-03-13T00:00:00"/>
    <s v="LAPSED"/>
    <m/>
    <m/>
    <m/>
    <m/>
  </r>
  <r>
    <n v="1461"/>
    <s v="Donor_031"/>
    <d v="2024-01-04T00:00:00"/>
    <s v="North"/>
    <s v="FloodReliefMeals"/>
    <m/>
    <n v="1268"/>
    <s v="Cash"/>
    <x v="10"/>
    <d v="2025-05-17T00:00:00"/>
    <s v="ACTIVE"/>
    <m/>
    <m/>
    <m/>
    <m/>
  </r>
  <r>
    <n v="1291"/>
    <s v="Donor_069"/>
    <d v="2025-04-10T00:00:00"/>
    <s v="East"/>
    <s v="SchoolLunchFund"/>
    <m/>
    <n v="1372"/>
    <s v="Credit Card"/>
    <x v="17"/>
    <d v="2025-06-13T00:00:00"/>
    <s v="ACTIVE"/>
    <m/>
    <m/>
    <m/>
    <m/>
  </r>
  <r>
    <n v="462"/>
    <s v="Donor_072"/>
    <d v="2025-03-24T00:00:00"/>
    <s v="East"/>
    <s v="YearEndGiving"/>
    <m/>
    <n v="263"/>
    <s v="Credit Card"/>
    <x v="6"/>
    <d v="2025-04-13T00:00:00"/>
    <s v="ACTIVE"/>
    <m/>
    <m/>
    <m/>
    <m/>
  </r>
  <r>
    <n v="577"/>
    <s v="Donor_076"/>
    <d v="2024-02-16T00:00:00"/>
    <s v="South"/>
    <s v="FloodReliefMeals"/>
    <m/>
    <n v="848"/>
    <s v="Credit Card"/>
    <x v="14"/>
    <d v="2025-06-08T00:00:00"/>
    <s v="ACTIVE"/>
    <m/>
    <m/>
    <m/>
    <m/>
  </r>
  <r>
    <n v="1363"/>
    <s v="Donor_047"/>
    <d v="2025-02-21T00:00:00"/>
    <s v="West"/>
    <s v="WinterMealDrive"/>
    <m/>
    <n v="2885"/>
    <s v="Bank Transfer"/>
    <x v="13"/>
    <d v="2025-05-04T00:00:00"/>
    <s v="ACTIVE"/>
    <m/>
    <m/>
    <m/>
    <m/>
  </r>
  <r>
    <n v="256"/>
    <s v="Donor_057"/>
    <d v="2024-03-30T00:00:00"/>
    <s v="North"/>
    <s v="SchoolLunchFund"/>
    <m/>
    <n v="2249"/>
    <s v="Cheque"/>
    <x v="8"/>
    <d v="2025-03-30T00:00:00"/>
    <s v="ACTIVE"/>
    <m/>
    <m/>
    <m/>
    <m/>
  </r>
  <r>
    <n v="980"/>
    <s v="Donor_035"/>
    <d v="2025-01-23T00:00:00"/>
    <s v="South"/>
    <s v="SchoolLunchFund"/>
    <m/>
    <n v="254"/>
    <s v="Bank Transfer"/>
    <x v="7"/>
    <d v="2025-06-15T00:00:00"/>
    <s v="ACTIVE"/>
    <m/>
    <m/>
    <m/>
    <m/>
  </r>
  <r>
    <n v="1186"/>
    <s v="Donor_044"/>
    <d v="2025-03-29T00:00:00"/>
    <s v="Central"/>
    <s v="SchoolLunchFund"/>
    <m/>
    <n v="2223"/>
    <s v="Credit Card"/>
    <x v="6"/>
    <d v="2025-05-05T00:00:00"/>
    <s v="ACTIVE"/>
    <m/>
    <m/>
    <m/>
    <m/>
  </r>
  <r>
    <n v="1007"/>
    <s v="Donor_071"/>
    <d v="2025-03-02T00:00:00"/>
    <s v="South"/>
    <s v="FloodReliefMeals"/>
    <m/>
    <n v="2086"/>
    <s v="Cheque"/>
    <x v="6"/>
    <d v="2025-06-08T00:00:00"/>
    <s v="ACTIVE"/>
    <m/>
    <m/>
    <m/>
    <m/>
  </r>
  <r>
    <n v="1522"/>
    <s v="Donor_019"/>
    <d v="2024-03-08T00:00:00"/>
    <s v="West"/>
    <s v="YearEndGiving"/>
    <m/>
    <n v="2726"/>
    <s v="Cheque"/>
    <x v="8"/>
    <d v="2025-05-28T00:00:00"/>
    <s v="ACTIVE"/>
    <m/>
    <m/>
    <m/>
    <m/>
  </r>
  <r>
    <n v="561"/>
    <s v="Donor_033"/>
    <d v="2024-10-17T00:00:00"/>
    <s v="South"/>
    <s v="WinterMealDrive"/>
    <m/>
    <n v="524"/>
    <s v="UPI"/>
    <x v="12"/>
    <d v="2025-06-21T00:00:00"/>
    <s v="ACTIVE"/>
    <m/>
    <m/>
    <m/>
    <m/>
  </r>
  <r>
    <n v="209"/>
    <s v="Donor_053"/>
    <d v="2025-03-02T00:00:00"/>
    <s v="South"/>
    <s v="FloodReliefMeals"/>
    <m/>
    <n v="655"/>
    <s v="Cheque"/>
    <x v="6"/>
    <d v="2025-04-16T00:00:00"/>
    <s v="ACTIVE"/>
    <m/>
    <m/>
    <m/>
    <m/>
  </r>
  <r>
    <n v="911"/>
    <s v="Donor_046"/>
    <d v="2024-10-15T00:00:00"/>
    <s v="North"/>
    <s v="YearEndGiving"/>
    <m/>
    <n v="4237"/>
    <s v="UPI"/>
    <x v="12"/>
    <d v="2025-05-10T00:00:00"/>
    <s v="ACTIVE"/>
    <m/>
    <m/>
    <m/>
    <m/>
  </r>
  <r>
    <n v="1312"/>
    <s v="Donor_100"/>
    <d v="2024-08-30T00:00:00"/>
    <s v="North"/>
    <s v="WinterMealDrive"/>
    <m/>
    <n v="545"/>
    <s v="Bank Transfer"/>
    <x v="1"/>
    <d v="2025-06-14T00:00:00"/>
    <s v="ACTIVE"/>
    <m/>
    <m/>
    <m/>
    <m/>
  </r>
  <r>
    <n v="2"/>
    <s v="Donor_012"/>
    <d v="2024-01-31T00:00:00"/>
    <s v="South"/>
    <s v="SchoolLunchFund"/>
    <m/>
    <n v="10408"/>
    <s v="Cheque"/>
    <x v="10"/>
    <d v="2025-06-23T00:00:00"/>
    <s v="ACTIVE"/>
    <m/>
    <m/>
    <m/>
    <m/>
  </r>
  <r>
    <n v="1366"/>
    <s v="Donor_033"/>
    <d v="2024-01-05T00:00:00"/>
    <s v="Central"/>
    <s v="EmergencyFoodBank"/>
    <m/>
    <n v="1644"/>
    <s v="Bank Transfer"/>
    <x v="10"/>
    <d v="2025-06-21T00:00:00"/>
    <s v="ACTIVE"/>
    <m/>
    <m/>
    <m/>
    <m/>
  </r>
  <r>
    <n v="270"/>
    <s v="Donor_102"/>
    <d v="2024-11-18T00:00:00"/>
    <s v="South"/>
    <s v="SchoolLunchFund"/>
    <m/>
    <n v="2645"/>
    <s v="Credit Card"/>
    <x v="4"/>
    <d v="2025-04-29T00:00:00"/>
    <s v="ACTIVE"/>
    <m/>
    <m/>
    <m/>
    <m/>
  </r>
  <r>
    <n v="266"/>
    <s v="Donor_067"/>
    <d v="2024-08-19T00:00:00"/>
    <s v="West"/>
    <s v="WinterMealDrive"/>
    <m/>
    <n v="539"/>
    <s v="UPI"/>
    <x v="1"/>
    <d v="2025-06-15T00:00:00"/>
    <s v="ACTIVE"/>
    <m/>
    <m/>
    <m/>
    <m/>
  </r>
  <r>
    <n v="915"/>
    <s v="Donor_041"/>
    <d v="2024-12-27T00:00:00"/>
    <s v="West"/>
    <s v="RamadanFeeding"/>
    <m/>
    <n v="323"/>
    <s v="Cash"/>
    <x v="9"/>
    <d v="2025-06-13T00:00:00"/>
    <s v="ACTIVE"/>
    <m/>
    <m/>
    <m/>
    <m/>
  </r>
  <r>
    <n v="231"/>
    <s v="Donor_058"/>
    <d v="2025-03-17T00:00:00"/>
    <s v="Central"/>
    <s v="YearEndGiving"/>
    <m/>
    <n v="9632"/>
    <s v="UPI"/>
    <x v="6"/>
    <d v="2025-06-22T00:00:00"/>
    <s v="ACTIVE"/>
    <m/>
    <m/>
    <m/>
    <m/>
  </r>
  <r>
    <n v="1782"/>
    <s v="Donor_111"/>
    <d v="2024-11-14T00:00:00"/>
    <s v="North"/>
    <s v="EmergencyFoodBank"/>
    <m/>
    <n v="1198"/>
    <s v="Credit Card"/>
    <x v="4"/>
    <d v="2025-04-26T00:00:00"/>
    <s v="ACTIVE"/>
    <m/>
    <m/>
    <m/>
    <m/>
  </r>
  <r>
    <n v="1120"/>
    <s v="Donor_118"/>
    <d v="2024-04-29T00:00:00"/>
    <s v="NOT KNOWN"/>
    <s v="SchoolLunchFund"/>
    <m/>
    <n v="874"/>
    <s v="Cheque"/>
    <x v="3"/>
    <d v="2025-04-19T00:00:00"/>
    <s v="ACTIVE"/>
    <m/>
    <m/>
    <m/>
    <m/>
  </r>
  <r>
    <n v="1777"/>
    <s v="Donor_024"/>
    <d v="2024-01-07T00:00:00"/>
    <s v="South"/>
    <s v="RamadanFeeding"/>
    <m/>
    <n v="1259"/>
    <s v="Cheque"/>
    <x v="10"/>
    <d v="2025-06-07T00:00:00"/>
    <s v="ACTIVE"/>
    <m/>
    <m/>
    <m/>
    <m/>
  </r>
  <r>
    <n v="865"/>
    <s v="Donor_019"/>
    <d v="2024-10-06T00:00:00"/>
    <s v="South"/>
    <s v="FloodReliefMeals"/>
    <m/>
    <n v="420"/>
    <s v="Credit Card"/>
    <x v="12"/>
    <d v="2025-05-28T00:00:00"/>
    <s v="ACTIVE"/>
    <m/>
    <m/>
    <m/>
    <m/>
  </r>
  <r>
    <n v="1067"/>
    <s v="Donor_095"/>
    <d v="2025-04-05T00:00:00"/>
    <s v="West"/>
    <s v="FloodReliefMeals"/>
    <m/>
    <n v="324"/>
    <s v="Credit Card"/>
    <x v="17"/>
    <d v="2025-05-17T00:00:00"/>
    <s v="ACTIVE"/>
    <m/>
    <m/>
    <m/>
    <m/>
  </r>
  <r>
    <n v="874"/>
    <s v="Donor_078"/>
    <d v="2024-02-13T00:00:00"/>
    <s v="West"/>
    <s v="SchoolLunchFund"/>
    <m/>
    <n v="11615"/>
    <s v="Credit Card"/>
    <x v="14"/>
    <d v="2025-03-13T00:00:00"/>
    <s v="LAPSED"/>
    <m/>
    <m/>
    <m/>
    <m/>
  </r>
  <r>
    <n v="1623"/>
    <s v="Donor_098"/>
    <d v="2025-04-24T00:00:00"/>
    <s v="Central"/>
    <s v="RamadanFeeding"/>
    <m/>
    <n v="886"/>
    <s v="Bank Transfer"/>
    <x v="17"/>
    <d v="2025-06-20T00:00:00"/>
    <s v="ACTIVE"/>
    <m/>
    <m/>
    <m/>
    <m/>
  </r>
  <r>
    <n v="399"/>
    <s v="Donor_029"/>
    <d v="2025-02-05T00:00:00"/>
    <s v="Central"/>
    <s v="EmergencyFoodBank"/>
    <m/>
    <n v="2134"/>
    <s v="Cheque"/>
    <x v="13"/>
    <d v="2025-06-05T00:00:00"/>
    <s v="ACTIVE"/>
    <m/>
    <m/>
    <m/>
    <m/>
  </r>
  <r>
    <n v="1650"/>
    <s v="Donor_047"/>
    <d v="2024-10-21T00:00:00"/>
    <s v="Central"/>
    <s v="FloodReliefMeals"/>
    <m/>
    <n v="276"/>
    <s v="Cash"/>
    <x v="12"/>
    <d v="2025-05-04T00:00:00"/>
    <s v="ACTIVE"/>
    <m/>
    <m/>
    <m/>
    <m/>
  </r>
  <r>
    <n v="46"/>
    <s v="Donor_023"/>
    <d v="2024-08-12T00:00:00"/>
    <s v="Central"/>
    <s v="RamadanFeeding"/>
    <m/>
    <n v="511"/>
    <s v="UPI"/>
    <x v="1"/>
    <d v="2025-05-24T00:00:00"/>
    <s v="ACTIVE"/>
    <m/>
    <m/>
    <m/>
    <m/>
  </r>
  <r>
    <n v="162"/>
    <s v="Donor_060"/>
    <d v="2025-01-12T00:00:00"/>
    <s v="Central"/>
    <s v="SchoolLunchFund"/>
    <m/>
    <n v="826"/>
    <s v="Cash"/>
    <x v="7"/>
    <d v="2025-05-20T00:00:00"/>
    <s v="ACTIVE"/>
    <m/>
    <m/>
    <m/>
    <m/>
  </r>
  <r>
    <n v="992"/>
    <s v="Donor_013"/>
    <d v="2024-01-04T00:00:00"/>
    <s v="South"/>
    <s v="YearEndGiving"/>
    <m/>
    <n v="329"/>
    <s v="Credit Card"/>
    <x v="10"/>
    <d v="2025-04-28T00:00:00"/>
    <s v="ACTIVE"/>
    <m/>
    <m/>
    <m/>
    <m/>
  </r>
  <r>
    <n v="728"/>
    <s v="Donor_015"/>
    <d v="2025-02-22T00:00:00"/>
    <s v="North"/>
    <s v="FloodReliefMeals"/>
    <m/>
    <n v="2040"/>
    <s v="Credit Card"/>
    <x v="13"/>
    <d v="2025-05-02T00:00:00"/>
    <s v="ACTIVE"/>
    <m/>
    <m/>
    <m/>
    <m/>
  </r>
  <r>
    <n v="630"/>
    <s v="Donor_065"/>
    <d v="2024-09-04T00:00:00"/>
    <s v="Central"/>
    <s v="WinterMealDrive"/>
    <m/>
    <n v="1128"/>
    <s v="UPI"/>
    <x v="0"/>
    <d v="2025-05-02T00:00:00"/>
    <s v="ACTIVE"/>
    <m/>
    <m/>
    <m/>
    <m/>
  </r>
  <r>
    <n v="289"/>
    <s v="Donor_119"/>
    <d v="2024-11-18T00:00:00"/>
    <s v="West"/>
    <s v="EmergencyFoodBank"/>
    <m/>
    <n v="4636"/>
    <s v="Bank Transfer"/>
    <x v="4"/>
    <d v="2025-05-18T00:00:00"/>
    <s v="ACTIVE"/>
    <m/>
    <m/>
    <m/>
    <m/>
  </r>
  <r>
    <n v="1614"/>
    <s v="Donor_062"/>
    <d v="2024-12-24T00:00:00"/>
    <s v="West"/>
    <s v="FloodReliefMeals"/>
    <m/>
    <n v="2747"/>
    <s v="Bank Transfer"/>
    <x v="9"/>
    <d v="2025-05-17T00:00:00"/>
    <s v="ACTIVE"/>
    <m/>
    <m/>
    <m/>
    <m/>
  </r>
  <r>
    <n v="1060"/>
    <s v="Donor_103"/>
    <d v="2024-09-05T00:00:00"/>
    <s v="East"/>
    <s v="SchoolLunchFund"/>
    <m/>
    <n v="278"/>
    <s v="UPI"/>
    <x v="0"/>
    <d v="2025-02-25T00:00:00"/>
    <s v="LAPSED"/>
    <m/>
    <m/>
    <m/>
    <m/>
  </r>
  <r>
    <n v="1763"/>
    <s v="Donor_009"/>
    <d v="2024-10-18T00:00:00"/>
    <s v="North"/>
    <s v="YearEndGiving"/>
    <m/>
    <n v="2627"/>
    <s v="UPI"/>
    <x v="12"/>
    <d v="2025-05-15T00:00:00"/>
    <s v="ACTIVE"/>
    <m/>
    <m/>
    <m/>
    <m/>
  </r>
  <r>
    <n v="576"/>
    <s v="Donor_055"/>
    <d v="2024-07-26T00:00:00"/>
    <s v="East"/>
    <s v="EmergencyFoodBank"/>
    <m/>
    <n v="697"/>
    <s v="Cheque"/>
    <x v="5"/>
    <d v="2025-05-11T00:00:00"/>
    <s v="ACTIVE"/>
    <m/>
    <m/>
    <m/>
    <m/>
  </r>
  <r>
    <n v="851"/>
    <s v="Donor_023"/>
    <d v="2025-04-30T00:00:00"/>
    <s v="North"/>
    <s v="WinterMealDrive"/>
    <m/>
    <n v="10600"/>
    <s v="Cheque"/>
    <x v="17"/>
    <d v="2025-05-24T00:00:00"/>
    <s v="ACTIVE"/>
    <m/>
    <m/>
    <m/>
    <m/>
  </r>
  <r>
    <n v="1340"/>
    <s v="Donor_083"/>
    <d v="2024-02-05T00:00:00"/>
    <s v="East"/>
    <s v="FloodReliefMeals"/>
    <m/>
    <n v="577"/>
    <s v="UPI"/>
    <x v="14"/>
    <d v="2025-06-21T00:00:00"/>
    <s v="ACTIVE"/>
    <m/>
    <m/>
    <m/>
    <m/>
  </r>
  <r>
    <n v="912"/>
    <s v="Donor_087"/>
    <d v="2024-07-04T00:00:00"/>
    <s v="West"/>
    <s v="SchoolLunchFund"/>
    <m/>
    <n v="2625"/>
    <s v="Bank Transfer"/>
    <x v="5"/>
    <d v="2025-06-09T00:00:00"/>
    <s v="ACTIVE"/>
    <m/>
    <m/>
    <m/>
    <m/>
  </r>
  <r>
    <n v="1255"/>
    <s v="Donor_093"/>
    <d v="2024-08-21T00:00:00"/>
    <s v="East"/>
    <s v="EmergencyFoodBank"/>
    <m/>
    <n v="11284"/>
    <s v="Credit Card"/>
    <x v="1"/>
    <d v="2025-03-24T00:00:00"/>
    <s v="LAPSED"/>
    <m/>
    <m/>
    <m/>
    <m/>
  </r>
  <r>
    <n v="1643"/>
    <s v="Donor_041"/>
    <d v="2024-12-16T00:00:00"/>
    <s v="East"/>
    <s v="SchoolLunchFund"/>
    <m/>
    <n v="0"/>
    <s v="Bank Transfer"/>
    <x v="9"/>
    <d v="2025-06-13T00:00:00"/>
    <s v="ACTIVE"/>
    <m/>
    <m/>
    <m/>
    <m/>
  </r>
  <r>
    <n v="933"/>
    <s v="Donor_031"/>
    <d v="2025-01-31T00:00:00"/>
    <s v="South"/>
    <s v="YearEndGiving"/>
    <m/>
    <n v="1183"/>
    <s v="Cheque"/>
    <x v="7"/>
    <d v="2025-05-17T00:00:00"/>
    <s v="ACTIVE"/>
    <m/>
    <m/>
    <m/>
    <m/>
  </r>
  <r>
    <n v="1101"/>
    <s v="Donor_103"/>
    <d v="2024-07-28T00:00:00"/>
    <s v="Central"/>
    <s v="EmergencyFoodBank"/>
    <m/>
    <n v="5039"/>
    <s v="Bank Transfer"/>
    <x v="5"/>
    <d v="2025-02-25T00:00:00"/>
    <s v="LAPSED"/>
    <m/>
    <m/>
    <m/>
    <m/>
  </r>
  <r>
    <n v="1208"/>
    <s v="Donor_012"/>
    <d v="2024-05-07T00:00:00"/>
    <s v="South"/>
    <s v="YearEndGiving"/>
    <m/>
    <n v="8487"/>
    <s v="Credit Card"/>
    <x v="15"/>
    <d v="2025-06-23T00:00:00"/>
    <s v="ACTIVE"/>
    <m/>
    <m/>
    <m/>
    <m/>
  </r>
  <r>
    <n v="248"/>
    <s v="Donor_077"/>
    <d v="2024-11-16T00:00:00"/>
    <s v="West"/>
    <s v="YearEndGiving"/>
    <m/>
    <n v="776"/>
    <s v="Bank Transfer"/>
    <x v="4"/>
    <d v="2025-06-21T00:00:00"/>
    <s v="ACTIVE"/>
    <m/>
    <m/>
    <m/>
    <m/>
  </r>
  <r>
    <n v="477"/>
    <s v="Donor_102"/>
    <d v="2024-11-28T00:00:00"/>
    <s v="West"/>
    <s v="SchoolLunchFund"/>
    <m/>
    <n v="339"/>
    <s v="Cheque"/>
    <x v="4"/>
    <d v="2025-04-29T00:00:00"/>
    <s v="ACTIVE"/>
    <m/>
    <m/>
    <m/>
    <m/>
  </r>
  <r>
    <n v="86"/>
    <s v="Donor_050"/>
    <d v="2025-01-25T00:00:00"/>
    <s v="South"/>
    <s v="RamadanFeeding"/>
    <m/>
    <n v="425"/>
    <s v="Cheque"/>
    <x v="7"/>
    <d v="2025-06-18T00:00:00"/>
    <s v="ACTIVE"/>
    <m/>
    <m/>
    <m/>
    <m/>
  </r>
  <r>
    <n v="470"/>
    <s v="Donor_085"/>
    <d v="2025-06-22T00:00:00"/>
    <s v="South"/>
    <s v="YearEndGiving"/>
    <m/>
    <n v="1535"/>
    <s v="Cheque"/>
    <x v="16"/>
    <d v="2025-06-22T00:00:00"/>
    <s v="ACTIVE"/>
    <m/>
    <m/>
    <m/>
    <m/>
  </r>
  <r>
    <n v="226"/>
    <s v="Donor_087"/>
    <d v="2025-02-02T00:00:00"/>
    <s v="Central"/>
    <s v="FloodReliefMeals"/>
    <m/>
    <n v="827"/>
    <s v="Credit Card"/>
    <x v="13"/>
    <d v="2025-06-09T00:00:00"/>
    <s v="ACTIVE"/>
    <m/>
    <m/>
    <m/>
    <m/>
  </r>
  <r>
    <n v="775"/>
    <s v="Donor_109"/>
    <d v="2024-05-09T00:00:00"/>
    <s v="Central"/>
    <s v="YearEndGiving"/>
    <m/>
    <n v="265"/>
    <s v="UPI"/>
    <x v="15"/>
    <d v="2025-06-22T00:00:00"/>
    <s v="ACTIVE"/>
    <m/>
    <m/>
    <m/>
    <m/>
  </r>
  <r>
    <n v="332"/>
    <s v="Donor_061"/>
    <d v="2024-01-10T00:00:00"/>
    <s v="South"/>
    <s v="EmergencyFoodBank"/>
    <m/>
    <n v="1561"/>
    <s v="UPI"/>
    <x v="10"/>
    <d v="2025-05-21T00:00:00"/>
    <s v="ACTIVE"/>
    <m/>
    <m/>
    <m/>
    <m/>
  </r>
  <r>
    <n v="234"/>
    <s v="Donor_047"/>
    <d v="2024-03-19T00:00:00"/>
    <s v="East"/>
    <s v="SchoolLunchFund"/>
    <m/>
    <n v="0"/>
    <s v="Credit Card"/>
    <x v="8"/>
    <d v="2025-05-04T00:00:00"/>
    <s v="ACTIVE"/>
    <m/>
    <m/>
    <m/>
    <m/>
  </r>
  <r>
    <n v="589"/>
    <s v="Donor_074"/>
    <d v="2024-06-23T00:00:00"/>
    <s v="Central"/>
    <s v="SchoolLunchFund"/>
    <m/>
    <n v="965"/>
    <s v="Cheque"/>
    <x v="2"/>
    <d v="2025-06-18T00:00:00"/>
    <s v="ACTIVE"/>
    <m/>
    <m/>
    <m/>
    <m/>
  </r>
  <r>
    <n v="476"/>
    <s v="Donor_114"/>
    <d v="2025-01-10T00:00:00"/>
    <s v="Central"/>
    <s v="SchoolLunchFund"/>
    <m/>
    <n v="1805"/>
    <s v="Bank Transfer"/>
    <x v="7"/>
    <d v="2025-04-04T00:00:00"/>
    <s v="ACTIVE"/>
    <m/>
    <m/>
    <m/>
    <m/>
  </r>
  <r>
    <n v="1285"/>
    <s v="Donor_060"/>
    <d v="2024-12-24T00:00:00"/>
    <s v="South"/>
    <s v="EmergencyFoodBank"/>
    <m/>
    <n v="478"/>
    <s v="Credit Card"/>
    <x v="9"/>
    <d v="2025-05-20T00:00:00"/>
    <s v="ACTIVE"/>
    <m/>
    <m/>
    <m/>
    <m/>
  </r>
  <r>
    <n v="600"/>
    <s v="Donor_058"/>
    <d v="2024-10-26T00:00:00"/>
    <s v="Central"/>
    <s v="FloodReliefMeals"/>
    <m/>
    <n v="875"/>
    <s v="Cash"/>
    <x v="12"/>
    <d v="2025-06-22T00:00:00"/>
    <s v="ACTIVE"/>
    <m/>
    <m/>
    <m/>
    <m/>
  </r>
  <r>
    <n v="422"/>
    <s v="Donor_079"/>
    <d v="2024-08-25T00:00:00"/>
    <s v="South"/>
    <s v="EmergencyFoodBank"/>
    <m/>
    <n v="472"/>
    <s v="UPI"/>
    <x v="1"/>
    <d v="2025-06-07T00:00:00"/>
    <s v="ACTIVE"/>
    <m/>
    <m/>
    <m/>
    <m/>
  </r>
  <r>
    <n v="183"/>
    <s v="Donor_039"/>
    <d v="2024-08-18T00:00:00"/>
    <s v="East"/>
    <s v="EmergencyFoodBank"/>
    <m/>
    <n v="2152"/>
    <s v="Cash"/>
    <x v="1"/>
    <d v="2025-04-25T00:00:00"/>
    <s v="ACTIVE"/>
    <m/>
    <m/>
    <m/>
    <m/>
  </r>
  <r>
    <n v="989"/>
    <s v="Donor_023"/>
    <d v="2025-02-16T00:00:00"/>
    <s v="Central"/>
    <s v="FloodReliefMeals"/>
    <m/>
    <n v="10430"/>
    <s v="Cheque"/>
    <x v="13"/>
    <d v="2025-05-24T00:00:00"/>
    <s v="ACTIVE"/>
    <m/>
    <m/>
    <m/>
    <m/>
  </r>
  <r>
    <n v="1001"/>
    <s v="Donor_037"/>
    <d v="2024-12-21T00:00:00"/>
    <s v="North"/>
    <s v="WinterMealDrive"/>
    <m/>
    <n v="351"/>
    <s v="Credit Card"/>
    <x v="9"/>
    <d v="2025-05-23T00:00:00"/>
    <s v="ACTIVE"/>
    <m/>
    <m/>
    <m/>
    <m/>
  </r>
  <r>
    <n v="1642"/>
    <s v="Donor_056"/>
    <d v="2024-03-28T00:00:00"/>
    <s v="West"/>
    <s v="YearEndGiving"/>
    <m/>
    <n v="482"/>
    <s v="Credit Card"/>
    <x v="8"/>
    <d v="2025-05-08T00:00:00"/>
    <s v="ACTIVE"/>
    <m/>
    <m/>
    <m/>
    <m/>
  </r>
  <r>
    <n v="1357"/>
    <s v="Donor_035"/>
    <d v="2024-10-06T00:00:00"/>
    <s v="North"/>
    <s v="EmergencyFoodBank"/>
    <m/>
    <n v="248"/>
    <s v="Credit Card"/>
    <x v="12"/>
    <d v="2025-06-15T00:00:00"/>
    <s v="ACTIVE"/>
    <m/>
    <m/>
    <m/>
    <m/>
  </r>
  <r>
    <n v="50"/>
    <s v="Donor_107"/>
    <d v="2024-07-30T00:00:00"/>
    <s v="West"/>
    <s v="RamadanFeeding"/>
    <m/>
    <n v="571"/>
    <s v="Cheque"/>
    <x v="5"/>
    <d v="2025-03-18T00:00:00"/>
    <s v="LAPSED"/>
    <m/>
    <m/>
    <m/>
    <m/>
  </r>
  <r>
    <n v="1693"/>
    <s v="Donor_029"/>
    <d v="2024-11-22T00:00:00"/>
    <s v="South"/>
    <s v="YearEndGiving"/>
    <m/>
    <n v="485"/>
    <s v="Credit Card"/>
    <x v="4"/>
    <d v="2025-06-05T00:00:00"/>
    <s v="ACTIVE"/>
    <m/>
    <m/>
    <m/>
    <m/>
  </r>
  <r>
    <n v="1030"/>
    <s v="Donor_030"/>
    <d v="2025-05-25T00:00:00"/>
    <s v="North"/>
    <s v="YearEndGiving"/>
    <m/>
    <n v="9324"/>
    <s v="Credit Card"/>
    <x v="11"/>
    <d v="2025-05-25T00:00:00"/>
    <s v="ACTIVE"/>
    <m/>
    <m/>
    <m/>
    <m/>
  </r>
  <r>
    <n v="530"/>
    <s v="Donor_074"/>
    <d v="2024-10-17T00:00:00"/>
    <s v="South"/>
    <s v="SchoolLunchFund"/>
    <m/>
    <n v="925"/>
    <s v="Bank Transfer"/>
    <x v="12"/>
    <d v="2025-06-18T00:00:00"/>
    <s v="ACTIVE"/>
    <m/>
    <m/>
    <m/>
    <m/>
  </r>
  <r>
    <n v="1259"/>
    <s v="Donor_099"/>
    <d v="2024-05-27T00:00:00"/>
    <s v="Central"/>
    <s v="EmergencyFoodBank"/>
    <m/>
    <n v="5725"/>
    <s v="Cheque"/>
    <x v="15"/>
    <d v="2025-05-30T00:00:00"/>
    <s v="ACTIVE"/>
    <m/>
    <m/>
    <m/>
    <m/>
  </r>
  <r>
    <n v="487"/>
    <s v="Donor_089"/>
    <d v="2024-05-24T00:00:00"/>
    <s v="North"/>
    <s v="RamadanFeeding"/>
    <m/>
    <n v="8174"/>
    <s v="Credit Card"/>
    <x v="15"/>
    <d v="2025-05-16T00:00:00"/>
    <s v="ACTIVE"/>
    <m/>
    <m/>
    <m/>
    <m/>
  </r>
  <r>
    <n v="1761"/>
    <s v="Donor_083"/>
    <d v="2025-01-09T00:00:00"/>
    <s v="North"/>
    <s v="SchoolLunchFund"/>
    <m/>
    <n v="819"/>
    <s v="Cash"/>
    <x v="7"/>
    <d v="2025-06-21T00:00:00"/>
    <s v="ACTIVE"/>
    <m/>
    <m/>
    <m/>
    <m/>
  </r>
  <r>
    <n v="498"/>
    <s v="Donor_109"/>
    <d v="2025-05-29T00:00:00"/>
    <s v="Central"/>
    <s v="RamadanFeeding"/>
    <m/>
    <n v="4368"/>
    <s v="Cash"/>
    <x v="11"/>
    <d v="2025-06-22T00:00:00"/>
    <s v="ACTIVE"/>
    <m/>
    <m/>
    <m/>
    <m/>
  </r>
  <r>
    <n v="1647"/>
    <s v="Donor_071"/>
    <d v="2025-02-26T00:00:00"/>
    <s v="NOT KNOWN"/>
    <s v="WinterMealDrive"/>
    <m/>
    <n v="288"/>
    <s v="UPI"/>
    <x v="13"/>
    <d v="2025-06-08T00:00:00"/>
    <s v="ACTIVE"/>
    <m/>
    <m/>
    <m/>
    <m/>
  </r>
  <r>
    <n v="107"/>
    <s v="Donor_023"/>
    <d v="2024-01-17T00:00:00"/>
    <s v="East"/>
    <s v="WinterMealDrive"/>
    <m/>
    <n v="1645"/>
    <s v="Cheque"/>
    <x v="10"/>
    <d v="2025-05-24T00:00:00"/>
    <s v="ACTIVE"/>
    <m/>
    <m/>
    <m/>
    <m/>
  </r>
  <r>
    <n v="444"/>
    <s v="Donor_068"/>
    <d v="2025-02-10T00:00:00"/>
    <s v="North"/>
    <s v="WinterMealDrive"/>
    <m/>
    <n v="2618"/>
    <s v="UPI"/>
    <x v="13"/>
    <d v="2025-05-16T00:00:00"/>
    <s v="ACTIVE"/>
    <m/>
    <m/>
    <m/>
    <m/>
  </r>
  <r>
    <n v="1513"/>
    <s v="Donor_093"/>
    <d v="2024-01-27T00:00:00"/>
    <s v="South"/>
    <s v="FloodReliefMeals"/>
    <m/>
    <n v="4758"/>
    <s v="UPI"/>
    <x v="10"/>
    <d v="2025-03-24T00:00:00"/>
    <s v="LAPSED"/>
    <m/>
    <m/>
    <m/>
    <m/>
  </r>
  <r>
    <n v="647"/>
    <s v="Donor_116"/>
    <d v="2025-06-11T00:00:00"/>
    <s v="West"/>
    <s v="FloodReliefMeals"/>
    <m/>
    <n v="539"/>
    <s v="Cheque"/>
    <x v="16"/>
    <d v="2025-06-11T00:00:00"/>
    <s v="ACTIVE"/>
    <m/>
    <m/>
    <m/>
    <m/>
  </r>
  <r>
    <n v="1037"/>
    <s v="Donor_016"/>
    <d v="2025-03-24T00:00:00"/>
    <s v="NOT KNOWN"/>
    <s v="FloodReliefMeals"/>
    <m/>
    <n v="4387"/>
    <s v="Cash"/>
    <x v="6"/>
    <d v="2025-06-17T00:00:00"/>
    <s v="ACTIVE"/>
    <m/>
    <m/>
    <m/>
    <m/>
  </r>
  <r>
    <n v="727"/>
    <s v="Donor_089"/>
    <d v="2024-04-30T00:00:00"/>
    <s v="South"/>
    <s v="RamadanFeeding"/>
    <m/>
    <n v="244"/>
    <s v="Credit Card"/>
    <x v="3"/>
    <d v="2025-05-16T00:00:00"/>
    <s v="ACTIVE"/>
    <m/>
    <m/>
    <m/>
    <m/>
  </r>
  <r>
    <n v="283"/>
    <s v="Donor_023"/>
    <d v="2024-02-23T00:00:00"/>
    <s v="South"/>
    <s v="YearEndGiving"/>
    <m/>
    <n v="591"/>
    <s v="UPI"/>
    <x v="14"/>
    <d v="2025-05-24T00:00:00"/>
    <s v="ACTIVE"/>
    <m/>
    <m/>
    <m/>
    <m/>
  </r>
  <r>
    <n v="30"/>
    <s v="Donor_078"/>
    <d v="2024-10-15T00:00:00"/>
    <s v="South"/>
    <s v="EmergencyFoodBank"/>
    <m/>
    <n v="4407"/>
    <s v="Bank Transfer"/>
    <x v="12"/>
    <d v="2025-03-13T00:00:00"/>
    <s v="LAPSED"/>
    <m/>
    <m/>
    <m/>
    <m/>
  </r>
  <r>
    <n v="170"/>
    <s v="Donor_031"/>
    <d v="2024-11-22T00:00:00"/>
    <s v="West"/>
    <s v="WinterMealDrive"/>
    <m/>
    <n v="2450"/>
    <s v="Credit Card"/>
    <x v="4"/>
    <d v="2025-05-17T00:00:00"/>
    <s v="ACTIVE"/>
    <m/>
    <m/>
    <m/>
    <m/>
  </r>
  <r>
    <n v="1002"/>
    <s v="Donor_039"/>
    <d v="2024-06-15T00:00:00"/>
    <s v="West"/>
    <s v="FloodReliefMeals"/>
    <m/>
    <n v="1120"/>
    <s v="UPI"/>
    <x v="2"/>
    <d v="2025-04-25T00:00:00"/>
    <s v="ACTIVE"/>
    <m/>
    <m/>
    <m/>
    <m/>
  </r>
  <r>
    <n v="1205"/>
    <s v="Donor_100"/>
    <d v="2024-02-10T00:00:00"/>
    <s v="South"/>
    <s v="YearEndGiving"/>
    <m/>
    <n v="5909"/>
    <s v="Bank Transfer"/>
    <x v="14"/>
    <d v="2025-06-14T00:00:00"/>
    <s v="ACTIVE"/>
    <m/>
    <m/>
    <m/>
    <m/>
  </r>
  <r>
    <n v="101"/>
    <s v="Donor_039"/>
    <d v="2024-02-08T00:00:00"/>
    <s v="West"/>
    <s v="WinterMealDrive"/>
    <m/>
    <n v="894"/>
    <s v="Cheque"/>
    <x v="14"/>
    <d v="2025-04-25T00:00:00"/>
    <s v="ACTIVE"/>
    <m/>
    <m/>
    <m/>
    <m/>
  </r>
  <r>
    <n v="198"/>
    <s v="Donor_022"/>
    <d v="2024-06-02T00:00:00"/>
    <s v="East"/>
    <s v="YearEndGiving"/>
    <m/>
    <n v="254"/>
    <s v="Credit Card"/>
    <x v="2"/>
    <d v="2025-06-21T00:00:00"/>
    <s v="ACTIVE"/>
    <m/>
    <m/>
    <m/>
    <m/>
  </r>
  <r>
    <n v="496"/>
    <s v="Donor_098"/>
    <d v="2024-01-31T00:00:00"/>
    <s v="East"/>
    <s v="RamadanFeeding"/>
    <m/>
    <n v="691"/>
    <s v="Bank Transfer"/>
    <x v="10"/>
    <d v="2025-06-20T00:00:00"/>
    <s v="ACTIVE"/>
    <m/>
    <m/>
    <m/>
    <m/>
  </r>
  <r>
    <n v="648"/>
    <s v="Donor_104"/>
    <d v="2024-04-10T00:00:00"/>
    <s v="West"/>
    <s v="WinterMealDrive"/>
    <m/>
    <n v="1869"/>
    <s v="Cheque"/>
    <x v="3"/>
    <d v="2025-05-08T00:00:00"/>
    <s v="ACTIVE"/>
    <m/>
    <m/>
    <m/>
    <m/>
  </r>
  <r>
    <n v="988"/>
    <s v="Donor_043"/>
    <d v="2025-06-04T00:00:00"/>
    <s v="North"/>
    <s v="RamadanFeeding"/>
    <m/>
    <n v="2370"/>
    <s v="UPI"/>
    <x v="16"/>
    <d v="2025-06-13T00:00:00"/>
    <s v="ACTIVE"/>
    <m/>
    <m/>
    <m/>
    <m/>
  </r>
  <r>
    <n v="45"/>
    <s v="Donor_092"/>
    <d v="2024-07-18T00:00:00"/>
    <s v="West"/>
    <s v="RamadanFeeding"/>
    <m/>
    <n v="673"/>
    <s v="UPI"/>
    <x v="5"/>
    <d v="2025-05-07T00:00:00"/>
    <s v="ACTIVE"/>
    <m/>
    <m/>
    <m/>
    <m/>
  </r>
  <r>
    <n v="1745"/>
    <s v="Donor_030"/>
    <d v="2024-10-27T00:00:00"/>
    <s v="South"/>
    <s v="YearEndGiving"/>
    <m/>
    <n v="9873"/>
    <s v="Cheque"/>
    <x v="12"/>
    <d v="2025-05-25T00:00:00"/>
    <s v="ACTIVE"/>
    <m/>
    <m/>
    <m/>
    <m/>
  </r>
  <r>
    <n v="711"/>
    <s v="Donor_014"/>
    <d v="2025-06-03T00:00:00"/>
    <s v="South"/>
    <s v="EmergencyFoodBank"/>
    <m/>
    <n v="1148"/>
    <s v="Bank Transfer"/>
    <x v="16"/>
    <d v="2025-06-03T00:00:00"/>
    <s v="ACTIVE"/>
    <m/>
    <m/>
    <m/>
    <m/>
  </r>
  <r>
    <n v="374"/>
    <s v="Donor_113"/>
    <d v="2024-10-19T00:00:00"/>
    <s v="West"/>
    <s v="WinterMealDrive"/>
    <m/>
    <n v="8426"/>
    <s v="Cash"/>
    <x v="12"/>
    <d v="2025-04-17T00:00:00"/>
    <s v="ACTIVE"/>
    <m/>
    <m/>
    <m/>
    <m/>
  </r>
  <r>
    <n v="679"/>
    <s v="Donor_112"/>
    <d v="2025-05-26T00:00:00"/>
    <s v="East"/>
    <s v="EmergencyFoodBank"/>
    <m/>
    <n v="5852"/>
    <s v="Bank Transfer"/>
    <x v="11"/>
    <d v="2025-05-26T00:00:00"/>
    <s v="ACTIVE"/>
    <m/>
    <m/>
    <m/>
    <m/>
  </r>
  <r>
    <n v="567"/>
    <s v="Donor_020"/>
    <d v="2025-05-24T00:00:00"/>
    <s v="North"/>
    <s v="WinterMealDrive"/>
    <m/>
    <n v="680"/>
    <s v="Bank Transfer"/>
    <x v="11"/>
    <d v="2025-05-31T00:00:00"/>
    <s v="ACTIVE"/>
    <m/>
    <m/>
    <m/>
    <m/>
  </r>
  <r>
    <n v="1673"/>
    <s v="Donor_093"/>
    <d v="2024-09-11T00:00:00"/>
    <s v="East"/>
    <s v="YearEndGiving"/>
    <m/>
    <n v="608"/>
    <s v="Cash"/>
    <x v="0"/>
    <d v="2025-03-24T00:00:00"/>
    <s v="LAPSED"/>
    <m/>
    <m/>
    <m/>
    <m/>
  </r>
  <r>
    <n v="848"/>
    <s v="Donor_090"/>
    <d v="2024-07-18T00:00:00"/>
    <s v="Central"/>
    <s v="RamadanFeeding"/>
    <m/>
    <n v="852"/>
    <s v="Cheque"/>
    <x v="5"/>
    <d v="2025-04-25T00:00:00"/>
    <s v="ACTIVE"/>
    <m/>
    <m/>
    <m/>
    <m/>
  </r>
  <r>
    <n v="461"/>
    <s v="Donor_104"/>
    <d v="2024-12-21T00:00:00"/>
    <s v="West"/>
    <s v="EmergencyFoodBank"/>
    <m/>
    <n v="1617"/>
    <s v="Cash"/>
    <x v="9"/>
    <d v="2025-05-08T00:00:00"/>
    <s v="ACTIVE"/>
    <m/>
    <m/>
    <m/>
    <m/>
  </r>
  <r>
    <n v="1438"/>
    <s v="Donor_119"/>
    <d v="2025-05-18T00:00:00"/>
    <s v="West"/>
    <s v="YearEndGiving"/>
    <m/>
    <n v="1924"/>
    <s v="Credit Card"/>
    <x v="11"/>
    <d v="2025-05-18T00:00:00"/>
    <s v="ACTIVE"/>
    <m/>
    <m/>
    <m/>
    <m/>
  </r>
  <r>
    <n v="1156"/>
    <s v="Donor_020"/>
    <d v="2024-01-31T00:00:00"/>
    <s v="Central"/>
    <s v="YearEndGiving"/>
    <m/>
    <n v="1575"/>
    <s v="Cheque"/>
    <x v="10"/>
    <d v="2025-05-31T00:00:00"/>
    <s v="ACTIVE"/>
    <m/>
    <m/>
    <m/>
    <m/>
  </r>
  <r>
    <n v="40"/>
    <s v="Donor_009"/>
    <d v="2025-03-17T00:00:00"/>
    <s v="East"/>
    <s v="YearEndGiving"/>
    <m/>
    <n v="5327"/>
    <s v="UPI"/>
    <x v="6"/>
    <d v="2025-05-15T00:00:00"/>
    <s v="ACTIVE"/>
    <m/>
    <m/>
    <m/>
    <m/>
  </r>
  <r>
    <n v="435"/>
    <s v="Donor_047"/>
    <d v="2025-01-16T00:00:00"/>
    <s v="West"/>
    <s v="FloodReliefMeals"/>
    <m/>
    <n v="262"/>
    <s v="Credit Card"/>
    <x v="7"/>
    <d v="2025-05-04T00:00:00"/>
    <s v="ACTIVE"/>
    <m/>
    <m/>
    <m/>
    <m/>
  </r>
  <r>
    <n v="974"/>
    <s v="Donor_054"/>
    <d v="2024-10-08T00:00:00"/>
    <s v="NOT KNOWN"/>
    <s v="WinterMealDrive"/>
    <m/>
    <n v="261"/>
    <s v="Bank Transfer"/>
    <x v="12"/>
    <d v="2025-06-18T00:00:00"/>
    <s v="ACTIVE"/>
    <m/>
    <m/>
    <m/>
    <m/>
  </r>
  <r>
    <n v="1240"/>
    <s v="Donor_074"/>
    <d v="2024-04-10T00:00:00"/>
    <s v="North"/>
    <s v="WinterMealDrive"/>
    <m/>
    <n v="1889"/>
    <s v="Cheque"/>
    <x v="3"/>
    <d v="2025-06-18T00:00:00"/>
    <s v="ACTIVE"/>
    <m/>
    <m/>
    <m/>
    <m/>
  </r>
  <r>
    <n v="1008"/>
    <s v="Donor_013"/>
    <d v="2025-03-23T00:00:00"/>
    <s v="South"/>
    <s v="YearEndGiving"/>
    <m/>
    <n v="323"/>
    <s v="Cheque"/>
    <x v="6"/>
    <d v="2025-04-28T00:00:00"/>
    <s v="ACTIVE"/>
    <m/>
    <m/>
    <m/>
    <m/>
  </r>
  <r>
    <n v="1580"/>
    <s v="Donor_042"/>
    <d v="2024-05-22T00:00:00"/>
    <s v="Central"/>
    <s v="RamadanFeeding"/>
    <m/>
    <n v="331"/>
    <s v="UPI"/>
    <x v="15"/>
    <d v="2025-02-10T00:00:00"/>
    <s v="LAPSED"/>
    <m/>
    <m/>
    <m/>
    <m/>
  </r>
  <r>
    <n v="1591"/>
    <s v="Donor_082"/>
    <d v="2024-07-09T00:00:00"/>
    <s v="South"/>
    <s v="EmergencyFoodBank"/>
    <m/>
    <n v="1610"/>
    <s v="Cheque"/>
    <x v="5"/>
    <d v="2025-06-02T00:00:00"/>
    <s v="ACTIVE"/>
    <m/>
    <m/>
    <m/>
    <m/>
  </r>
  <r>
    <n v="1499"/>
    <s v="Donor_081"/>
    <d v="2024-04-09T00:00:00"/>
    <s v="Central"/>
    <s v="WinterMealDrive"/>
    <m/>
    <n v="2193"/>
    <s v="Credit Card"/>
    <x v="3"/>
    <d v="2025-06-07T00:00:00"/>
    <s v="ACTIVE"/>
    <m/>
    <m/>
    <m/>
    <m/>
  </r>
  <r>
    <n v="457"/>
    <s v="Donor_016"/>
    <d v="2025-06-17T00:00:00"/>
    <s v="East"/>
    <s v="RamadanFeeding"/>
    <m/>
    <n v="2199"/>
    <s v="UPI"/>
    <x v="16"/>
    <d v="2025-06-17T00:00:00"/>
    <s v="ACTIVE"/>
    <m/>
    <m/>
    <m/>
    <m/>
  </r>
  <r>
    <n v="261"/>
    <s v="Donor_094"/>
    <d v="2024-04-05T00:00:00"/>
    <s v="West"/>
    <s v="EmergencyFoodBank"/>
    <m/>
    <n v="5700"/>
    <s v="Cheque"/>
    <x v="3"/>
    <d v="2025-06-19T00:00:00"/>
    <s v="ACTIVE"/>
    <m/>
    <m/>
    <m/>
    <m/>
  </r>
  <r>
    <n v="36"/>
    <s v="Donor_045"/>
    <d v="2025-04-16T00:00:00"/>
    <s v="East"/>
    <s v="SchoolLunchFund"/>
    <m/>
    <n v="1619"/>
    <s v="Credit Card"/>
    <x v="17"/>
    <d v="2025-05-11T00:00:00"/>
    <s v="ACTIVE"/>
    <m/>
    <m/>
    <m/>
    <m/>
  </r>
  <r>
    <n v="828"/>
    <s v="Donor_116"/>
    <d v="2024-09-22T00:00:00"/>
    <s v="West"/>
    <s v="RamadanFeeding"/>
    <m/>
    <n v="1147"/>
    <s v="Credit Card"/>
    <x v="0"/>
    <d v="2025-06-11T00:00:00"/>
    <s v="ACTIVE"/>
    <m/>
    <m/>
    <m/>
    <m/>
  </r>
  <r>
    <n v="310"/>
    <s v="Donor_050"/>
    <d v="2024-02-19T00:00:00"/>
    <s v="West"/>
    <s v="EmergencyFoodBank"/>
    <m/>
    <n v="891"/>
    <s v="Cash"/>
    <x v="14"/>
    <d v="2025-06-18T00:00:00"/>
    <s v="ACTIVE"/>
    <m/>
    <m/>
    <m/>
    <m/>
  </r>
  <r>
    <n v="277"/>
    <s v="Donor_015"/>
    <d v="2025-03-20T00:00:00"/>
    <s v="West"/>
    <s v="YearEndGiving"/>
    <m/>
    <n v="462"/>
    <s v="Credit Card"/>
    <x v="6"/>
    <d v="2025-05-02T00:00:00"/>
    <s v="ACTIVE"/>
    <m/>
    <m/>
    <m/>
    <m/>
  </r>
  <r>
    <n v="637"/>
    <s v="Donor_093"/>
    <d v="2025-03-10T00:00:00"/>
    <s v="West"/>
    <s v="FloodReliefMeals"/>
    <m/>
    <n v="2756"/>
    <s v="Cash"/>
    <x v="6"/>
    <d v="2025-03-24T00:00:00"/>
    <s v="LAPSED"/>
    <m/>
    <m/>
    <m/>
    <m/>
  </r>
  <r>
    <n v="655"/>
    <s v="Donor_033"/>
    <d v="2024-06-13T00:00:00"/>
    <s v="Central"/>
    <s v="SchoolLunchFund"/>
    <m/>
    <n v="672"/>
    <s v="Credit Card"/>
    <x v="2"/>
    <d v="2025-06-21T00:00:00"/>
    <s v="ACTIVE"/>
    <m/>
    <m/>
    <m/>
    <m/>
  </r>
  <r>
    <n v="623"/>
    <s v="Donor_118"/>
    <d v="2024-12-14T00:00:00"/>
    <s v="South"/>
    <s v="WinterMealDrive"/>
    <m/>
    <n v="1724"/>
    <s v="Credit Card"/>
    <x v="9"/>
    <d v="2025-04-19T00:00:00"/>
    <s v="ACTIVE"/>
    <m/>
    <m/>
    <m/>
    <m/>
  </r>
  <r>
    <n v="845"/>
    <s v="Donor_081"/>
    <d v="2025-05-04T00:00:00"/>
    <s v="South"/>
    <s v="RamadanFeeding"/>
    <m/>
    <n v="2704"/>
    <s v="Cash"/>
    <x v="11"/>
    <d v="2025-06-07T00:00:00"/>
    <s v="ACTIVE"/>
    <m/>
    <m/>
    <m/>
    <m/>
  </r>
  <r>
    <n v="394"/>
    <s v="Donor_043"/>
    <d v="2025-05-13T00:00:00"/>
    <s v="East"/>
    <s v="SchoolLunchFund"/>
    <m/>
    <n v="1680"/>
    <s v="Cheque"/>
    <x v="11"/>
    <d v="2025-06-13T00:00:00"/>
    <s v="ACTIVE"/>
    <m/>
    <m/>
    <m/>
    <m/>
  </r>
  <r>
    <n v="108"/>
    <s v="Donor_058"/>
    <d v="2024-04-21T00:00:00"/>
    <s v="Central"/>
    <s v="SchoolLunchFund"/>
    <m/>
    <n v="545"/>
    <s v="Cheque"/>
    <x v="3"/>
    <d v="2025-06-22T00:00:00"/>
    <s v="ACTIVE"/>
    <m/>
    <m/>
    <m/>
    <m/>
  </r>
  <r>
    <n v="350"/>
    <s v="Donor_085"/>
    <d v="2024-04-13T00:00:00"/>
    <s v="Central"/>
    <s v="FloodReliefMeals"/>
    <m/>
    <n v="1451"/>
    <s v="UPI"/>
    <x v="3"/>
    <d v="2025-06-22T00:00:00"/>
    <s v="ACTIVE"/>
    <m/>
    <m/>
    <m/>
    <m/>
  </r>
  <r>
    <n v="525"/>
    <s v="Donor_116"/>
    <d v="2025-05-09T00:00:00"/>
    <s v="Central"/>
    <s v="SchoolLunchFund"/>
    <m/>
    <n v="1872"/>
    <s v="Cash"/>
    <x v="11"/>
    <d v="2025-06-11T00:00:00"/>
    <s v="ACTIVE"/>
    <m/>
    <m/>
    <m/>
    <m/>
  </r>
  <r>
    <n v="785"/>
    <s v="Donor_044"/>
    <d v="2025-04-17T00:00:00"/>
    <s v="North"/>
    <s v="FloodReliefMeals"/>
    <m/>
    <n v="1943"/>
    <s v="Cash"/>
    <x v="17"/>
    <d v="2025-05-05T00:00:00"/>
    <s v="ACTIVE"/>
    <m/>
    <m/>
    <m/>
    <m/>
  </r>
  <r>
    <n v="48"/>
    <s v="Donor_108"/>
    <d v="2024-09-10T00:00:00"/>
    <s v="East"/>
    <s v="YearEndGiving"/>
    <m/>
    <n v="315"/>
    <s v="Bank Transfer"/>
    <x v="0"/>
    <d v="2025-05-21T00:00:00"/>
    <s v="ACTIVE"/>
    <m/>
    <m/>
    <m/>
    <m/>
  </r>
  <r>
    <n v="204"/>
    <s v="Donor_106"/>
    <d v="2025-01-23T00:00:00"/>
    <s v="South"/>
    <s v="SchoolLunchFund"/>
    <m/>
    <n v="282"/>
    <s v="Bank Transfer"/>
    <x v="7"/>
    <d v="2025-06-11T00:00:00"/>
    <s v="ACTIVE"/>
    <m/>
    <m/>
    <m/>
    <m/>
  </r>
  <r>
    <n v="1656"/>
    <s v="Donor_074"/>
    <d v="2024-10-03T00:00:00"/>
    <s v="North"/>
    <s v="FloodReliefMeals"/>
    <m/>
    <n v="2134"/>
    <s v="UPI"/>
    <x v="12"/>
    <d v="2025-06-18T00:00:00"/>
    <s v="ACTIVE"/>
    <m/>
    <m/>
    <m/>
    <m/>
  </r>
  <r>
    <n v="22"/>
    <s v="Donor_119"/>
    <d v="2024-04-05T00:00:00"/>
    <s v="NOT KNOWN"/>
    <s v="SchoolLunchFund"/>
    <m/>
    <n v="746"/>
    <s v="Credit Card"/>
    <x v="3"/>
    <d v="2025-05-18T00:00:00"/>
    <s v="ACTIVE"/>
    <m/>
    <m/>
    <m/>
    <m/>
  </r>
  <r>
    <n v="403"/>
    <s v="Donor_075"/>
    <d v="2024-09-26T00:00:00"/>
    <s v="Central"/>
    <s v="YearEndGiving"/>
    <m/>
    <n v="1426"/>
    <s v="Cash"/>
    <x v="0"/>
    <d v="2025-04-29T00:00:00"/>
    <s v="ACTIVE"/>
    <m/>
    <m/>
    <m/>
    <m/>
  </r>
  <r>
    <n v="1108"/>
    <s v="Donor_042"/>
    <d v="2024-01-01T00:00:00"/>
    <s v="North"/>
    <s v="WinterMealDrive"/>
    <m/>
    <n v="1507"/>
    <s v="Cash"/>
    <x v="10"/>
    <d v="2025-02-10T00:00:00"/>
    <s v="LAPSED"/>
    <m/>
    <m/>
    <m/>
    <m/>
  </r>
  <r>
    <n v="1155"/>
    <s v="Donor_081"/>
    <d v="2024-03-21T00:00:00"/>
    <s v="West"/>
    <s v="YearEndGiving"/>
    <m/>
    <n v="4166"/>
    <s v="Cheque"/>
    <x v="8"/>
    <d v="2025-06-07T00:00:00"/>
    <s v="ACTIVE"/>
    <m/>
    <m/>
    <m/>
    <m/>
  </r>
  <r>
    <n v="1440"/>
    <s v="Donor_007"/>
    <d v="2024-06-04T00:00:00"/>
    <s v="North"/>
    <s v="RamadanFeeding"/>
    <m/>
    <n v="1220"/>
    <s v="Bank Transfer"/>
    <x v="2"/>
    <d v="2025-06-21T00:00:00"/>
    <s v="ACTIVE"/>
    <m/>
    <m/>
    <m/>
    <m/>
  </r>
  <r>
    <n v="990"/>
    <s v="Donor_015"/>
    <d v="2024-08-12T00:00:00"/>
    <s v="North"/>
    <s v="WinterMealDrive"/>
    <m/>
    <n v="2239"/>
    <s v="Cheque"/>
    <x v="1"/>
    <d v="2025-05-02T00:00:00"/>
    <s v="ACTIVE"/>
    <m/>
    <m/>
    <m/>
    <m/>
  </r>
  <r>
    <n v="742"/>
    <s v="Donor_117"/>
    <d v="2025-03-09T00:00:00"/>
    <s v="Central"/>
    <s v="RamadanFeeding"/>
    <m/>
    <n v="400"/>
    <s v="Cash"/>
    <x v="6"/>
    <d v="2025-04-05T00:00:00"/>
    <s v="ACTIVE"/>
    <m/>
    <m/>
    <m/>
    <m/>
  </r>
  <r>
    <n v="1722"/>
    <s v="Donor_025"/>
    <d v="2024-05-21T00:00:00"/>
    <s v="NOT KNOWN"/>
    <s v="FloodReliefMeals"/>
    <m/>
    <n v="860"/>
    <s v="Cheque"/>
    <x v="15"/>
    <d v="2025-06-07T00:00:00"/>
    <s v="ACTIVE"/>
    <m/>
    <m/>
    <m/>
    <m/>
  </r>
  <r>
    <n v="1311"/>
    <s v="Donor_111"/>
    <d v="2024-11-22T00:00:00"/>
    <s v="Central"/>
    <s v="WinterMealDrive"/>
    <m/>
    <n v="562"/>
    <s v="UPI"/>
    <x v="4"/>
    <d v="2025-04-26T00:00:00"/>
    <s v="ACTIVE"/>
    <m/>
    <m/>
    <m/>
    <m/>
  </r>
  <r>
    <n v="1148"/>
    <s v="Donor_049"/>
    <d v="2024-04-13T00:00:00"/>
    <s v="Central"/>
    <s v="EmergencyFoodBank"/>
    <m/>
    <n v="935"/>
    <s v="Bank Transfer"/>
    <x v="3"/>
    <d v="2025-06-19T00:00:00"/>
    <s v="ACTIVE"/>
    <m/>
    <m/>
    <m/>
    <m/>
  </r>
  <r>
    <n v="34"/>
    <s v="Donor_080"/>
    <d v="2025-02-20T00:00:00"/>
    <s v="South"/>
    <s v="SchoolLunchFund"/>
    <m/>
    <n v="1786"/>
    <s v="Credit Card"/>
    <x v="13"/>
    <d v="2025-05-11T00:00:00"/>
    <s v="ACTIVE"/>
    <m/>
    <m/>
    <m/>
    <m/>
  </r>
  <r>
    <n v="788"/>
    <s v="Donor_049"/>
    <d v="2025-02-04T00:00:00"/>
    <s v="South"/>
    <s v="RamadanFeeding"/>
    <m/>
    <n v="1014"/>
    <s v="Credit Card"/>
    <x v="13"/>
    <d v="2025-06-19T00:00:00"/>
    <s v="ACTIVE"/>
    <m/>
    <m/>
    <m/>
    <m/>
  </r>
  <r>
    <n v="1541"/>
    <s v="Donor_015"/>
    <d v="2024-04-08T00:00:00"/>
    <s v="South"/>
    <s v="RamadanFeeding"/>
    <m/>
    <n v="588"/>
    <s v="Credit Card"/>
    <x v="3"/>
    <d v="2025-05-02T00:00:00"/>
    <s v="ACTIVE"/>
    <m/>
    <m/>
    <m/>
    <m/>
  </r>
  <r>
    <n v="924"/>
    <s v="Donor_055"/>
    <d v="2024-08-20T00:00:00"/>
    <s v="South"/>
    <s v="FloodReliefMeals"/>
    <m/>
    <n v="1009"/>
    <s v="Credit Card"/>
    <x v="1"/>
    <d v="2025-05-11T00:00:00"/>
    <s v="ACTIVE"/>
    <m/>
    <m/>
    <m/>
    <m/>
  </r>
  <r>
    <n v="1044"/>
    <s v="Donor_039"/>
    <d v="2025-01-28T00:00:00"/>
    <s v="North"/>
    <s v="WinterMealDrive"/>
    <m/>
    <n v="2855"/>
    <s v="Cash"/>
    <x v="7"/>
    <d v="2025-04-25T00:00:00"/>
    <s v="ACTIVE"/>
    <m/>
    <m/>
    <m/>
    <m/>
  </r>
  <r>
    <n v="1742"/>
    <s v="Donor_001"/>
    <d v="2025-01-15T00:00:00"/>
    <s v="Central"/>
    <s v="SchoolLunchFund"/>
    <m/>
    <n v="346"/>
    <s v="UPI"/>
    <x v="7"/>
    <d v="2025-05-18T00:00:00"/>
    <s v="ACTIVE"/>
    <m/>
    <m/>
    <m/>
    <m/>
  </r>
  <r>
    <n v="1244"/>
    <s v="Donor_027"/>
    <d v="2024-06-13T00:00:00"/>
    <s v="Central"/>
    <s v="YearEndGiving"/>
    <m/>
    <n v="5481"/>
    <s v="Bank Transfer"/>
    <x v="2"/>
    <d v="2025-06-06T00:00:00"/>
    <s v="ACTIVE"/>
    <m/>
    <m/>
    <m/>
    <m/>
  </r>
  <r>
    <n v="580"/>
    <s v="Donor_031"/>
    <d v="2025-02-25T00:00:00"/>
    <s v="South"/>
    <s v="YearEndGiving"/>
    <m/>
    <n v="519"/>
    <s v="Cash"/>
    <x v="13"/>
    <d v="2025-05-17T00:00:00"/>
    <s v="ACTIVE"/>
    <m/>
    <m/>
    <m/>
    <m/>
  </r>
  <r>
    <n v="482"/>
    <s v="Donor_051"/>
    <d v="2025-05-14T00:00:00"/>
    <s v="Central"/>
    <s v="SchoolLunchFund"/>
    <m/>
    <n v="10464"/>
    <s v="Cheque"/>
    <x v="11"/>
    <d v="2025-06-11T00:00:00"/>
    <s v="ACTIVE"/>
    <m/>
    <m/>
    <m/>
    <m/>
  </r>
  <r>
    <n v="932"/>
    <s v="Donor_120"/>
    <d v="2025-06-19T00:00:00"/>
    <s v="East"/>
    <s v="RamadanFeeding"/>
    <m/>
    <n v="1403"/>
    <s v="Bank Transfer"/>
    <x v="16"/>
    <d v="2025-06-19T00:00:00"/>
    <s v="ACTIVE"/>
    <m/>
    <m/>
    <m/>
    <m/>
  </r>
  <r>
    <n v="357"/>
    <s v="Donor_015"/>
    <d v="2024-06-19T00:00:00"/>
    <s v="South"/>
    <s v="EmergencyFoodBank"/>
    <m/>
    <n v="596"/>
    <s v="Credit Card"/>
    <x v="2"/>
    <d v="2025-05-02T00:00:00"/>
    <s v="ACTIVE"/>
    <m/>
    <m/>
    <m/>
    <m/>
  </r>
  <r>
    <n v="1686"/>
    <s v="Donor_076"/>
    <d v="2024-12-14T00:00:00"/>
    <s v="East"/>
    <s v="FloodReliefMeals"/>
    <m/>
    <n v="422"/>
    <s v="Cheque"/>
    <x v="9"/>
    <d v="2025-06-08T00:00:00"/>
    <s v="ACTIVE"/>
    <m/>
    <m/>
    <m/>
    <m/>
  </r>
  <r>
    <n v="1249"/>
    <s v="Donor_069"/>
    <d v="2024-12-14T00:00:00"/>
    <s v="East"/>
    <s v="RamadanFeeding"/>
    <m/>
    <n v="1753"/>
    <s v="UPI"/>
    <x v="9"/>
    <d v="2025-06-13T00:00:00"/>
    <s v="ACTIVE"/>
    <m/>
    <m/>
    <m/>
    <m/>
  </r>
  <r>
    <n v="760"/>
    <s v="Donor_072"/>
    <d v="2024-02-27T00:00:00"/>
    <s v="North"/>
    <s v="FloodReliefMeals"/>
    <m/>
    <n v="721"/>
    <s v="Cheque"/>
    <x v="14"/>
    <d v="2025-04-13T00:00:00"/>
    <s v="ACTIVE"/>
    <m/>
    <m/>
    <m/>
    <m/>
  </r>
  <r>
    <n v="93"/>
    <s v="Donor_014"/>
    <d v="2025-05-09T00:00:00"/>
    <s v="NOT KNOWN"/>
    <s v="RamadanFeeding"/>
    <m/>
    <n v="5150"/>
    <s v="Bank Transfer"/>
    <x v="11"/>
    <d v="2025-06-03T00:00:00"/>
    <s v="ACTIVE"/>
    <m/>
    <m/>
    <m/>
    <m/>
  </r>
  <r>
    <n v="1176"/>
    <s v="Donor_020"/>
    <d v="2024-08-17T00:00:00"/>
    <s v="NOT KNOWN"/>
    <s v="YearEndGiving"/>
    <m/>
    <n v="1060"/>
    <s v="Bank Transfer"/>
    <x v="1"/>
    <d v="2025-05-31T00:00:00"/>
    <s v="ACTIVE"/>
    <m/>
    <m/>
    <m/>
    <m/>
  </r>
  <r>
    <n v="1416"/>
    <s v="Donor_101"/>
    <d v="2024-09-08T00:00:00"/>
    <s v="North"/>
    <s v="FloodReliefMeals"/>
    <m/>
    <n v="1660"/>
    <s v="Cheque"/>
    <x v="0"/>
    <d v="2025-05-11T00:00:00"/>
    <s v="ACTIVE"/>
    <m/>
    <m/>
    <m/>
    <m/>
  </r>
  <r>
    <n v="1342"/>
    <s v="Donor_097"/>
    <d v="2024-12-17T00:00:00"/>
    <s v="North"/>
    <s v="RamadanFeeding"/>
    <m/>
    <n v="764"/>
    <s v="Cheque"/>
    <x v="9"/>
    <d v="2025-06-04T00:00:00"/>
    <s v="ACTIVE"/>
    <m/>
    <m/>
    <m/>
    <m/>
  </r>
  <r>
    <n v="1473"/>
    <s v="Donor_040"/>
    <d v="2024-10-10T00:00:00"/>
    <s v="Central"/>
    <s v="YearEndGiving"/>
    <m/>
    <n v="1125"/>
    <s v="Cheque"/>
    <x v="12"/>
    <d v="2025-05-15T00:00:00"/>
    <s v="ACTIVE"/>
    <m/>
    <m/>
    <m/>
    <m/>
  </r>
  <r>
    <n v="804"/>
    <s v="Donor_113"/>
    <d v="2024-08-13T00:00:00"/>
    <s v="North"/>
    <s v="EmergencyFoodBank"/>
    <m/>
    <n v="1634"/>
    <s v="UPI"/>
    <x v="1"/>
    <d v="2025-04-17T00:00:00"/>
    <s v="ACTIVE"/>
    <m/>
    <m/>
    <m/>
    <m/>
  </r>
  <r>
    <n v="746"/>
    <s v="Donor_035"/>
    <d v="2025-04-08T00:00:00"/>
    <s v="South"/>
    <s v="EmergencyFoodBank"/>
    <m/>
    <n v="4683"/>
    <s v="Cash"/>
    <x v="17"/>
    <d v="2025-06-15T00:00:00"/>
    <s v="ACTIVE"/>
    <m/>
    <m/>
    <m/>
    <m/>
  </r>
  <r>
    <n v="1547"/>
    <s v="Donor_078"/>
    <d v="2024-01-19T00:00:00"/>
    <s v="North"/>
    <s v="YearEndGiving"/>
    <m/>
    <n v="5986"/>
    <s v="Cheque"/>
    <x v="10"/>
    <d v="2025-03-13T00:00:00"/>
    <s v="LAPSED"/>
    <m/>
    <m/>
    <m/>
    <m/>
  </r>
  <r>
    <n v="280"/>
    <s v="Donor_048"/>
    <d v="2024-06-19T00:00:00"/>
    <s v="South"/>
    <s v="FloodReliefMeals"/>
    <m/>
    <n v="1158"/>
    <s v="UPI"/>
    <x v="2"/>
    <d v="2025-06-08T00:00:00"/>
    <s v="ACTIVE"/>
    <m/>
    <m/>
    <m/>
    <m/>
  </r>
  <r>
    <n v="1608"/>
    <s v="Donor_072"/>
    <d v="2025-03-11T00:00:00"/>
    <s v="South"/>
    <s v="EmergencyFoodBank"/>
    <m/>
    <n v="914"/>
    <s v="Bank Transfer"/>
    <x v="6"/>
    <d v="2025-04-13T00:00:00"/>
    <s v="ACTIVE"/>
    <m/>
    <m/>
    <m/>
    <m/>
  </r>
  <r>
    <n v="765"/>
    <s v="Donor_002"/>
    <d v="2025-01-12T00:00:00"/>
    <s v="Central"/>
    <s v="YearEndGiving"/>
    <m/>
    <n v="1234"/>
    <s v="Cheque"/>
    <x v="7"/>
    <d v="2025-04-12T00:00:00"/>
    <s v="ACTIVE"/>
    <m/>
    <m/>
    <m/>
    <m/>
  </r>
  <r>
    <n v="605"/>
    <s v="Donor_019"/>
    <d v="2024-02-18T00:00:00"/>
    <s v="East"/>
    <s v="FloodReliefMeals"/>
    <m/>
    <n v="355"/>
    <s v="Cheque"/>
    <x v="14"/>
    <d v="2025-05-28T00:00:00"/>
    <s v="ACTIVE"/>
    <m/>
    <m/>
    <m/>
    <m/>
  </r>
  <r>
    <n v="1793"/>
    <s v="Donor_059"/>
    <d v="2025-02-06T00:00:00"/>
    <s v="North"/>
    <s v="RamadanFeeding"/>
    <m/>
    <n v="2160"/>
    <s v="Credit Card"/>
    <x v="13"/>
    <d v="2025-06-16T00:00:00"/>
    <s v="ACTIVE"/>
    <m/>
    <m/>
    <m/>
    <m/>
  </r>
  <r>
    <n v="1374"/>
    <s v="Donor_049"/>
    <d v="2025-04-10T00:00:00"/>
    <s v="East"/>
    <s v="SchoolLunchFund"/>
    <m/>
    <n v="244"/>
    <s v="Bank Transfer"/>
    <x v="17"/>
    <d v="2025-06-19T00:00:00"/>
    <s v="ACTIVE"/>
    <m/>
    <m/>
    <m/>
    <m/>
  </r>
  <r>
    <n v="1399"/>
    <s v="Donor_055"/>
    <d v="2024-02-22T00:00:00"/>
    <s v="West"/>
    <s v="YearEndGiving"/>
    <m/>
    <n v="991"/>
    <s v="Cash"/>
    <x v="14"/>
    <d v="2025-05-11T00:00:00"/>
    <s v="ACTIVE"/>
    <m/>
    <m/>
    <m/>
    <m/>
  </r>
  <r>
    <n v="401"/>
    <s v="Donor_046"/>
    <d v="2025-05-10T00:00:00"/>
    <s v="North"/>
    <s v="SchoolLunchFund"/>
    <m/>
    <n v="268"/>
    <s v="Bank Transfer"/>
    <x v="11"/>
    <d v="2025-05-10T00:00:00"/>
    <s v="ACTIVE"/>
    <m/>
    <m/>
    <m/>
    <m/>
  </r>
  <r>
    <n v="1729"/>
    <s v="Donor_101"/>
    <d v="2025-05-11T00:00:00"/>
    <s v="Central"/>
    <s v="WinterMealDrive"/>
    <m/>
    <n v="4061"/>
    <s v="Cheque"/>
    <x v="11"/>
    <d v="2025-05-11T00:00:00"/>
    <s v="ACTIVE"/>
    <m/>
    <m/>
    <m/>
    <m/>
  </r>
  <r>
    <n v="258"/>
    <s v="Donor_074"/>
    <d v="2024-10-23T00:00:00"/>
    <s v="East"/>
    <s v="YearEndGiving"/>
    <m/>
    <n v="854"/>
    <s v="Cash"/>
    <x v="12"/>
    <d v="2025-06-18T00:00:00"/>
    <s v="ACTIVE"/>
    <m/>
    <m/>
    <m/>
    <m/>
  </r>
  <r>
    <n v="945"/>
    <s v="Donor_090"/>
    <d v="2024-06-13T00:00:00"/>
    <s v="West"/>
    <s v="FloodReliefMeals"/>
    <m/>
    <n v="847"/>
    <s v="Cheque"/>
    <x v="2"/>
    <d v="2025-04-25T00:00:00"/>
    <s v="ACTIVE"/>
    <m/>
    <m/>
    <m/>
    <m/>
  </r>
  <r>
    <n v="1097"/>
    <s v="Donor_035"/>
    <d v="2024-01-06T00:00:00"/>
    <s v="South"/>
    <s v="YearEndGiving"/>
    <m/>
    <n v="305"/>
    <s v="Bank Transfer"/>
    <x v="10"/>
    <d v="2025-06-15T00:00:00"/>
    <s v="ACTIVE"/>
    <m/>
    <m/>
    <m/>
    <m/>
  </r>
  <r>
    <n v="1220"/>
    <s v="Donor_043"/>
    <d v="2024-11-04T00:00:00"/>
    <s v="West"/>
    <s v="EmergencyFoodBank"/>
    <m/>
    <n v="10068"/>
    <s v="Bank Transfer"/>
    <x v="4"/>
    <d v="2025-06-13T00:00:00"/>
    <s v="ACTIVE"/>
    <m/>
    <m/>
    <m/>
    <m/>
  </r>
  <r>
    <n v="1508"/>
    <s v="Donor_110"/>
    <d v="2025-06-04T00:00:00"/>
    <s v="Central"/>
    <s v="YearEndGiving"/>
    <m/>
    <n v="897"/>
    <s v="Cheque"/>
    <x v="16"/>
    <d v="2025-06-04T00:00:00"/>
    <s v="ACTIVE"/>
    <m/>
    <m/>
    <m/>
    <m/>
  </r>
  <r>
    <n v="1162"/>
    <s v="Donor_003"/>
    <d v="2025-02-22T00:00:00"/>
    <s v="East"/>
    <s v="YearEndGiving"/>
    <m/>
    <n v="1733"/>
    <s v="Cash"/>
    <x v="13"/>
    <d v="2025-05-08T00:00:00"/>
    <s v="ACTIVE"/>
    <m/>
    <m/>
    <m/>
    <m/>
  </r>
  <r>
    <n v="495"/>
    <s v="Donor_084"/>
    <d v="2024-05-28T00:00:00"/>
    <s v="Central"/>
    <s v="SchoolLunchFund"/>
    <m/>
    <n v="4136"/>
    <s v="Cheque"/>
    <x v="15"/>
    <d v="2025-05-13T00:00:00"/>
    <s v="ACTIVE"/>
    <m/>
    <m/>
    <m/>
    <m/>
  </r>
  <r>
    <n v="773"/>
    <s v="Donor_113"/>
    <d v="2025-03-20T00:00:00"/>
    <s v="North"/>
    <s v="WinterMealDrive"/>
    <m/>
    <n v="1730"/>
    <s v="Credit Card"/>
    <x v="6"/>
    <d v="2025-04-17T00:00:00"/>
    <s v="ACTIVE"/>
    <m/>
    <m/>
    <m/>
    <m/>
  </r>
  <r>
    <n v="551"/>
    <s v="Donor_103"/>
    <d v="2024-12-27T00:00:00"/>
    <s v="East"/>
    <s v="FloodReliefMeals"/>
    <m/>
    <n v="1221"/>
    <s v="Cheque"/>
    <x v="9"/>
    <d v="2025-02-25T00:00:00"/>
    <s v="LAPSED"/>
    <m/>
    <m/>
    <m/>
    <m/>
  </r>
  <r>
    <n v="1487"/>
    <s v="Donor_035"/>
    <d v="2025-02-03T00:00:00"/>
    <s v="South"/>
    <s v="RamadanFeeding"/>
    <m/>
    <n v="1951"/>
    <s v="Credit Card"/>
    <x v="13"/>
    <d v="2025-06-15T00:00:00"/>
    <s v="ACTIVE"/>
    <m/>
    <m/>
    <m/>
    <m/>
  </r>
  <r>
    <n v="202"/>
    <s v="Donor_058"/>
    <d v="2025-01-26T00:00:00"/>
    <s v="West"/>
    <s v="RamadanFeeding"/>
    <m/>
    <n v="1073"/>
    <s v="Cheque"/>
    <x v="7"/>
    <d v="2025-06-22T00:00:00"/>
    <s v="ACTIVE"/>
    <m/>
    <m/>
    <m/>
    <m/>
  </r>
  <r>
    <n v="313"/>
    <s v="Donor_091"/>
    <d v="2025-05-09T00:00:00"/>
    <s v="North"/>
    <s v="RamadanFeeding"/>
    <m/>
    <n v="1564"/>
    <s v="Cash"/>
    <x v="11"/>
    <d v="2025-05-16T00:00:00"/>
    <s v="ACTIVE"/>
    <m/>
    <m/>
    <m/>
    <m/>
  </r>
  <r>
    <n v="291"/>
    <s v="Donor_034"/>
    <d v="2025-04-19T00:00:00"/>
    <s v="North"/>
    <s v="WinterMealDrive"/>
    <m/>
    <n v="1685"/>
    <s v="Bank Transfer"/>
    <x v="17"/>
    <d v="2025-06-21T00:00:00"/>
    <s v="ACTIVE"/>
    <m/>
    <m/>
    <m/>
    <m/>
  </r>
  <r>
    <n v="1214"/>
    <s v="Donor_047"/>
    <d v="2024-07-04T00:00:00"/>
    <s v="North"/>
    <s v="SchoolLunchFund"/>
    <m/>
    <n v="500"/>
    <s v="Bank Transfer"/>
    <x v="5"/>
    <d v="2025-05-04T00:00:00"/>
    <s v="ACTIVE"/>
    <m/>
    <m/>
    <m/>
    <m/>
  </r>
  <r>
    <n v="764"/>
    <s v="Donor_075"/>
    <d v="2024-11-15T00:00:00"/>
    <s v="West"/>
    <s v="YearEndGiving"/>
    <m/>
    <n v="4622"/>
    <s v="Cheque"/>
    <x v="4"/>
    <d v="2025-04-29T00:00:00"/>
    <s v="ACTIVE"/>
    <m/>
    <m/>
    <m/>
    <m/>
  </r>
  <r>
    <n v="1137"/>
    <s v="Donor_044"/>
    <d v="2025-01-05T00:00:00"/>
    <s v="Central"/>
    <s v="WinterMealDrive"/>
    <m/>
    <n v="874"/>
    <s v="Credit Card"/>
    <x v="7"/>
    <d v="2025-05-05T00:00:00"/>
    <s v="ACTIVE"/>
    <m/>
    <m/>
    <m/>
    <m/>
  </r>
  <r>
    <n v="950"/>
    <s v="Donor_015"/>
    <d v="2024-12-09T00:00:00"/>
    <s v="South"/>
    <s v="RamadanFeeding"/>
    <m/>
    <n v="712"/>
    <s v="Cheque"/>
    <x v="9"/>
    <d v="2025-05-02T00:00:00"/>
    <s v="ACTIVE"/>
    <m/>
    <m/>
    <m/>
    <m/>
  </r>
  <r>
    <n v="184"/>
    <s v="Donor_037"/>
    <d v="2024-10-07T00:00:00"/>
    <s v="North"/>
    <s v="YearEndGiving"/>
    <m/>
    <n v="9519"/>
    <s v="Cash"/>
    <x v="12"/>
    <d v="2025-05-23T00:00:00"/>
    <s v="ACTIVE"/>
    <m/>
    <m/>
    <m/>
    <m/>
  </r>
  <r>
    <n v="1177"/>
    <s v="Donor_115"/>
    <d v="2025-06-20T00:00:00"/>
    <s v="South"/>
    <s v="EmergencyFoodBank"/>
    <m/>
    <n v="1891"/>
    <s v="UPI"/>
    <x v="16"/>
    <d v="2025-06-20T00:00:00"/>
    <s v="ACTIVE"/>
    <m/>
    <m/>
    <m/>
    <m/>
  </r>
  <r>
    <n v="1350"/>
    <s v="Donor_107"/>
    <d v="2024-11-01T00:00:00"/>
    <s v="South"/>
    <s v="YearEndGiving"/>
    <m/>
    <n v="2361"/>
    <s v="UPI"/>
    <x v="4"/>
    <d v="2025-03-18T00:00:00"/>
    <s v="LAPSED"/>
    <m/>
    <m/>
    <m/>
    <m/>
  </r>
  <r>
    <n v="1728"/>
    <s v="Donor_068"/>
    <d v="2024-01-16T00:00:00"/>
    <s v="South"/>
    <s v="YearEndGiving"/>
    <m/>
    <n v="767"/>
    <s v="Cheque"/>
    <x v="10"/>
    <d v="2025-05-16T00:00:00"/>
    <s v="ACTIVE"/>
    <m/>
    <m/>
    <m/>
    <m/>
  </r>
  <r>
    <n v="1069"/>
    <s v="Donor_030"/>
    <d v="2024-04-09T00:00:00"/>
    <s v="East"/>
    <s v="RamadanFeeding"/>
    <m/>
    <n v="4097"/>
    <s v="Cheque"/>
    <x v="3"/>
    <d v="2025-05-25T00:00:00"/>
    <s v="ACTIVE"/>
    <m/>
    <m/>
    <m/>
    <m/>
  </r>
  <r>
    <n v="1469"/>
    <s v="Donor_032"/>
    <d v="2024-11-20T00:00:00"/>
    <s v="East"/>
    <s v="YearEndGiving"/>
    <m/>
    <n v="688"/>
    <s v="UPI"/>
    <x v="4"/>
    <d v="2025-04-29T00:00:00"/>
    <s v="ACTIVE"/>
    <m/>
    <m/>
    <m/>
    <m/>
  </r>
  <r>
    <n v="1031"/>
    <s v="Donor_009"/>
    <d v="2025-01-01T00:00:00"/>
    <s v="South"/>
    <s v="FloodReliefMeals"/>
    <m/>
    <n v="1014"/>
    <s v="Credit Card"/>
    <x v="7"/>
    <d v="2025-05-15T00:00:00"/>
    <s v="ACTIVE"/>
    <m/>
    <m/>
    <m/>
    <m/>
  </r>
  <r>
    <n v="251"/>
    <s v="Donor_072"/>
    <d v="2024-06-26T00:00:00"/>
    <s v="South"/>
    <s v="RamadanFeeding"/>
    <m/>
    <n v="2140"/>
    <s v="Bank Transfer"/>
    <x v="2"/>
    <d v="2025-04-13T00:00:00"/>
    <s v="ACTIVE"/>
    <m/>
    <m/>
    <m/>
    <m/>
  </r>
  <r>
    <n v="824"/>
    <s v="Donor_107"/>
    <d v="2024-06-18T00:00:00"/>
    <s v="West"/>
    <s v="FloodReliefMeals"/>
    <m/>
    <n v="2501"/>
    <s v="Cheque"/>
    <x v="2"/>
    <d v="2025-03-18T00:00:00"/>
    <s v="LAPSED"/>
    <m/>
    <m/>
    <m/>
    <m/>
  </r>
  <r>
    <n v="1100"/>
    <s v="Donor_016"/>
    <d v="2024-10-30T00:00:00"/>
    <s v="West"/>
    <s v="FloodReliefMeals"/>
    <m/>
    <n v="2522"/>
    <s v="Cheque"/>
    <x v="12"/>
    <d v="2025-06-17T00:00:00"/>
    <s v="ACTIVE"/>
    <m/>
    <m/>
    <m/>
    <m/>
  </r>
  <r>
    <n v="1537"/>
    <s v="Donor_014"/>
    <d v="2024-10-20T00:00:00"/>
    <s v="Central"/>
    <s v="FloodReliefMeals"/>
    <m/>
    <n v="1785"/>
    <s v="Cheque"/>
    <x v="12"/>
    <d v="2025-06-03T00:00:00"/>
    <s v="ACTIVE"/>
    <m/>
    <m/>
    <m/>
    <m/>
  </r>
  <r>
    <n v="941"/>
    <s v="Donor_015"/>
    <d v="2025-05-02T00:00:00"/>
    <s v="East"/>
    <s v="RamadanFeeding"/>
    <m/>
    <n v="509"/>
    <s v="Cash"/>
    <x v="11"/>
    <d v="2025-05-02T00:00:00"/>
    <s v="ACTIVE"/>
    <m/>
    <m/>
    <m/>
    <m/>
  </r>
  <r>
    <n v="392"/>
    <s v="Donor_040"/>
    <d v="2024-03-28T00:00:00"/>
    <s v="South"/>
    <s v="EmergencyFoodBank"/>
    <m/>
    <n v="4423"/>
    <s v="Cheque"/>
    <x v="8"/>
    <d v="2025-05-15T00:00:00"/>
    <s v="ACTIVE"/>
    <m/>
    <m/>
    <m/>
    <m/>
  </r>
  <r>
    <n v="1457"/>
    <s v="Donor_099"/>
    <d v="2024-11-09T00:00:00"/>
    <s v="Central"/>
    <s v="EmergencyFoodBank"/>
    <m/>
    <n v="499"/>
    <s v="Cheque"/>
    <x v="4"/>
    <d v="2025-05-30T00:00:00"/>
    <s v="ACTIVE"/>
    <m/>
    <m/>
    <m/>
    <m/>
  </r>
  <r>
    <n v="1093"/>
    <s v="Donor_049"/>
    <d v="2024-09-07T00:00:00"/>
    <s v="North"/>
    <s v="RamadanFeeding"/>
    <m/>
    <n v="885"/>
    <s v="Cheque"/>
    <x v="0"/>
    <d v="2025-06-19T00:00:00"/>
    <s v="ACTIVE"/>
    <m/>
    <m/>
    <m/>
    <m/>
  </r>
  <r>
    <n v="1192"/>
    <s v="Donor_080"/>
    <d v="2024-08-08T00:00:00"/>
    <s v="Central"/>
    <s v="RamadanFeeding"/>
    <m/>
    <n v="2107"/>
    <s v="Credit Card"/>
    <x v="1"/>
    <d v="2025-05-11T00:00:00"/>
    <s v="ACTIVE"/>
    <m/>
    <m/>
    <m/>
    <m/>
  </r>
  <r>
    <n v="905"/>
    <s v="Donor_009"/>
    <d v="2024-07-11T00:00:00"/>
    <s v="South"/>
    <s v="WinterMealDrive"/>
    <m/>
    <n v="674"/>
    <s v="Cash"/>
    <x v="5"/>
    <d v="2025-05-15T00:00:00"/>
    <s v="ACTIVE"/>
    <m/>
    <m/>
    <m/>
    <m/>
  </r>
  <r>
    <n v="731"/>
    <s v="Donor_098"/>
    <d v="2024-05-15T00:00:00"/>
    <s v="South"/>
    <s v="YearEndGiving"/>
    <m/>
    <n v="331"/>
    <s v="Cash"/>
    <x v="15"/>
    <d v="2025-06-20T00:00:00"/>
    <s v="ACTIVE"/>
    <m/>
    <m/>
    <m/>
    <m/>
  </r>
  <r>
    <n v="555"/>
    <s v="Donor_019"/>
    <d v="2024-03-27T00:00:00"/>
    <s v="Central"/>
    <s v="SchoolLunchFund"/>
    <m/>
    <n v="330"/>
    <s v="Cash"/>
    <x v="8"/>
    <d v="2025-05-28T00:00:00"/>
    <s v="ACTIVE"/>
    <m/>
    <m/>
    <m/>
    <m/>
  </r>
  <r>
    <n v="367"/>
    <s v="Donor_018"/>
    <d v="2025-05-19T00:00:00"/>
    <s v="West"/>
    <s v="WinterMealDrive"/>
    <m/>
    <n v="2611"/>
    <s v="Credit Card"/>
    <x v="11"/>
    <d v="2025-06-16T00:00:00"/>
    <s v="ACTIVE"/>
    <m/>
    <m/>
    <m/>
    <m/>
  </r>
  <r>
    <n v="346"/>
    <s v="Donor_059"/>
    <d v="2024-10-24T00:00:00"/>
    <s v="Central"/>
    <s v="YearEndGiving"/>
    <m/>
    <n v="9351"/>
    <s v="Credit Card"/>
    <x v="12"/>
    <d v="2025-06-16T00:00:00"/>
    <s v="ACTIVE"/>
    <m/>
    <m/>
    <m/>
    <m/>
  </r>
  <r>
    <n v="1609"/>
    <s v="Donor_019"/>
    <d v="2025-05-17T00:00:00"/>
    <s v="West"/>
    <s v="EmergencyFoodBank"/>
    <m/>
    <n v="1938"/>
    <s v="Cash"/>
    <x v="11"/>
    <d v="2025-05-28T00:00:00"/>
    <s v="ACTIVE"/>
    <m/>
    <m/>
    <m/>
    <m/>
  </r>
  <r>
    <n v="536"/>
    <s v="Donor_042"/>
    <d v="2024-04-19T00:00:00"/>
    <s v="Central"/>
    <s v="EmergencyFoodBank"/>
    <m/>
    <n v="1117"/>
    <s v="Cheque"/>
    <x v="3"/>
    <d v="2025-02-10T00:00:00"/>
    <s v="LAPSED"/>
    <m/>
    <m/>
    <m/>
    <m/>
  </r>
  <r>
    <n v="1423"/>
    <s v="Donor_063"/>
    <d v="2024-09-15T00:00:00"/>
    <s v="West"/>
    <s v="RamadanFeeding"/>
    <m/>
    <n v="285"/>
    <s v="Credit Card"/>
    <x v="0"/>
    <d v="2025-04-20T00:00:00"/>
    <s v="ACTIVE"/>
    <m/>
    <m/>
    <m/>
    <m/>
  </r>
  <r>
    <n v="1210"/>
    <s v="Donor_103"/>
    <d v="2025-01-24T00:00:00"/>
    <s v="West"/>
    <s v="RamadanFeeding"/>
    <m/>
    <n v="942"/>
    <s v="Bank Transfer"/>
    <x v="7"/>
    <d v="2025-02-25T00:00:00"/>
    <s v="LAPSED"/>
    <m/>
    <m/>
    <m/>
    <m/>
  </r>
  <r>
    <n v="1373"/>
    <s v="Donor_005"/>
    <d v="2025-01-24T00:00:00"/>
    <s v="West"/>
    <s v="WinterMealDrive"/>
    <m/>
    <n v="270"/>
    <s v="UPI"/>
    <x v="7"/>
    <d v="2025-06-10T00:00:00"/>
    <s v="ACTIVE"/>
    <m/>
    <m/>
    <m/>
    <m/>
  </r>
  <r>
    <n v="1640"/>
    <s v="Donor_109"/>
    <d v="2024-08-05T00:00:00"/>
    <s v="North"/>
    <s v="FloodReliefMeals"/>
    <m/>
    <n v="1155"/>
    <s v="Credit Card"/>
    <x v="1"/>
    <d v="2025-06-22T00:00:00"/>
    <s v="ACTIVE"/>
    <m/>
    <m/>
    <m/>
    <m/>
  </r>
  <r>
    <n v="920"/>
    <s v="Donor_048"/>
    <d v="2025-03-10T00:00:00"/>
    <s v="North"/>
    <s v="EmergencyFoodBank"/>
    <m/>
    <n v="1065"/>
    <s v="UPI"/>
    <x v="6"/>
    <d v="2025-06-08T00:00:00"/>
    <s v="ACTIVE"/>
    <m/>
    <m/>
    <m/>
    <m/>
  </r>
  <r>
    <n v="212"/>
    <s v="Donor_025"/>
    <d v="2024-03-15T00:00:00"/>
    <s v="NOT KNOWN"/>
    <s v="EmergencyFoodBank"/>
    <m/>
    <n v="8868"/>
    <s v="Credit Card"/>
    <x v="8"/>
    <d v="2025-06-07T00:00:00"/>
    <s v="ACTIVE"/>
    <m/>
    <m/>
    <m/>
    <m/>
  </r>
  <r>
    <n v="1604"/>
    <s v="Donor_066"/>
    <d v="2024-12-11T00:00:00"/>
    <s v="East"/>
    <s v="EmergencyFoodBank"/>
    <m/>
    <n v="2541"/>
    <s v="Bank Transfer"/>
    <x v="9"/>
    <d v="2025-03-22T00:00:00"/>
    <s v="LAPSED"/>
    <m/>
    <m/>
    <m/>
    <m/>
  </r>
  <r>
    <n v="503"/>
    <s v="Donor_038"/>
    <d v="2025-03-08T00:00:00"/>
    <s v="Central"/>
    <s v="WinterMealDrive"/>
    <m/>
    <n v="11615"/>
    <s v="Cash"/>
    <x v="6"/>
    <d v="2025-04-26T00:00:00"/>
    <s v="ACTIVE"/>
    <m/>
    <m/>
    <m/>
    <m/>
  </r>
  <r>
    <n v="538"/>
    <s v="Donor_023"/>
    <d v="2024-08-29T00:00:00"/>
    <s v="North"/>
    <s v="EmergencyFoodBank"/>
    <m/>
    <n v="254"/>
    <s v="Cheque"/>
    <x v="1"/>
    <d v="2025-05-24T00:00:00"/>
    <s v="ACTIVE"/>
    <m/>
    <m/>
    <m/>
    <m/>
  </r>
  <r>
    <n v="1221"/>
    <s v="Donor_096"/>
    <d v="2024-02-05T00:00:00"/>
    <s v="West"/>
    <s v="EmergencyFoodBank"/>
    <m/>
    <n v="559"/>
    <s v="Credit Card"/>
    <x v="14"/>
    <d v="2025-06-04T00:00:00"/>
    <s v="ACTIVE"/>
    <m/>
    <m/>
    <m/>
    <m/>
  </r>
  <r>
    <n v="176"/>
    <s v="Donor_065"/>
    <d v="2025-02-15T00:00:00"/>
    <s v="North"/>
    <s v="WinterMealDrive"/>
    <m/>
    <n v="427"/>
    <s v="Bank Transfer"/>
    <x v="13"/>
    <d v="2025-05-02T00:00:00"/>
    <s v="ACTIVE"/>
    <m/>
    <m/>
    <m/>
    <m/>
  </r>
  <r>
    <m/>
    <m/>
    <m/>
    <m/>
    <m/>
    <m/>
    <m/>
    <m/>
    <x v="18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n v="1566"/>
    <s v="Donor_003"/>
    <d v="2024-09-26T00:00:00"/>
    <s v="West"/>
    <x v="0"/>
    <m/>
    <n v="9051"/>
    <s v="Credit Card"/>
    <s v="2024-09"/>
    <d v="2025-05-08T00:00:00"/>
    <s v="ACTIVE"/>
    <m/>
    <s v="Donor_003"/>
    <s v="ACTIVE"/>
    <n v="33565"/>
  </r>
  <r>
    <n v="888"/>
    <s v="Donor_029"/>
    <d v="2024-08-24T00:00:00"/>
    <s v="East"/>
    <x v="1"/>
    <m/>
    <n v="247"/>
    <s v="Cash"/>
    <s v="2024-08"/>
    <d v="2025-06-05T00:00:00"/>
    <s v="ACTIVE"/>
    <d v="2025-06-23T00:00:00"/>
    <m/>
    <m/>
    <m/>
  </r>
  <r>
    <n v="38"/>
    <s v="Donor_005"/>
    <d v="2024-09-28T00:00:00"/>
    <s v="North"/>
    <x v="0"/>
    <m/>
    <n v="704"/>
    <s v="Bank Transfer"/>
    <s v="2024-09"/>
    <d v="2025-06-10T00:00:00"/>
    <s v="ACTIVE"/>
    <n v="765625"/>
    <m/>
    <m/>
    <m/>
  </r>
  <r>
    <n v="1503"/>
    <s v="Donor_035"/>
    <d v="2024-06-19T00:00:00"/>
    <s v="Central"/>
    <x v="2"/>
    <m/>
    <n v="11535"/>
    <s v="Cheque"/>
    <s v="2024-06"/>
    <d v="2025-06-15T00:00:00"/>
    <s v="ACTIVE"/>
    <n v="727161"/>
    <m/>
    <m/>
    <m/>
  </r>
  <r>
    <n v="288"/>
    <s v="Donor_065"/>
    <d v="2024-04-07T00:00:00"/>
    <s v="South"/>
    <x v="2"/>
    <m/>
    <n v="622"/>
    <s v="Cheque"/>
    <s v="2024-04"/>
    <d v="2025-05-02T00:00:00"/>
    <s v="ACTIVE"/>
    <n v="885899"/>
    <m/>
    <m/>
    <m/>
  </r>
  <r>
    <n v="708"/>
    <s v="Donor_023"/>
    <d v="2024-06-11T00:00:00"/>
    <s v="Central"/>
    <x v="3"/>
    <m/>
    <n v="935"/>
    <s v="UPI"/>
    <s v="2024-06"/>
    <d v="2025-05-24T00:00:00"/>
    <s v="ACTIVE"/>
    <n v="789822"/>
    <m/>
    <m/>
    <m/>
  </r>
  <r>
    <n v="128"/>
    <s v="Donor_020"/>
    <d v="2024-11-19T00:00:00"/>
    <s v="West"/>
    <x v="3"/>
    <m/>
    <n v="293"/>
    <s v="Bank Transfer"/>
    <s v="2024-11"/>
    <d v="2025-05-31T00:00:00"/>
    <s v="ACTIVE"/>
    <n v="802130"/>
    <m/>
    <m/>
    <m/>
  </r>
  <r>
    <n v="1678"/>
    <s v="Donor_106"/>
    <d v="2024-06-16T00:00:00"/>
    <s v="South"/>
    <x v="2"/>
    <m/>
    <n v="0"/>
    <s v="Credit Card"/>
    <s v="2024-06"/>
    <d v="2025-06-11T00:00:00"/>
    <s v="ACTIVE"/>
    <n v="723916"/>
    <m/>
    <m/>
    <m/>
  </r>
  <r>
    <n v="1465"/>
    <s v="Donor_080"/>
    <d v="2024-07-13T00:00:00"/>
    <s v="West"/>
    <x v="0"/>
    <m/>
    <n v="1190"/>
    <s v="Credit Card"/>
    <s v="2024-07"/>
    <d v="2025-05-11T00:00:00"/>
    <s v="ACTIVE"/>
    <m/>
    <m/>
    <m/>
    <m/>
  </r>
  <r>
    <n v="919"/>
    <s v="Donor_032"/>
    <d v="2025-03-07T00:00:00"/>
    <s v="South"/>
    <x v="4"/>
    <m/>
    <n v="549"/>
    <s v="UPI"/>
    <s v="2025-03"/>
    <d v="2025-04-29T00:00:00"/>
    <s v="ACTIVE"/>
    <m/>
    <m/>
    <m/>
    <m/>
  </r>
  <r>
    <n v="485"/>
    <s v="Donor_095"/>
    <d v="2024-04-25T00:00:00"/>
    <s v="North"/>
    <x v="4"/>
    <m/>
    <n v="1721"/>
    <s v="Bank Transfer"/>
    <s v="2024-04"/>
    <d v="2025-05-17T00:00:00"/>
    <s v="ACTIVE"/>
    <m/>
    <m/>
    <m/>
    <m/>
  </r>
  <r>
    <n v="1296"/>
    <s v="Donor_116"/>
    <d v="2024-11-03T00:00:00"/>
    <s v="Central"/>
    <x v="1"/>
    <m/>
    <n v="440"/>
    <s v="Bank Transfer"/>
    <s v="2024-11"/>
    <d v="2025-06-11T00:00:00"/>
    <s v="ACTIVE"/>
    <m/>
    <m/>
    <m/>
    <m/>
  </r>
  <r>
    <n v="1089"/>
    <s v="Donor_005"/>
    <d v="2024-09-10T00:00:00"/>
    <s v="East"/>
    <x v="2"/>
    <m/>
    <n v="1125"/>
    <s v="Cash"/>
    <s v="2024-09"/>
    <d v="2025-06-10T00:00:00"/>
    <s v="ACTIVE"/>
    <m/>
    <m/>
    <m/>
    <m/>
  </r>
  <r>
    <n v="180"/>
    <s v="Donor_019"/>
    <d v="2025-01-24T00:00:00"/>
    <s v="South"/>
    <x v="3"/>
    <m/>
    <n v="876"/>
    <s v="Cash"/>
    <s v="2025-01"/>
    <d v="2025-05-28T00:00:00"/>
    <s v="ACTIVE"/>
    <m/>
    <m/>
    <m/>
    <m/>
  </r>
  <r>
    <n v="695"/>
    <s v="Donor_101"/>
    <d v="2024-07-02T00:00:00"/>
    <s v="South"/>
    <x v="1"/>
    <m/>
    <n v="417"/>
    <s v="Bank Transfer"/>
    <s v="2024-07"/>
    <d v="2025-05-11T00:00:00"/>
    <s v="ACTIVE"/>
    <m/>
    <m/>
    <m/>
    <m/>
  </r>
  <r>
    <n v="1386"/>
    <s v="Donor_019"/>
    <d v="2024-03-13T00:00:00"/>
    <s v="South"/>
    <x v="0"/>
    <m/>
    <n v="1717"/>
    <s v="UPI"/>
    <s v="2024-03"/>
    <d v="2025-05-28T00:00:00"/>
    <s v="ACTIVE"/>
    <m/>
    <m/>
    <m/>
    <m/>
  </r>
  <r>
    <n v="1555"/>
    <s v="Donor_053"/>
    <d v="2024-12-18T00:00:00"/>
    <s v="North"/>
    <x v="4"/>
    <m/>
    <n v="702"/>
    <s v="Cheque"/>
    <s v="2024-12"/>
    <d v="2025-04-16T00:00:00"/>
    <s v="ACTIVE"/>
    <m/>
    <m/>
    <m/>
    <m/>
  </r>
  <r>
    <n v="976"/>
    <s v="Donor_009"/>
    <d v="2024-01-17T00:00:00"/>
    <s v="West"/>
    <x v="3"/>
    <m/>
    <n v="817"/>
    <s v="Bank Transfer"/>
    <s v="2024-01"/>
    <d v="2025-05-15T00:00:00"/>
    <s v="ACTIVE"/>
    <m/>
    <m/>
    <m/>
    <m/>
  </r>
  <r>
    <n v="351"/>
    <s v="Donor_026"/>
    <d v="2025-05-24T00:00:00"/>
    <s v="Central"/>
    <x v="4"/>
    <m/>
    <n v="2831"/>
    <s v="Credit Card"/>
    <s v="2025-05"/>
    <d v="2025-05-28T00:00:00"/>
    <s v="ACTIVE"/>
    <m/>
    <m/>
    <m/>
    <m/>
  </r>
  <r>
    <n v="397"/>
    <s v="Donor_108"/>
    <d v="2024-03-24T00:00:00"/>
    <s v="East"/>
    <x v="4"/>
    <m/>
    <n v="8786"/>
    <s v="UPI"/>
    <s v="2024-03"/>
    <d v="2025-05-21T00:00:00"/>
    <s v="ACTIVE"/>
    <m/>
    <m/>
    <m/>
    <m/>
  </r>
  <r>
    <n v="451"/>
    <s v="Donor_037"/>
    <d v="2024-10-05T00:00:00"/>
    <s v="Central"/>
    <x v="5"/>
    <m/>
    <n v="656"/>
    <s v="UPI"/>
    <s v="2024-10"/>
    <d v="2025-05-23T00:00:00"/>
    <s v="ACTIVE"/>
    <m/>
    <m/>
    <m/>
    <m/>
  </r>
  <r>
    <n v="489"/>
    <s v="Donor_049"/>
    <d v="2024-08-24T00:00:00"/>
    <s v="Central"/>
    <x v="2"/>
    <m/>
    <n v="1162"/>
    <s v="Cash"/>
    <s v="2024-08"/>
    <d v="2025-06-19T00:00:00"/>
    <s v="ACTIVE"/>
    <m/>
    <m/>
    <m/>
    <m/>
  </r>
  <r>
    <n v="205"/>
    <s v="Donor_079"/>
    <d v="2025-03-05T00:00:00"/>
    <s v="North"/>
    <x v="4"/>
    <m/>
    <n v="1654"/>
    <s v="Cheque"/>
    <s v="2025-03"/>
    <d v="2025-06-07T00:00:00"/>
    <s v="ACTIVE"/>
    <m/>
    <m/>
    <m/>
    <m/>
  </r>
  <r>
    <n v="59"/>
    <s v="Donor_014"/>
    <d v="2025-05-16T00:00:00"/>
    <s v="West"/>
    <x v="5"/>
    <m/>
    <n v="325"/>
    <s v="Cash"/>
    <s v="2025-05"/>
    <d v="2025-06-03T00:00:00"/>
    <s v="ACTIVE"/>
    <m/>
    <m/>
    <m/>
    <m/>
  </r>
  <r>
    <n v="872"/>
    <s v="Donor_087"/>
    <d v="2025-03-10T00:00:00"/>
    <s v="Central"/>
    <x v="2"/>
    <m/>
    <n v="1488"/>
    <s v="Cheque"/>
    <s v="2025-03"/>
    <d v="2025-06-09T00:00:00"/>
    <s v="ACTIVE"/>
    <m/>
    <m/>
    <m/>
    <m/>
  </r>
  <r>
    <n v="1361"/>
    <s v="Donor_077"/>
    <d v="2024-03-31T00:00:00"/>
    <s v="East"/>
    <x v="1"/>
    <m/>
    <n v="305"/>
    <s v="Bank Transfer"/>
    <s v="2024-03"/>
    <d v="2025-06-21T00:00:00"/>
    <s v="ACTIVE"/>
    <m/>
    <m/>
    <m/>
    <m/>
  </r>
  <r>
    <n v="1138"/>
    <s v="Donor_050"/>
    <d v="2024-12-13T00:00:00"/>
    <s v="South"/>
    <x v="1"/>
    <m/>
    <n v="1371"/>
    <s v="Cash"/>
    <s v="2024-12"/>
    <d v="2025-06-18T00:00:00"/>
    <s v="ACTIVE"/>
    <m/>
    <m/>
    <m/>
    <m/>
  </r>
  <r>
    <n v="631"/>
    <s v="Donor_093"/>
    <d v="2024-01-05T00:00:00"/>
    <s v="North"/>
    <x v="4"/>
    <m/>
    <n v="11405"/>
    <s v="Cash"/>
    <s v="2024-01"/>
    <d v="2025-03-24T00:00:00"/>
    <s v="LAPSED"/>
    <m/>
    <m/>
    <m/>
    <m/>
  </r>
  <r>
    <n v="1276"/>
    <s v="Donor_010"/>
    <d v="2024-11-23T00:00:00"/>
    <s v="South"/>
    <x v="1"/>
    <m/>
    <n v="2057"/>
    <s v="Cheque"/>
    <s v="2024-11"/>
    <d v="2025-06-01T00:00:00"/>
    <s v="ACTIVE"/>
    <m/>
    <m/>
    <m/>
    <m/>
  </r>
  <r>
    <n v="900"/>
    <s v="Donor_084"/>
    <d v="2024-01-02T00:00:00"/>
    <s v="East"/>
    <x v="2"/>
    <m/>
    <n v="4649"/>
    <s v="Cheque"/>
    <s v="2024-01"/>
    <d v="2025-05-13T00:00:00"/>
    <s v="ACTIVE"/>
    <m/>
    <m/>
    <m/>
    <m/>
  </r>
  <r>
    <n v="1345"/>
    <s v="Donor_003"/>
    <d v="2025-02-09T00:00:00"/>
    <s v="Central"/>
    <x v="5"/>
    <m/>
    <n v="243"/>
    <s v="Cash"/>
    <s v="2025-02"/>
    <d v="2025-05-08T00:00:00"/>
    <s v="ACTIVE"/>
    <m/>
    <m/>
    <m/>
    <m/>
  </r>
  <r>
    <n v="364"/>
    <s v="Donor_102"/>
    <d v="2024-04-03T00:00:00"/>
    <s v="Central"/>
    <x v="0"/>
    <m/>
    <n v="2890"/>
    <s v="Cheque"/>
    <s v="2024-04"/>
    <d v="2025-04-29T00:00:00"/>
    <s v="ACTIVE"/>
    <m/>
    <m/>
    <m/>
    <m/>
  </r>
  <r>
    <n v="1095"/>
    <s v="Donor_111"/>
    <d v="2024-07-31T00:00:00"/>
    <s v="West"/>
    <x v="0"/>
    <m/>
    <n v="1667"/>
    <s v="Cash"/>
    <s v="2024-07"/>
    <d v="2025-04-26T00:00:00"/>
    <s v="ACTIVE"/>
    <m/>
    <m/>
    <m/>
    <m/>
  </r>
  <r>
    <n v="1051"/>
    <s v="Donor_062"/>
    <d v="2025-01-02T00:00:00"/>
    <s v="Central"/>
    <x v="4"/>
    <m/>
    <n v="618"/>
    <s v="UPI"/>
    <s v="2025-01"/>
    <d v="2025-05-17T00:00:00"/>
    <s v="ACTIVE"/>
    <m/>
    <m/>
    <m/>
    <m/>
  </r>
  <r>
    <n v="1412"/>
    <s v="Donor_091"/>
    <d v="2024-04-02T00:00:00"/>
    <s v="South"/>
    <x v="3"/>
    <m/>
    <n v="8200"/>
    <s v="UPI"/>
    <s v="2024-04"/>
    <d v="2025-05-16T00:00:00"/>
    <s v="ACTIVE"/>
    <m/>
    <m/>
    <m/>
    <m/>
  </r>
  <r>
    <n v="368"/>
    <s v="Donor_092"/>
    <d v="2024-07-14T00:00:00"/>
    <s v="East"/>
    <x v="3"/>
    <m/>
    <n v="614"/>
    <s v="Cheque"/>
    <s v="2024-07"/>
    <d v="2025-05-07T00:00:00"/>
    <s v="ACTIVE"/>
    <m/>
    <m/>
    <m/>
    <m/>
  </r>
  <r>
    <n v="1151"/>
    <s v="Donor_078"/>
    <d v="2024-02-16T00:00:00"/>
    <s v="West"/>
    <x v="4"/>
    <m/>
    <n v="2273"/>
    <s v="Cash"/>
    <s v="2024-02"/>
    <d v="2025-03-13T00:00:00"/>
    <s v="LAPSED"/>
    <m/>
    <m/>
    <m/>
    <m/>
  </r>
  <r>
    <n v="1626"/>
    <s v="Donor_089"/>
    <d v="2024-08-03T00:00:00"/>
    <s v="East"/>
    <x v="2"/>
    <m/>
    <n v="9429"/>
    <s v="Credit Card"/>
    <s v="2024-08"/>
    <d v="2025-05-16T00:00:00"/>
    <s v="ACTIVE"/>
    <m/>
    <m/>
    <m/>
    <m/>
  </r>
  <r>
    <n v="573"/>
    <s v="Donor_052"/>
    <d v="2024-02-13T00:00:00"/>
    <s v="North"/>
    <x v="4"/>
    <m/>
    <n v="9833"/>
    <s v="Cheque"/>
    <s v="2024-02"/>
    <d v="2025-06-13T00:00:00"/>
    <s v="ACTIVE"/>
    <m/>
    <m/>
    <m/>
    <m/>
  </r>
  <r>
    <n v="1211"/>
    <s v="Donor_084"/>
    <d v="2024-03-27T00:00:00"/>
    <s v="West"/>
    <x v="1"/>
    <m/>
    <n v="590"/>
    <s v="Bank Transfer"/>
    <s v="2024-03"/>
    <d v="2025-05-13T00:00:00"/>
    <s v="ACTIVE"/>
    <m/>
    <m/>
    <m/>
    <m/>
  </r>
  <r>
    <n v="604"/>
    <s v="Donor_059"/>
    <d v="2025-03-31T00:00:00"/>
    <s v="East"/>
    <x v="0"/>
    <m/>
    <n v="1739"/>
    <s v="Bank Transfer"/>
    <s v="2025-03"/>
    <d v="2025-06-16T00:00:00"/>
    <s v="ACTIVE"/>
    <m/>
    <m/>
    <m/>
    <m/>
  </r>
  <r>
    <n v="1017"/>
    <s v="Donor_022"/>
    <d v="2024-09-03T00:00:00"/>
    <s v="Central"/>
    <x v="2"/>
    <m/>
    <n v="8801"/>
    <s v="Cash"/>
    <s v="2024-09"/>
    <d v="2025-06-21T00:00:00"/>
    <s v="ACTIVE"/>
    <m/>
    <m/>
    <m/>
    <m/>
  </r>
  <r>
    <n v="1455"/>
    <s v="Donor_086"/>
    <d v="2024-08-22T00:00:00"/>
    <s v="Central"/>
    <x v="5"/>
    <m/>
    <n v="680"/>
    <s v="Cheque"/>
    <s v="2024-08"/>
    <d v="2025-05-29T00:00:00"/>
    <s v="ACTIVE"/>
    <m/>
    <m/>
    <m/>
    <m/>
  </r>
  <r>
    <n v="456"/>
    <s v="Donor_059"/>
    <d v="2024-07-22T00:00:00"/>
    <s v="North"/>
    <x v="0"/>
    <m/>
    <n v="1978"/>
    <s v="Bank Transfer"/>
    <s v="2024-07"/>
    <d v="2025-06-16T00:00:00"/>
    <s v="ACTIVE"/>
    <m/>
    <m/>
    <m/>
    <m/>
  </r>
  <r>
    <n v="314"/>
    <s v="Donor_085"/>
    <d v="2024-09-28T00:00:00"/>
    <s v="East"/>
    <x v="5"/>
    <m/>
    <n v="1677"/>
    <s v="Cash"/>
    <s v="2024-09"/>
    <d v="2025-06-22T00:00:00"/>
    <s v="ACTIVE"/>
    <m/>
    <m/>
    <m/>
    <m/>
  </r>
  <r>
    <n v="507"/>
    <s v="Donor_023"/>
    <d v="2024-05-28T00:00:00"/>
    <s v="North"/>
    <x v="1"/>
    <m/>
    <n v="2310"/>
    <s v="Cash"/>
    <s v="2024-05"/>
    <d v="2025-05-24T00:00:00"/>
    <s v="ACTIVE"/>
    <m/>
    <m/>
    <m/>
    <m/>
  </r>
  <r>
    <n v="1204"/>
    <s v="Donor_099"/>
    <d v="2024-07-24T00:00:00"/>
    <s v="Central"/>
    <x v="5"/>
    <m/>
    <n v="1313"/>
    <s v="Credit Card"/>
    <s v="2024-07"/>
    <d v="2025-05-30T00:00:00"/>
    <s v="ACTIVE"/>
    <m/>
    <m/>
    <m/>
    <m/>
  </r>
  <r>
    <n v="1262"/>
    <s v="Donor_049"/>
    <d v="2025-02-21T00:00:00"/>
    <s v="West"/>
    <x v="4"/>
    <m/>
    <n v="4366"/>
    <s v="Bank Transfer"/>
    <s v="2025-02"/>
    <d v="2025-06-19T00:00:00"/>
    <s v="ACTIVE"/>
    <m/>
    <m/>
    <m/>
    <m/>
  </r>
  <r>
    <n v="1150"/>
    <s v="Donor_048"/>
    <d v="2024-02-20T00:00:00"/>
    <s v="Central"/>
    <x v="1"/>
    <m/>
    <n v="2209"/>
    <s v="Cash"/>
    <s v="2024-02"/>
    <d v="2025-06-08T00:00:00"/>
    <s v="ACTIVE"/>
    <m/>
    <m/>
    <m/>
    <m/>
  </r>
  <r>
    <n v="1047"/>
    <s v="Donor_104"/>
    <d v="2024-02-28T00:00:00"/>
    <s v="North"/>
    <x v="0"/>
    <m/>
    <n v="886"/>
    <s v="Bank Transfer"/>
    <s v="2024-02"/>
    <d v="2025-05-08T00:00:00"/>
    <s v="ACTIVE"/>
    <m/>
    <m/>
    <m/>
    <m/>
  </r>
  <r>
    <n v="345"/>
    <s v="Donor_029"/>
    <d v="2024-09-11T00:00:00"/>
    <s v="East"/>
    <x v="5"/>
    <m/>
    <n v="1262"/>
    <s v="Cheque"/>
    <s v="2024-09"/>
    <d v="2025-06-05T00:00:00"/>
    <s v="ACTIVE"/>
    <m/>
    <m/>
    <m/>
    <m/>
  </r>
  <r>
    <n v="1597"/>
    <s v="Donor_022"/>
    <d v="2025-05-10T00:00:00"/>
    <s v="North"/>
    <x v="4"/>
    <m/>
    <n v="11332"/>
    <s v="Bank Transfer"/>
    <s v="2025-05"/>
    <d v="2025-06-21T00:00:00"/>
    <s v="ACTIVE"/>
    <m/>
    <m/>
    <m/>
    <m/>
  </r>
  <r>
    <n v="230"/>
    <s v="Donor_041"/>
    <d v="2025-02-02T00:00:00"/>
    <s v="East"/>
    <x v="3"/>
    <m/>
    <n v="802"/>
    <s v="Bank Transfer"/>
    <s v="2025-02"/>
    <d v="2025-06-13T00:00:00"/>
    <s v="ACTIVE"/>
    <m/>
    <m/>
    <m/>
    <m/>
  </r>
  <r>
    <n v="282"/>
    <s v="Donor_029"/>
    <d v="2025-03-05T00:00:00"/>
    <s v="East"/>
    <x v="4"/>
    <m/>
    <n v="875"/>
    <s v="Bank Transfer"/>
    <s v="2025-03"/>
    <d v="2025-06-05T00:00:00"/>
    <s v="ACTIVE"/>
    <m/>
    <m/>
    <m/>
    <m/>
  </r>
  <r>
    <n v="867"/>
    <s v="Donor_041"/>
    <d v="2024-06-23T00:00:00"/>
    <s v="West"/>
    <x v="4"/>
    <m/>
    <n v="5612"/>
    <s v="Cheque"/>
    <s v="2024-06"/>
    <d v="2025-06-13T00:00:00"/>
    <s v="ACTIVE"/>
    <m/>
    <m/>
    <m/>
    <m/>
  </r>
  <r>
    <n v="876"/>
    <s v="Donor_038"/>
    <d v="2024-04-30T00:00:00"/>
    <s v="East"/>
    <x v="1"/>
    <m/>
    <n v="2265"/>
    <s v="UPI"/>
    <s v="2024-04"/>
    <d v="2025-04-26T00:00:00"/>
    <s v="ACTIVE"/>
    <m/>
    <m/>
    <m/>
    <m/>
  </r>
  <r>
    <n v="877"/>
    <s v="Donor_106"/>
    <d v="2025-06-11T00:00:00"/>
    <s v="NOT KNOWN"/>
    <x v="1"/>
    <m/>
    <n v="247"/>
    <s v="UPI"/>
    <s v="2025-06"/>
    <d v="2025-06-11T00:00:00"/>
    <s v="ACTIVE"/>
    <m/>
    <m/>
    <m/>
    <m/>
  </r>
  <r>
    <n v="1355"/>
    <s v="Donor_054"/>
    <d v="2024-10-13T00:00:00"/>
    <s v="North"/>
    <x v="5"/>
    <m/>
    <n v="580"/>
    <s v="Bank Transfer"/>
    <s v="2024-10"/>
    <d v="2025-06-18T00:00:00"/>
    <s v="ACTIVE"/>
    <m/>
    <m/>
    <m/>
    <m/>
  </r>
  <r>
    <n v="1581"/>
    <s v="Donor_101"/>
    <d v="2024-10-22T00:00:00"/>
    <s v="Central"/>
    <x v="3"/>
    <m/>
    <n v="1276"/>
    <s v="UPI"/>
    <s v="2024-10"/>
    <d v="2025-05-11T00:00:00"/>
    <s v="ACTIVE"/>
    <m/>
    <m/>
    <m/>
    <m/>
  </r>
  <r>
    <n v="420"/>
    <s v="Donor_011"/>
    <d v="2025-01-14T00:00:00"/>
    <s v="Central"/>
    <x v="3"/>
    <m/>
    <n v="879"/>
    <s v="Cash"/>
    <s v="2025-01"/>
    <d v="2025-06-04T00:00:00"/>
    <s v="ACTIVE"/>
    <m/>
    <m/>
    <m/>
    <m/>
  </r>
  <r>
    <n v="375"/>
    <s v="Donor_037"/>
    <d v="2024-06-13T00:00:00"/>
    <s v="East"/>
    <x v="4"/>
    <m/>
    <n v="538"/>
    <s v="Bank Transfer"/>
    <s v="2024-06"/>
    <d v="2025-05-23T00:00:00"/>
    <s v="ACTIVE"/>
    <m/>
    <m/>
    <m/>
    <m/>
  </r>
  <r>
    <n v="1196"/>
    <s v="Donor_089"/>
    <d v="2024-10-25T00:00:00"/>
    <s v="North"/>
    <x v="4"/>
    <m/>
    <n v="1148"/>
    <s v="Bank Transfer"/>
    <s v="2024-10"/>
    <d v="2025-05-16T00:00:00"/>
    <s v="ACTIVE"/>
    <m/>
    <m/>
    <m/>
    <m/>
  </r>
  <r>
    <n v="299"/>
    <s v="Donor_045"/>
    <d v="2025-05-11T00:00:00"/>
    <s v="Central"/>
    <x v="0"/>
    <m/>
    <n v="4777"/>
    <s v="Credit Card"/>
    <s v="2025-05"/>
    <d v="2025-05-11T00:00:00"/>
    <s v="ACTIVE"/>
    <m/>
    <m/>
    <m/>
    <m/>
  </r>
  <r>
    <n v="1279"/>
    <s v="Donor_053"/>
    <d v="2024-10-06T00:00:00"/>
    <s v="North"/>
    <x v="1"/>
    <m/>
    <n v="713"/>
    <s v="Credit Card"/>
    <s v="2024-10"/>
    <d v="2025-04-16T00:00:00"/>
    <s v="ACTIVE"/>
    <m/>
    <m/>
    <m/>
    <m/>
  </r>
  <r>
    <n v="756"/>
    <s v="Donor_095"/>
    <d v="2024-01-26T00:00:00"/>
    <s v="South"/>
    <x v="2"/>
    <m/>
    <n v="887"/>
    <s v="Credit Card"/>
    <s v="2024-01"/>
    <d v="2025-05-17T00:00:00"/>
    <s v="ACTIVE"/>
    <m/>
    <m/>
    <m/>
    <m/>
  </r>
  <r>
    <n v="417"/>
    <s v="Donor_072"/>
    <d v="2025-01-14T00:00:00"/>
    <s v="Central"/>
    <x v="1"/>
    <m/>
    <n v="2989"/>
    <s v="Cheque"/>
    <s v="2025-01"/>
    <d v="2025-04-13T00:00:00"/>
    <s v="ACTIVE"/>
    <m/>
    <m/>
    <m/>
    <m/>
  </r>
  <r>
    <n v="1183"/>
    <s v="Donor_001"/>
    <d v="2025-04-12T00:00:00"/>
    <s v="East"/>
    <x v="1"/>
    <m/>
    <n v="2493"/>
    <s v="Credit Card"/>
    <s v="2025-04"/>
    <d v="2025-05-18T00:00:00"/>
    <s v="ACTIVE"/>
    <m/>
    <m/>
    <m/>
    <m/>
  </r>
  <r>
    <n v="325"/>
    <s v="Donor_007"/>
    <d v="2024-08-31T00:00:00"/>
    <s v="West"/>
    <x v="5"/>
    <m/>
    <n v="4040"/>
    <s v="Bank Transfer"/>
    <s v="2024-08"/>
    <d v="2025-06-21T00:00:00"/>
    <s v="ACTIVE"/>
    <m/>
    <m/>
    <m/>
    <m/>
  </r>
  <r>
    <n v="1427"/>
    <s v="Donor_045"/>
    <d v="2025-04-16T00:00:00"/>
    <s v="Central"/>
    <x v="5"/>
    <m/>
    <n v="2368"/>
    <s v="Cheque"/>
    <s v="2025-04"/>
    <d v="2025-05-11T00:00:00"/>
    <s v="ACTIVE"/>
    <m/>
    <m/>
    <m/>
    <m/>
  </r>
  <r>
    <n v="1094"/>
    <s v="Donor_058"/>
    <d v="2024-08-25T00:00:00"/>
    <s v="East"/>
    <x v="1"/>
    <m/>
    <n v="1057"/>
    <s v="Bank Transfer"/>
    <s v="2024-08"/>
    <d v="2025-06-22T00:00:00"/>
    <s v="ACTIVE"/>
    <m/>
    <m/>
    <m/>
    <m/>
  </r>
  <r>
    <n v="117"/>
    <s v="Donor_009"/>
    <d v="2025-02-14T00:00:00"/>
    <s v="South"/>
    <x v="2"/>
    <m/>
    <n v="418"/>
    <s v="Cheque"/>
    <s v="2025-02"/>
    <d v="2025-05-15T00:00:00"/>
    <s v="ACTIVE"/>
    <m/>
    <m/>
    <m/>
    <m/>
  </r>
  <r>
    <n v="755"/>
    <s v="Donor_114"/>
    <d v="2024-02-14T00:00:00"/>
    <s v="South"/>
    <x v="3"/>
    <m/>
    <n v="2918"/>
    <s v="Cheque"/>
    <s v="2024-02"/>
    <d v="2025-04-04T00:00:00"/>
    <s v="ACTIVE"/>
    <m/>
    <m/>
    <m/>
    <m/>
  </r>
  <r>
    <n v="770"/>
    <s v="Donor_006"/>
    <d v="2025-01-03T00:00:00"/>
    <s v="North"/>
    <x v="4"/>
    <m/>
    <n v="1827"/>
    <s v="Credit Card"/>
    <s v="2025-01"/>
    <d v="2025-06-06T00:00:00"/>
    <s v="ACTIVE"/>
    <m/>
    <m/>
    <m/>
    <m/>
  </r>
  <r>
    <n v="1615"/>
    <s v="Donor_042"/>
    <d v="2024-02-03T00:00:00"/>
    <s v="South"/>
    <x v="0"/>
    <m/>
    <n v="1004"/>
    <s v="Cash"/>
    <s v="2024-02"/>
    <d v="2025-02-10T00:00:00"/>
    <s v="LAPSED"/>
    <m/>
    <m/>
    <m/>
    <m/>
  </r>
  <r>
    <n v="141"/>
    <s v="Donor_109"/>
    <d v="2025-06-12T00:00:00"/>
    <s v="North"/>
    <x v="5"/>
    <m/>
    <n v="1105"/>
    <s v="Bank Transfer"/>
    <s v="2025-06"/>
    <d v="2025-06-22T00:00:00"/>
    <s v="ACTIVE"/>
    <m/>
    <m/>
    <m/>
    <m/>
  </r>
  <r>
    <n v="541"/>
    <s v="Donor_039"/>
    <d v="2024-11-20T00:00:00"/>
    <s v="Central"/>
    <x v="2"/>
    <m/>
    <n v="2919"/>
    <s v="Cash"/>
    <s v="2024-11"/>
    <d v="2025-04-25T00:00:00"/>
    <s v="ACTIVE"/>
    <m/>
    <m/>
    <m/>
    <m/>
  </r>
  <r>
    <n v="1711"/>
    <s v="Donor_007"/>
    <d v="2025-03-13T00:00:00"/>
    <s v="Central"/>
    <x v="4"/>
    <m/>
    <n v="11516"/>
    <s v="UPI"/>
    <s v="2025-03"/>
    <d v="2025-06-21T00:00:00"/>
    <s v="ACTIVE"/>
    <m/>
    <m/>
    <m/>
    <m/>
  </r>
  <r>
    <n v="3"/>
    <s v="Donor_104"/>
    <d v="2024-10-11T00:00:00"/>
    <s v="North"/>
    <x v="4"/>
    <m/>
    <n v="702"/>
    <s v="Credit Card"/>
    <s v="2024-10"/>
    <d v="2025-05-08T00:00:00"/>
    <s v="ACTIVE"/>
    <m/>
    <m/>
    <m/>
    <m/>
  </r>
  <r>
    <n v="377"/>
    <s v="Donor_071"/>
    <d v="2024-11-16T00:00:00"/>
    <s v="North"/>
    <x v="3"/>
    <m/>
    <n v="2203"/>
    <s v="Cash"/>
    <s v="2024-11"/>
    <d v="2025-06-08T00:00:00"/>
    <s v="ACTIVE"/>
    <m/>
    <m/>
    <m/>
    <m/>
  </r>
  <r>
    <n v="360"/>
    <s v="Donor_067"/>
    <d v="2025-06-15T00:00:00"/>
    <s v="Central"/>
    <x v="3"/>
    <m/>
    <n v="799"/>
    <s v="Credit Card"/>
    <s v="2025-06"/>
    <d v="2025-06-15T00:00:00"/>
    <s v="ACTIVE"/>
    <m/>
    <m/>
    <m/>
    <m/>
  </r>
  <r>
    <n v="242"/>
    <s v="Donor_058"/>
    <d v="2024-08-14T00:00:00"/>
    <s v="East"/>
    <x v="1"/>
    <m/>
    <n v="333"/>
    <s v="Cheque"/>
    <s v="2024-08"/>
    <d v="2025-06-22T00:00:00"/>
    <s v="ACTIVE"/>
    <m/>
    <m/>
    <m/>
    <m/>
  </r>
  <r>
    <n v="588"/>
    <s v="Donor_036"/>
    <d v="2024-03-02T00:00:00"/>
    <s v="South"/>
    <x v="3"/>
    <m/>
    <n v="295"/>
    <s v="Credit Card"/>
    <s v="2024-03"/>
    <d v="2025-06-07T00:00:00"/>
    <s v="ACTIVE"/>
    <m/>
    <m/>
    <m/>
    <m/>
  </r>
  <r>
    <n v="1511"/>
    <s v="Donor_004"/>
    <d v="2024-12-11T00:00:00"/>
    <s v="North"/>
    <x v="3"/>
    <m/>
    <n v="555"/>
    <s v="UPI"/>
    <s v="2024-12"/>
    <d v="2025-05-26T00:00:00"/>
    <s v="ACTIVE"/>
    <m/>
    <m/>
    <m/>
    <m/>
  </r>
  <r>
    <n v="1126"/>
    <s v="Donor_119"/>
    <d v="2024-02-02T00:00:00"/>
    <s v="North"/>
    <x v="0"/>
    <m/>
    <n v="1485"/>
    <s v="Cash"/>
    <s v="2024-02"/>
    <d v="2025-05-18T00:00:00"/>
    <s v="ACTIVE"/>
    <m/>
    <m/>
    <m/>
    <m/>
  </r>
  <r>
    <n v="1107"/>
    <s v="Donor_027"/>
    <d v="2025-04-29T00:00:00"/>
    <s v="South"/>
    <x v="3"/>
    <m/>
    <n v="2391"/>
    <s v="UPI"/>
    <s v="2025-04"/>
    <d v="2025-06-06T00:00:00"/>
    <s v="ACTIVE"/>
    <m/>
    <m/>
    <m/>
    <m/>
  </r>
  <r>
    <n v="1322"/>
    <s v="Donor_089"/>
    <d v="2024-02-13T00:00:00"/>
    <s v="East"/>
    <x v="1"/>
    <m/>
    <n v="346"/>
    <s v="Bank Transfer"/>
    <s v="2024-02"/>
    <d v="2025-05-16T00:00:00"/>
    <s v="ACTIVE"/>
    <m/>
    <m/>
    <m/>
    <m/>
  </r>
  <r>
    <n v="1574"/>
    <s v="Donor_095"/>
    <d v="2024-12-14T00:00:00"/>
    <s v="West"/>
    <x v="2"/>
    <m/>
    <n v="268"/>
    <s v="Cash"/>
    <s v="2024-12"/>
    <d v="2025-05-17T00:00:00"/>
    <s v="ACTIVE"/>
    <m/>
    <m/>
    <m/>
    <m/>
  </r>
  <r>
    <n v="962"/>
    <s v="Donor_051"/>
    <d v="2024-07-31T00:00:00"/>
    <s v="North"/>
    <x v="1"/>
    <m/>
    <n v="483"/>
    <s v="Cash"/>
    <s v="2024-07"/>
    <d v="2025-06-11T00:00:00"/>
    <s v="ACTIVE"/>
    <m/>
    <m/>
    <m/>
    <m/>
  </r>
  <r>
    <n v="72"/>
    <s v="Donor_038"/>
    <d v="2025-04-26T00:00:00"/>
    <s v="North"/>
    <x v="4"/>
    <m/>
    <n v="2707"/>
    <s v="Cash"/>
    <s v="2025-04"/>
    <d v="2025-04-26T00:00:00"/>
    <s v="ACTIVE"/>
    <m/>
    <m/>
    <m/>
    <m/>
  </r>
  <r>
    <n v="1682"/>
    <s v="Donor_099"/>
    <d v="2024-03-07T00:00:00"/>
    <s v="Central"/>
    <x v="4"/>
    <m/>
    <n v="2595"/>
    <s v="Cheque"/>
    <s v="2024-03"/>
    <d v="2025-05-30T00:00:00"/>
    <s v="ACTIVE"/>
    <m/>
    <m/>
    <m/>
    <m/>
  </r>
  <r>
    <n v="285"/>
    <s v="Donor_099"/>
    <d v="2025-05-20T00:00:00"/>
    <s v="South"/>
    <x v="2"/>
    <m/>
    <n v="11042"/>
    <s v="Credit Card"/>
    <s v="2025-05"/>
    <d v="2025-05-30T00:00:00"/>
    <s v="ACTIVE"/>
    <m/>
    <m/>
    <m/>
    <m/>
  </r>
  <r>
    <n v="830"/>
    <s v="Donor_013"/>
    <d v="2024-02-12T00:00:00"/>
    <s v="South"/>
    <x v="0"/>
    <m/>
    <n v="475"/>
    <s v="Cheque"/>
    <s v="2024-02"/>
    <d v="2025-04-28T00:00:00"/>
    <s v="ACTIVE"/>
    <m/>
    <m/>
    <m/>
    <m/>
  </r>
  <r>
    <n v="1648"/>
    <s v="Donor_104"/>
    <d v="2024-04-09T00:00:00"/>
    <s v="East"/>
    <x v="1"/>
    <m/>
    <n v="859"/>
    <s v="UPI"/>
    <s v="2024-04"/>
    <d v="2025-05-08T00:00:00"/>
    <s v="ACTIVE"/>
    <m/>
    <m/>
    <m/>
    <m/>
  </r>
  <r>
    <n v="5"/>
    <s v="Donor_074"/>
    <d v="2025-01-05T00:00:00"/>
    <s v="South"/>
    <x v="2"/>
    <m/>
    <n v="818"/>
    <s v="Credit Card"/>
    <s v="2025-01"/>
    <d v="2025-06-18T00:00:00"/>
    <s v="ACTIVE"/>
    <m/>
    <m/>
    <m/>
    <m/>
  </r>
  <r>
    <n v="416"/>
    <s v="Donor_034"/>
    <d v="2024-09-16T00:00:00"/>
    <s v="Central"/>
    <x v="1"/>
    <m/>
    <n v="5224"/>
    <s v="Cash"/>
    <s v="2024-09"/>
    <d v="2025-06-21T00:00:00"/>
    <s v="ACTIVE"/>
    <m/>
    <m/>
    <m/>
    <m/>
  </r>
  <r>
    <n v="559"/>
    <s v="Donor_033"/>
    <d v="2024-04-10T00:00:00"/>
    <s v="Central"/>
    <x v="1"/>
    <m/>
    <n v="333"/>
    <s v="Credit Card"/>
    <s v="2024-04"/>
    <d v="2025-06-21T00:00:00"/>
    <s v="ACTIVE"/>
    <m/>
    <m/>
    <m/>
    <m/>
  </r>
  <r>
    <n v="1785"/>
    <s v="Donor_090"/>
    <d v="2024-07-19T00:00:00"/>
    <s v="North"/>
    <x v="2"/>
    <m/>
    <n v="1641"/>
    <s v="UPI"/>
    <s v="2024-07"/>
    <d v="2025-04-25T00:00:00"/>
    <s v="ACTIVE"/>
    <m/>
    <m/>
    <m/>
    <m/>
  </r>
  <r>
    <n v="621"/>
    <s v="Donor_066"/>
    <d v="2024-03-19T00:00:00"/>
    <s v="South"/>
    <x v="2"/>
    <m/>
    <n v="1659"/>
    <s v="Cheque"/>
    <s v="2024-03"/>
    <d v="2025-03-22T00:00:00"/>
    <s v="LAPSED"/>
    <m/>
    <m/>
    <m/>
    <m/>
  </r>
  <r>
    <n v="1387"/>
    <s v="Donor_108"/>
    <d v="2025-02-27T00:00:00"/>
    <s v="East"/>
    <x v="4"/>
    <m/>
    <n v="2406"/>
    <s v="Cash"/>
    <s v="2025-02"/>
    <d v="2025-05-21T00:00:00"/>
    <s v="ACTIVE"/>
    <m/>
    <m/>
    <m/>
    <m/>
  </r>
  <r>
    <n v="1237"/>
    <s v="Donor_108"/>
    <d v="2025-05-21T00:00:00"/>
    <s v="West"/>
    <x v="1"/>
    <m/>
    <n v="528"/>
    <s v="Bank Transfer"/>
    <s v="2025-05"/>
    <d v="2025-05-21T00:00:00"/>
    <s v="ACTIVE"/>
    <m/>
    <m/>
    <m/>
    <m/>
  </r>
  <r>
    <n v="934"/>
    <s v="Donor_071"/>
    <d v="2024-11-12T00:00:00"/>
    <s v="North"/>
    <x v="1"/>
    <m/>
    <n v="982"/>
    <s v="Credit Card"/>
    <s v="2024-11"/>
    <d v="2025-06-08T00:00:00"/>
    <s v="ACTIVE"/>
    <m/>
    <m/>
    <m/>
    <m/>
  </r>
  <r>
    <n v="1400"/>
    <s v="Donor_006"/>
    <d v="2024-02-25T00:00:00"/>
    <s v="North"/>
    <x v="5"/>
    <m/>
    <n v="1019"/>
    <s v="Bank Transfer"/>
    <s v="2024-02"/>
    <d v="2025-06-06T00:00:00"/>
    <s v="ACTIVE"/>
    <m/>
    <m/>
    <m/>
    <m/>
  </r>
  <r>
    <n v="341"/>
    <s v="Donor_112"/>
    <d v="2024-02-25T00:00:00"/>
    <s v="South"/>
    <x v="4"/>
    <m/>
    <n v="1874"/>
    <s v="Cheque"/>
    <s v="2024-02"/>
    <d v="2025-05-26T00:00:00"/>
    <s v="ACTIVE"/>
    <m/>
    <m/>
    <m/>
    <m/>
  </r>
  <r>
    <n v="937"/>
    <s v="Donor_109"/>
    <d v="2025-06-08T00:00:00"/>
    <s v="Central"/>
    <x v="5"/>
    <m/>
    <n v="4167"/>
    <s v="Cash"/>
    <s v="2025-06"/>
    <d v="2025-06-22T00:00:00"/>
    <s v="ACTIVE"/>
    <m/>
    <m/>
    <m/>
    <m/>
  </r>
  <r>
    <n v="1433"/>
    <s v="Donor_068"/>
    <d v="2024-11-30T00:00:00"/>
    <s v="South"/>
    <x v="2"/>
    <m/>
    <n v="10730"/>
    <s v="Cheque"/>
    <s v="2024-11"/>
    <d v="2025-05-16T00:00:00"/>
    <s v="ACTIVE"/>
    <m/>
    <m/>
    <m/>
    <m/>
  </r>
  <r>
    <n v="681"/>
    <s v="Donor_007"/>
    <d v="2025-03-26T00:00:00"/>
    <s v="South"/>
    <x v="4"/>
    <m/>
    <n v="446"/>
    <s v="UPI"/>
    <s v="2025-03"/>
    <d v="2025-06-21T00:00:00"/>
    <s v="ACTIVE"/>
    <m/>
    <m/>
    <m/>
    <m/>
  </r>
  <r>
    <n v="693"/>
    <s v="Donor_088"/>
    <d v="2024-05-10T00:00:00"/>
    <s v="East"/>
    <x v="4"/>
    <m/>
    <n v="9711"/>
    <s v="Cheque"/>
    <s v="2024-05"/>
    <d v="2025-05-21T00:00:00"/>
    <s v="ACTIVE"/>
    <m/>
    <m/>
    <m/>
    <m/>
  </r>
  <r>
    <n v="1344"/>
    <s v="Donor_062"/>
    <d v="2024-08-18T00:00:00"/>
    <s v="North"/>
    <x v="3"/>
    <m/>
    <n v="2207"/>
    <s v="Credit Card"/>
    <s v="2024-08"/>
    <d v="2025-05-17T00:00:00"/>
    <s v="ACTIVE"/>
    <m/>
    <m/>
    <m/>
    <m/>
  </r>
  <r>
    <n v="886"/>
    <s v="Donor_090"/>
    <d v="2024-04-15T00:00:00"/>
    <s v="Central"/>
    <x v="0"/>
    <m/>
    <n v="1313"/>
    <s v="Cheque"/>
    <s v="2024-04"/>
    <d v="2025-04-25T00:00:00"/>
    <s v="ACTIVE"/>
    <m/>
    <m/>
    <m/>
    <m/>
  </r>
  <r>
    <n v="526"/>
    <s v="Donor_106"/>
    <d v="2024-04-10T00:00:00"/>
    <s v="NOT KNOWN"/>
    <x v="2"/>
    <m/>
    <n v="1323"/>
    <s v="UPI"/>
    <s v="2024-04"/>
    <d v="2025-06-11T00:00:00"/>
    <s v="ACTIVE"/>
    <m/>
    <m/>
    <m/>
    <m/>
  </r>
  <r>
    <n v="1651"/>
    <s v="Donor_045"/>
    <d v="2024-07-05T00:00:00"/>
    <s v="Central"/>
    <x v="0"/>
    <m/>
    <n v="4894"/>
    <s v="Cash"/>
    <s v="2024-07"/>
    <d v="2025-05-11T00:00:00"/>
    <s v="ACTIVE"/>
    <m/>
    <m/>
    <m/>
    <m/>
  </r>
  <r>
    <n v="1790"/>
    <s v="Donor_039"/>
    <d v="2025-04-25T00:00:00"/>
    <s v="West"/>
    <x v="0"/>
    <m/>
    <n v="572"/>
    <s v="Credit Card"/>
    <s v="2025-04"/>
    <d v="2025-04-25T00:00:00"/>
    <s v="ACTIVE"/>
    <m/>
    <m/>
    <m/>
    <m/>
  </r>
  <r>
    <n v="427"/>
    <s v="Donor_009"/>
    <d v="2024-09-21T00:00:00"/>
    <s v="West"/>
    <x v="2"/>
    <m/>
    <n v="2142"/>
    <s v="Credit Card"/>
    <s v="2024-09"/>
    <d v="2025-05-15T00:00:00"/>
    <s v="ACTIVE"/>
    <m/>
    <m/>
    <m/>
    <m/>
  </r>
  <r>
    <n v="1157"/>
    <s v="Donor_031"/>
    <d v="2025-05-17T00:00:00"/>
    <s v="West"/>
    <x v="0"/>
    <m/>
    <n v="1427"/>
    <s v="UPI"/>
    <s v="2025-05"/>
    <d v="2025-05-17T00:00:00"/>
    <s v="ACTIVE"/>
    <m/>
    <m/>
    <m/>
    <m/>
  </r>
  <r>
    <n v="685"/>
    <s v="Donor_051"/>
    <d v="2024-05-04T00:00:00"/>
    <s v="East"/>
    <x v="0"/>
    <m/>
    <n v="1135"/>
    <s v="Credit Card"/>
    <s v="2024-05"/>
    <d v="2025-06-11T00:00:00"/>
    <s v="ACTIVE"/>
    <m/>
    <m/>
    <m/>
    <m/>
  </r>
  <r>
    <n v="884"/>
    <s v="Donor_055"/>
    <d v="2024-12-16T00:00:00"/>
    <s v="Central"/>
    <x v="2"/>
    <m/>
    <n v="487"/>
    <s v="Bank Transfer"/>
    <s v="2024-12"/>
    <d v="2025-05-11T00:00:00"/>
    <s v="ACTIVE"/>
    <m/>
    <m/>
    <m/>
    <m/>
  </r>
  <r>
    <n v="1658"/>
    <s v="Donor_026"/>
    <d v="2024-03-07T00:00:00"/>
    <s v="West"/>
    <x v="0"/>
    <m/>
    <n v="322"/>
    <s v="Cash"/>
    <s v="2024-03"/>
    <d v="2025-05-28T00:00:00"/>
    <s v="ACTIVE"/>
    <m/>
    <m/>
    <m/>
    <m/>
  </r>
  <r>
    <n v="864"/>
    <s v="Donor_010"/>
    <d v="2024-09-10T00:00:00"/>
    <s v="East"/>
    <x v="3"/>
    <m/>
    <n v="8440"/>
    <s v="Cheque"/>
    <s v="2024-09"/>
    <d v="2025-06-01T00:00:00"/>
    <s v="ACTIVE"/>
    <m/>
    <m/>
    <m/>
    <m/>
  </r>
  <r>
    <n v="1709"/>
    <s v="Donor_043"/>
    <d v="2024-08-22T00:00:00"/>
    <s v="South"/>
    <x v="5"/>
    <m/>
    <n v="407"/>
    <s v="UPI"/>
    <s v="2024-08"/>
    <d v="2025-06-13T00:00:00"/>
    <s v="ACTIVE"/>
    <m/>
    <m/>
    <m/>
    <m/>
  </r>
  <r>
    <n v="632"/>
    <s v="Donor_107"/>
    <d v="2024-07-04T00:00:00"/>
    <s v="East"/>
    <x v="1"/>
    <m/>
    <n v="664"/>
    <s v="Credit Card"/>
    <s v="2024-07"/>
    <d v="2025-03-18T00:00:00"/>
    <s v="LAPSED"/>
    <m/>
    <m/>
    <m/>
    <m/>
  </r>
  <r>
    <n v="817"/>
    <s v="Donor_003"/>
    <d v="2025-05-08T00:00:00"/>
    <s v="West"/>
    <x v="1"/>
    <m/>
    <n v="1104"/>
    <s v="Bank Transfer"/>
    <s v="2025-05"/>
    <d v="2025-05-08T00:00:00"/>
    <s v="ACTIVE"/>
    <m/>
    <m/>
    <m/>
    <m/>
  </r>
  <r>
    <n v="1454"/>
    <s v="Donor_061"/>
    <d v="2024-03-05T00:00:00"/>
    <s v="West"/>
    <x v="1"/>
    <m/>
    <n v="2338"/>
    <s v="Cheque"/>
    <s v="2024-03"/>
    <d v="2025-05-21T00:00:00"/>
    <s v="ACTIVE"/>
    <m/>
    <m/>
    <m/>
    <m/>
  </r>
  <r>
    <n v="528"/>
    <s v="Donor_082"/>
    <d v="2024-11-15T00:00:00"/>
    <s v="South"/>
    <x v="5"/>
    <m/>
    <n v="1754"/>
    <s v="Bank Transfer"/>
    <s v="2024-11"/>
    <d v="2025-06-02T00:00:00"/>
    <s v="ACTIVE"/>
    <m/>
    <m/>
    <m/>
    <m/>
  </r>
  <r>
    <n v="670"/>
    <s v="Donor_003"/>
    <d v="2024-08-17T00:00:00"/>
    <s v="North"/>
    <x v="0"/>
    <m/>
    <n v="2325"/>
    <s v="Cash"/>
    <s v="2024-08"/>
    <d v="2025-05-08T00:00:00"/>
    <s v="ACTIVE"/>
    <m/>
    <m/>
    <m/>
    <m/>
  </r>
  <r>
    <n v="1770"/>
    <s v="Donor_075"/>
    <d v="2024-07-07T00:00:00"/>
    <s v="North"/>
    <x v="2"/>
    <m/>
    <n v="1597"/>
    <s v="Cheque"/>
    <s v="2024-07"/>
    <d v="2025-04-29T00:00:00"/>
    <s v="ACTIVE"/>
    <m/>
    <m/>
    <m/>
    <m/>
  </r>
  <r>
    <n v="502"/>
    <s v="Donor_072"/>
    <d v="2024-02-10T00:00:00"/>
    <s v="West"/>
    <x v="0"/>
    <m/>
    <n v="438"/>
    <s v="Cash"/>
    <s v="2024-02"/>
    <d v="2025-04-13T00:00:00"/>
    <s v="ACTIVE"/>
    <m/>
    <m/>
    <m/>
    <m/>
  </r>
  <r>
    <n v="1029"/>
    <s v="Donor_103"/>
    <d v="2024-05-21T00:00:00"/>
    <s v="North"/>
    <x v="1"/>
    <m/>
    <n v="788"/>
    <s v="UPI"/>
    <s v="2024-05"/>
    <d v="2025-02-25T00:00:00"/>
    <s v="LAPSED"/>
    <m/>
    <m/>
    <m/>
    <m/>
  </r>
  <r>
    <n v="1434"/>
    <s v="Donor_043"/>
    <d v="2024-10-05T00:00:00"/>
    <s v="Central"/>
    <x v="5"/>
    <m/>
    <n v="357"/>
    <s v="Cash"/>
    <s v="2024-10"/>
    <d v="2025-06-13T00:00:00"/>
    <s v="ACTIVE"/>
    <m/>
    <m/>
    <m/>
    <m/>
  </r>
  <r>
    <n v="1117"/>
    <s v="Donor_115"/>
    <d v="2024-11-20T00:00:00"/>
    <s v="South"/>
    <x v="0"/>
    <m/>
    <n v="5033"/>
    <s v="Cash"/>
    <s v="2024-11"/>
    <d v="2025-06-20T00:00:00"/>
    <s v="ACTIVE"/>
    <m/>
    <m/>
    <m/>
    <m/>
  </r>
  <r>
    <n v="1135"/>
    <s v="Donor_050"/>
    <d v="2024-04-08T00:00:00"/>
    <s v="South"/>
    <x v="5"/>
    <m/>
    <n v="1440"/>
    <s v="Bank Transfer"/>
    <s v="2024-04"/>
    <d v="2025-06-18T00:00:00"/>
    <s v="ACTIVE"/>
    <m/>
    <m/>
    <m/>
    <m/>
  </r>
  <r>
    <n v="1715"/>
    <s v="Donor_104"/>
    <d v="2024-02-07T00:00:00"/>
    <s v="North"/>
    <x v="2"/>
    <m/>
    <n v="10991"/>
    <s v="Cash"/>
    <s v="2024-02"/>
    <d v="2025-05-08T00:00:00"/>
    <s v="ACTIVE"/>
    <m/>
    <m/>
    <m/>
    <m/>
  </r>
  <r>
    <n v="1746"/>
    <s v="Donor_036"/>
    <d v="2024-09-20T00:00:00"/>
    <s v="West"/>
    <x v="3"/>
    <m/>
    <n v="851"/>
    <s v="UPI"/>
    <s v="2024-09"/>
    <d v="2025-06-07T00:00:00"/>
    <s v="ACTIVE"/>
    <m/>
    <m/>
    <m/>
    <m/>
  </r>
  <r>
    <n v="801"/>
    <s v="Donor_020"/>
    <d v="2024-10-06T00:00:00"/>
    <s v="West"/>
    <x v="5"/>
    <m/>
    <n v="1330"/>
    <s v="UPI"/>
    <s v="2024-10"/>
    <d v="2025-05-31T00:00:00"/>
    <s v="ACTIVE"/>
    <m/>
    <m/>
    <m/>
    <m/>
  </r>
  <r>
    <n v="899"/>
    <s v="Donor_114"/>
    <d v="2024-05-31T00:00:00"/>
    <s v="East"/>
    <x v="4"/>
    <m/>
    <n v="2873"/>
    <s v="UPI"/>
    <s v="2024-05"/>
    <d v="2025-04-04T00:00:00"/>
    <s v="ACTIVE"/>
    <m/>
    <m/>
    <m/>
    <m/>
  </r>
  <r>
    <n v="737"/>
    <s v="Donor_020"/>
    <d v="2024-04-01T00:00:00"/>
    <s v="East"/>
    <x v="1"/>
    <m/>
    <n v="1235"/>
    <s v="Bank Transfer"/>
    <s v="2024-04"/>
    <d v="2025-05-31T00:00:00"/>
    <s v="ACTIVE"/>
    <m/>
    <m/>
    <m/>
    <m/>
  </r>
  <r>
    <n v="1733"/>
    <s v="Donor_086"/>
    <d v="2024-04-02T00:00:00"/>
    <s v="South"/>
    <x v="1"/>
    <m/>
    <n v="2385"/>
    <s v="Credit Card"/>
    <s v="2024-04"/>
    <d v="2025-05-29T00:00:00"/>
    <s v="ACTIVE"/>
    <m/>
    <m/>
    <m/>
    <m/>
  </r>
  <r>
    <n v="501"/>
    <s v="Donor_083"/>
    <d v="2025-06-21T00:00:00"/>
    <s v="North"/>
    <x v="0"/>
    <m/>
    <n v="981"/>
    <s v="UPI"/>
    <s v="2025-06"/>
    <d v="2025-06-21T00:00:00"/>
    <s v="ACTIVE"/>
    <m/>
    <m/>
    <m/>
    <m/>
  </r>
  <r>
    <n v="849"/>
    <s v="Donor_074"/>
    <d v="2024-06-16T00:00:00"/>
    <s v="South"/>
    <x v="1"/>
    <m/>
    <n v="275"/>
    <s v="Credit Card"/>
    <s v="2024-06"/>
    <d v="2025-06-18T00:00:00"/>
    <s v="ACTIVE"/>
    <m/>
    <m/>
    <m/>
    <m/>
  </r>
  <r>
    <n v="749"/>
    <s v="Donor_050"/>
    <d v="2025-01-01T00:00:00"/>
    <s v="NOT KNOWN"/>
    <x v="2"/>
    <m/>
    <n v="425"/>
    <s v="Bank Transfer"/>
    <s v="2025-01"/>
    <d v="2025-06-18T00:00:00"/>
    <s v="ACTIVE"/>
    <m/>
    <m/>
    <m/>
    <m/>
  </r>
  <r>
    <n v="147"/>
    <s v="Donor_086"/>
    <d v="2024-07-10T00:00:00"/>
    <s v="North"/>
    <x v="0"/>
    <m/>
    <n v="4135"/>
    <s v="Cheque"/>
    <s v="2024-07"/>
    <d v="2025-05-29T00:00:00"/>
    <s v="ACTIVE"/>
    <m/>
    <m/>
    <m/>
    <m/>
  </r>
  <r>
    <n v="1543"/>
    <s v="Donor_033"/>
    <d v="2024-08-11T00:00:00"/>
    <s v="East"/>
    <x v="5"/>
    <m/>
    <n v="563"/>
    <s v="Cheque"/>
    <s v="2024-08"/>
    <d v="2025-06-21T00:00:00"/>
    <s v="ACTIVE"/>
    <m/>
    <m/>
    <m/>
    <m/>
  </r>
  <r>
    <n v="453"/>
    <s v="Donor_017"/>
    <d v="2024-10-02T00:00:00"/>
    <s v="West"/>
    <x v="2"/>
    <m/>
    <n v="447"/>
    <s v="Credit Card"/>
    <s v="2024-10"/>
    <d v="2025-02-02T00:00:00"/>
    <s v="LAPSED"/>
    <m/>
    <m/>
    <m/>
    <m/>
  </r>
  <r>
    <n v="603"/>
    <s v="Donor_107"/>
    <d v="2024-08-25T00:00:00"/>
    <s v="Central"/>
    <x v="2"/>
    <m/>
    <n v="4823"/>
    <s v="Bank Transfer"/>
    <s v="2024-08"/>
    <d v="2025-03-18T00:00:00"/>
    <s v="LAPSED"/>
    <m/>
    <m/>
    <m/>
    <m/>
  </r>
  <r>
    <n v="300"/>
    <s v="Donor_008"/>
    <d v="2024-10-14T00:00:00"/>
    <s v="West"/>
    <x v="0"/>
    <m/>
    <n v="5534"/>
    <s v="Credit Card"/>
    <s v="2024-10"/>
    <d v="2025-06-07T00:00:00"/>
    <s v="ACTIVE"/>
    <m/>
    <m/>
    <m/>
    <m/>
  </r>
  <r>
    <n v="1776"/>
    <s v="Donor_089"/>
    <d v="2024-01-26T00:00:00"/>
    <s v="Central"/>
    <x v="4"/>
    <m/>
    <n v="581"/>
    <s v="UPI"/>
    <s v="2024-01"/>
    <d v="2025-05-16T00:00:00"/>
    <s v="ACTIVE"/>
    <m/>
    <m/>
    <m/>
    <m/>
  </r>
  <r>
    <n v="390"/>
    <s v="Donor_061"/>
    <d v="2024-02-01T00:00:00"/>
    <s v="South"/>
    <x v="0"/>
    <m/>
    <n v="1709"/>
    <s v="Cash"/>
    <s v="2024-02"/>
    <d v="2025-05-21T00:00:00"/>
    <s v="ACTIVE"/>
    <m/>
    <m/>
    <m/>
    <m/>
  </r>
  <r>
    <n v="1734"/>
    <s v="Donor_036"/>
    <d v="2024-05-28T00:00:00"/>
    <s v="North"/>
    <x v="0"/>
    <m/>
    <n v="882"/>
    <s v="Cash"/>
    <s v="2024-05"/>
    <d v="2025-06-07T00:00:00"/>
    <s v="ACTIVE"/>
    <m/>
    <m/>
    <m/>
    <m/>
  </r>
  <r>
    <n v="1260"/>
    <s v="Donor_079"/>
    <d v="2024-03-13T00:00:00"/>
    <s v="North"/>
    <x v="0"/>
    <m/>
    <n v="819"/>
    <s v="Credit Card"/>
    <s v="2024-03"/>
    <d v="2025-06-07T00:00:00"/>
    <s v="ACTIVE"/>
    <m/>
    <m/>
    <m/>
    <m/>
  </r>
  <r>
    <n v="112"/>
    <s v="Donor_048"/>
    <d v="2024-09-18T00:00:00"/>
    <s v="South"/>
    <x v="2"/>
    <m/>
    <n v="248"/>
    <s v="UPI"/>
    <s v="2024-09"/>
    <d v="2025-06-08T00:00:00"/>
    <s v="ACTIVE"/>
    <m/>
    <m/>
    <m/>
    <m/>
  </r>
  <r>
    <n v="688"/>
    <s v="Donor_023"/>
    <d v="2024-09-18T00:00:00"/>
    <s v="South"/>
    <x v="1"/>
    <m/>
    <n v="808"/>
    <s v="Credit Card"/>
    <s v="2024-09"/>
    <d v="2025-05-24T00:00:00"/>
    <s v="ACTIVE"/>
    <m/>
    <m/>
    <m/>
    <m/>
  </r>
  <r>
    <n v="264"/>
    <s v="Donor_113"/>
    <d v="2024-05-15T00:00:00"/>
    <s v="East"/>
    <x v="4"/>
    <m/>
    <n v="2093"/>
    <s v="Bank Transfer"/>
    <s v="2024-05"/>
    <d v="2025-04-17T00:00:00"/>
    <s v="ACTIVE"/>
    <m/>
    <m/>
    <m/>
    <m/>
  </r>
  <r>
    <n v="142"/>
    <s v="Donor_105"/>
    <d v="2024-08-15T00:00:00"/>
    <s v="West"/>
    <x v="5"/>
    <m/>
    <n v="483"/>
    <s v="Cash"/>
    <s v="2024-08"/>
    <d v="2025-06-15T00:00:00"/>
    <s v="ACTIVE"/>
    <m/>
    <m/>
    <m/>
    <m/>
  </r>
  <r>
    <n v="965"/>
    <s v="Donor_067"/>
    <d v="2024-01-24T00:00:00"/>
    <s v="Central"/>
    <x v="4"/>
    <m/>
    <n v="2293"/>
    <s v="UPI"/>
    <s v="2024-01"/>
    <d v="2025-06-15T00:00:00"/>
    <s v="ACTIVE"/>
    <m/>
    <m/>
    <m/>
    <m/>
  </r>
  <r>
    <n v="748"/>
    <s v="Donor_101"/>
    <d v="2024-03-24T00:00:00"/>
    <s v="North"/>
    <x v="0"/>
    <m/>
    <n v="579"/>
    <s v="Cash"/>
    <s v="2024-03"/>
    <d v="2025-05-11T00:00:00"/>
    <s v="ACTIVE"/>
    <m/>
    <m/>
    <m/>
    <m/>
  </r>
  <r>
    <n v="1756"/>
    <s v="Donor_022"/>
    <d v="2024-06-30T00:00:00"/>
    <s v="North"/>
    <x v="1"/>
    <m/>
    <n v="5839"/>
    <s v="Bank Transfer"/>
    <s v="2024-06"/>
    <d v="2025-06-21T00:00:00"/>
    <s v="ACTIVE"/>
    <m/>
    <m/>
    <m/>
    <m/>
  </r>
  <r>
    <n v="1472"/>
    <s v="Donor_015"/>
    <d v="2025-01-06T00:00:00"/>
    <s v="North"/>
    <x v="5"/>
    <m/>
    <n v="4637"/>
    <s v="UPI"/>
    <s v="2025-01"/>
    <d v="2025-05-02T00:00:00"/>
    <s v="ACTIVE"/>
    <m/>
    <m/>
    <m/>
    <m/>
  </r>
  <r>
    <n v="972"/>
    <s v="Donor_073"/>
    <d v="2025-04-21T00:00:00"/>
    <s v="East"/>
    <x v="4"/>
    <m/>
    <n v="8265"/>
    <s v="Bank Transfer"/>
    <s v="2025-04"/>
    <d v="2025-06-23T00:00:00"/>
    <s v="ACTIVE"/>
    <m/>
    <m/>
    <m/>
    <m/>
  </r>
  <r>
    <n v="998"/>
    <s v="Donor_046"/>
    <d v="2024-05-25T00:00:00"/>
    <s v="West"/>
    <x v="3"/>
    <m/>
    <n v="2062"/>
    <s v="Cash"/>
    <s v="2024-05"/>
    <d v="2025-05-10T00:00:00"/>
    <s v="ACTIVE"/>
    <m/>
    <m/>
    <m/>
    <m/>
  </r>
  <r>
    <n v="398"/>
    <s v="Donor_099"/>
    <d v="2025-02-18T00:00:00"/>
    <s v="Central"/>
    <x v="4"/>
    <m/>
    <n v="510"/>
    <s v="Cheque"/>
    <s v="2025-02"/>
    <d v="2025-05-30T00:00:00"/>
    <s v="ACTIVE"/>
    <m/>
    <m/>
    <m/>
    <m/>
  </r>
  <r>
    <n v="518"/>
    <s v="Donor_033"/>
    <d v="2024-10-15T00:00:00"/>
    <s v="North"/>
    <x v="5"/>
    <m/>
    <n v="2507"/>
    <s v="Bank Transfer"/>
    <s v="2024-10"/>
    <d v="2025-06-21T00:00:00"/>
    <s v="ACTIVE"/>
    <m/>
    <m/>
    <m/>
    <m/>
  </r>
  <r>
    <n v="1732"/>
    <s v="Donor_120"/>
    <d v="2025-01-12T00:00:00"/>
    <s v="South"/>
    <x v="3"/>
    <m/>
    <n v="283"/>
    <s v="Cheque"/>
    <s v="2025-01"/>
    <d v="2025-06-19T00:00:00"/>
    <s v="ACTIVE"/>
    <m/>
    <m/>
    <m/>
    <m/>
  </r>
  <r>
    <n v="769"/>
    <s v="Donor_047"/>
    <d v="2024-01-07T00:00:00"/>
    <s v="North"/>
    <x v="3"/>
    <m/>
    <n v="4060"/>
    <s v="UPI"/>
    <s v="2024-01"/>
    <d v="2025-05-04T00:00:00"/>
    <s v="ACTIVE"/>
    <m/>
    <m/>
    <m/>
    <m/>
  </r>
  <r>
    <n v="1324"/>
    <s v="Donor_052"/>
    <d v="2024-06-01T00:00:00"/>
    <s v="NOT KNOWN"/>
    <x v="3"/>
    <m/>
    <n v="837"/>
    <s v="Credit Card"/>
    <s v="2024-06"/>
    <d v="2025-06-13T00:00:00"/>
    <s v="ACTIVE"/>
    <m/>
    <m/>
    <m/>
    <m/>
  </r>
  <r>
    <n v="1286"/>
    <s v="Donor_085"/>
    <d v="2024-12-09T00:00:00"/>
    <s v="West"/>
    <x v="3"/>
    <m/>
    <n v="248"/>
    <s v="Credit Card"/>
    <s v="2024-12"/>
    <d v="2025-06-22T00:00:00"/>
    <s v="ACTIVE"/>
    <m/>
    <m/>
    <m/>
    <m/>
  </r>
  <r>
    <n v="1084"/>
    <s v="Donor_063"/>
    <d v="2024-10-01T00:00:00"/>
    <s v="South"/>
    <x v="5"/>
    <m/>
    <n v="462"/>
    <s v="Cash"/>
    <s v="2024-10"/>
    <d v="2025-04-20T00:00:00"/>
    <s v="ACTIVE"/>
    <m/>
    <m/>
    <m/>
    <m/>
  </r>
  <r>
    <n v="186"/>
    <s v="Donor_018"/>
    <d v="2024-10-05T00:00:00"/>
    <s v="North"/>
    <x v="0"/>
    <m/>
    <n v="1794"/>
    <s v="Cheque"/>
    <s v="2024-10"/>
    <d v="2025-06-16T00:00:00"/>
    <s v="ACTIVE"/>
    <m/>
    <m/>
    <m/>
    <m/>
  </r>
  <r>
    <n v="1263"/>
    <s v="Donor_034"/>
    <d v="2024-07-07T00:00:00"/>
    <s v="West"/>
    <x v="4"/>
    <m/>
    <n v="1881"/>
    <s v="UPI"/>
    <s v="2024-07"/>
    <d v="2025-06-21T00:00:00"/>
    <s v="ACTIVE"/>
    <m/>
    <m/>
    <m/>
    <m/>
  </r>
  <r>
    <n v="173"/>
    <s v="Donor_037"/>
    <d v="2025-04-26T00:00:00"/>
    <s v="Central"/>
    <x v="3"/>
    <m/>
    <n v="972"/>
    <s v="Bank Transfer"/>
    <s v="2025-04"/>
    <d v="2025-05-23T00:00:00"/>
    <s v="ACTIVE"/>
    <m/>
    <m/>
    <m/>
    <m/>
  </r>
  <r>
    <n v="340"/>
    <s v="Donor_111"/>
    <d v="2024-02-24T00:00:00"/>
    <s v="Central"/>
    <x v="0"/>
    <m/>
    <n v="989"/>
    <s v="Credit Card"/>
    <s v="2024-02"/>
    <d v="2025-04-26T00:00:00"/>
    <s v="ACTIVE"/>
    <m/>
    <m/>
    <m/>
    <m/>
  </r>
  <r>
    <n v="1653"/>
    <s v="Donor_011"/>
    <d v="2024-06-01T00:00:00"/>
    <s v="East"/>
    <x v="0"/>
    <m/>
    <n v="1010"/>
    <s v="Credit Card"/>
    <s v="2024-06"/>
    <d v="2025-06-04T00:00:00"/>
    <s v="ACTIVE"/>
    <m/>
    <m/>
    <m/>
    <m/>
  </r>
  <r>
    <n v="1078"/>
    <s v="Donor_037"/>
    <d v="2025-05-23T00:00:00"/>
    <s v="South"/>
    <x v="4"/>
    <m/>
    <n v="1180"/>
    <s v="Credit Card"/>
    <s v="2025-05"/>
    <d v="2025-05-23T00:00:00"/>
    <s v="ACTIVE"/>
    <m/>
    <m/>
    <m/>
    <m/>
  </r>
  <r>
    <n v="1602"/>
    <s v="Donor_031"/>
    <d v="2024-05-12T00:00:00"/>
    <s v="Central"/>
    <x v="0"/>
    <m/>
    <n v="11426"/>
    <s v="Bank Transfer"/>
    <s v="2024-05"/>
    <d v="2025-05-17T00:00:00"/>
    <s v="ACTIVE"/>
    <m/>
    <m/>
    <m/>
    <m/>
  </r>
  <r>
    <n v="701"/>
    <s v="Donor_075"/>
    <d v="2025-04-05T00:00:00"/>
    <s v="South"/>
    <x v="4"/>
    <m/>
    <n v="2569"/>
    <s v="Cash"/>
    <s v="2025-04"/>
    <d v="2025-04-29T00:00:00"/>
    <s v="ACTIVE"/>
    <m/>
    <m/>
    <m/>
    <m/>
  </r>
  <r>
    <n v="493"/>
    <s v="Donor_054"/>
    <d v="2024-08-20T00:00:00"/>
    <s v="South"/>
    <x v="0"/>
    <m/>
    <n v="1456"/>
    <s v="Bank Transfer"/>
    <s v="2024-08"/>
    <d v="2025-06-18T00:00:00"/>
    <s v="ACTIVE"/>
    <m/>
    <m/>
    <m/>
    <m/>
  </r>
  <r>
    <n v="96"/>
    <s v="Donor_117"/>
    <d v="2024-04-02T00:00:00"/>
    <s v="East"/>
    <x v="5"/>
    <m/>
    <n v="653"/>
    <s v="Credit Card"/>
    <s v="2024-04"/>
    <d v="2025-04-05T00:00:00"/>
    <s v="ACTIVE"/>
    <m/>
    <m/>
    <m/>
    <m/>
  </r>
  <r>
    <n v="1692"/>
    <s v="Donor_041"/>
    <d v="2024-11-14T00:00:00"/>
    <s v="West"/>
    <x v="5"/>
    <m/>
    <n v="331"/>
    <s v="Bank Transfer"/>
    <s v="2024-11"/>
    <d v="2025-06-13T00:00:00"/>
    <s v="ACTIVE"/>
    <m/>
    <m/>
    <m/>
    <m/>
  </r>
  <r>
    <n v="757"/>
    <s v="Donor_062"/>
    <d v="2024-01-29T00:00:00"/>
    <s v="West"/>
    <x v="3"/>
    <m/>
    <n v="5681"/>
    <s v="Credit Card"/>
    <s v="2024-01"/>
    <d v="2025-05-17T00:00:00"/>
    <s v="ACTIVE"/>
    <m/>
    <m/>
    <m/>
    <m/>
  </r>
  <r>
    <n v="354"/>
    <s v="Donor_112"/>
    <d v="2024-06-27T00:00:00"/>
    <s v="North"/>
    <x v="5"/>
    <m/>
    <n v="5603"/>
    <s v="Bank Transfer"/>
    <s v="2024-06"/>
    <d v="2025-05-26T00:00:00"/>
    <s v="ACTIVE"/>
    <m/>
    <m/>
    <m/>
    <m/>
  </r>
  <r>
    <n v="1735"/>
    <s v="Donor_076"/>
    <d v="2025-06-08T00:00:00"/>
    <s v="North"/>
    <x v="1"/>
    <m/>
    <n v="562"/>
    <s v="Bank Transfer"/>
    <s v="2025-06"/>
    <d v="2025-06-08T00:00:00"/>
    <s v="ACTIVE"/>
    <m/>
    <m/>
    <m/>
    <m/>
  </r>
  <r>
    <n v="1039"/>
    <s v="Donor_024"/>
    <d v="2025-03-25T00:00:00"/>
    <s v="East"/>
    <x v="3"/>
    <m/>
    <n v="4699"/>
    <s v="Credit Card"/>
    <s v="2025-03"/>
    <d v="2025-06-07T00:00:00"/>
    <s v="ACTIVE"/>
    <m/>
    <m/>
    <m/>
    <m/>
  </r>
  <r>
    <n v="8"/>
    <s v="Donor_104"/>
    <d v="2024-02-02T00:00:00"/>
    <s v="East"/>
    <x v="1"/>
    <m/>
    <n v="2066"/>
    <s v="Cheque"/>
    <s v="2024-02"/>
    <d v="2025-05-08T00:00:00"/>
    <s v="ACTIVE"/>
    <m/>
    <m/>
    <m/>
    <m/>
  </r>
  <r>
    <n v="102"/>
    <s v="Donor_076"/>
    <d v="2025-03-05T00:00:00"/>
    <s v="South"/>
    <x v="1"/>
    <m/>
    <n v="1133"/>
    <s v="Cheque"/>
    <s v="2025-03"/>
    <d v="2025-06-08T00:00:00"/>
    <s v="ACTIVE"/>
    <m/>
    <m/>
    <m/>
    <m/>
  </r>
  <r>
    <n v="650"/>
    <s v="Donor_080"/>
    <d v="2024-08-19T00:00:00"/>
    <s v="North"/>
    <x v="2"/>
    <m/>
    <n v="1037"/>
    <s v="Bank Transfer"/>
    <s v="2024-08"/>
    <d v="2025-05-11T00:00:00"/>
    <s v="ACTIVE"/>
    <m/>
    <m/>
    <m/>
    <m/>
  </r>
  <r>
    <n v="1152"/>
    <s v="Donor_077"/>
    <d v="2025-04-18T00:00:00"/>
    <s v="East"/>
    <x v="3"/>
    <m/>
    <n v="1780"/>
    <s v="Bank Transfer"/>
    <s v="2025-04"/>
    <d v="2025-06-21T00:00:00"/>
    <s v="ACTIVE"/>
    <m/>
    <m/>
    <m/>
    <m/>
  </r>
  <r>
    <n v="329"/>
    <s v="Donor_036"/>
    <d v="2024-07-22T00:00:00"/>
    <s v="East"/>
    <x v="1"/>
    <m/>
    <n v="9588"/>
    <s v="UPI"/>
    <s v="2024-07"/>
    <d v="2025-06-07T00:00:00"/>
    <s v="ACTIVE"/>
    <m/>
    <m/>
    <m/>
    <m/>
  </r>
  <r>
    <n v="661"/>
    <s v="Donor_069"/>
    <d v="2025-05-17T00:00:00"/>
    <s v="East"/>
    <x v="2"/>
    <m/>
    <n v="927"/>
    <s v="Cash"/>
    <s v="2025-05"/>
    <d v="2025-06-13T00:00:00"/>
    <s v="ACTIVE"/>
    <m/>
    <m/>
    <m/>
    <m/>
  </r>
  <r>
    <n v="738"/>
    <s v="Donor_053"/>
    <d v="2024-05-25T00:00:00"/>
    <s v="East"/>
    <x v="5"/>
    <m/>
    <n v="882"/>
    <s v="UPI"/>
    <s v="2024-05"/>
    <d v="2025-04-16T00:00:00"/>
    <s v="ACTIVE"/>
    <m/>
    <m/>
    <m/>
    <m/>
  </r>
  <r>
    <n v="1028"/>
    <s v="Donor_044"/>
    <d v="2024-03-14T00:00:00"/>
    <s v="South"/>
    <x v="2"/>
    <m/>
    <n v="9985"/>
    <s v="Credit Card"/>
    <s v="2024-03"/>
    <d v="2025-05-05T00:00:00"/>
    <s v="ACTIVE"/>
    <m/>
    <m/>
    <m/>
    <m/>
  </r>
  <r>
    <n v="109"/>
    <s v="Donor_055"/>
    <d v="2025-02-15T00:00:00"/>
    <s v="North"/>
    <x v="1"/>
    <m/>
    <n v="249"/>
    <s v="UPI"/>
    <s v="2025-02"/>
    <d v="2025-05-11T00:00:00"/>
    <s v="ACTIVE"/>
    <m/>
    <m/>
    <m/>
    <m/>
  </r>
  <r>
    <n v="1191"/>
    <s v="Donor_085"/>
    <d v="2024-08-01T00:00:00"/>
    <s v="East"/>
    <x v="5"/>
    <m/>
    <n v="4047"/>
    <s v="Cash"/>
    <s v="2024-08"/>
    <d v="2025-06-22T00:00:00"/>
    <s v="ACTIVE"/>
    <m/>
    <m/>
    <m/>
    <m/>
  </r>
  <r>
    <n v="411"/>
    <s v="Donor_014"/>
    <d v="2024-05-15T00:00:00"/>
    <s v="North"/>
    <x v="4"/>
    <m/>
    <n v="11438"/>
    <s v="Cheque"/>
    <s v="2024-05"/>
    <d v="2025-06-03T00:00:00"/>
    <s v="ACTIVE"/>
    <m/>
    <m/>
    <m/>
    <m/>
  </r>
  <r>
    <n v="1384"/>
    <s v="Donor_066"/>
    <d v="2024-03-02T00:00:00"/>
    <s v="North"/>
    <x v="3"/>
    <m/>
    <n v="10664"/>
    <s v="Cheque"/>
    <s v="2024-03"/>
    <d v="2025-03-22T00:00:00"/>
    <s v="LAPSED"/>
    <m/>
    <m/>
    <m/>
    <m/>
  </r>
  <r>
    <n v="201"/>
    <s v="Donor_120"/>
    <d v="2024-03-11T00:00:00"/>
    <s v="West"/>
    <x v="3"/>
    <m/>
    <n v="2409"/>
    <s v="Credit Card"/>
    <s v="2024-03"/>
    <d v="2025-06-19T00:00:00"/>
    <s v="ACTIVE"/>
    <m/>
    <m/>
    <m/>
    <m/>
  </r>
  <r>
    <n v="352"/>
    <s v="Donor_089"/>
    <d v="2024-07-31T00:00:00"/>
    <s v="West"/>
    <x v="5"/>
    <m/>
    <n v="1602"/>
    <s v="UPI"/>
    <s v="2024-07"/>
    <d v="2025-05-16T00:00:00"/>
    <s v="ACTIVE"/>
    <m/>
    <m/>
    <m/>
    <m/>
  </r>
  <r>
    <n v="572"/>
    <s v="Donor_009"/>
    <d v="2025-02-02T00:00:00"/>
    <s v="Central"/>
    <x v="2"/>
    <m/>
    <n v="2500"/>
    <s v="Cash"/>
    <s v="2025-02"/>
    <d v="2025-05-15T00:00:00"/>
    <s v="ACTIVE"/>
    <m/>
    <m/>
    <m/>
    <m/>
  </r>
  <r>
    <n v="946"/>
    <s v="Donor_042"/>
    <d v="2024-05-28T00:00:00"/>
    <s v="East"/>
    <x v="3"/>
    <m/>
    <n v="1738"/>
    <s v="Credit Card"/>
    <s v="2024-05"/>
    <d v="2025-02-10T00:00:00"/>
    <s v="LAPSED"/>
    <m/>
    <m/>
    <m/>
    <m/>
  </r>
  <r>
    <n v="61"/>
    <s v="Donor_073"/>
    <d v="2025-04-20T00:00:00"/>
    <s v="Central"/>
    <x v="2"/>
    <m/>
    <n v="701"/>
    <s v="Cash"/>
    <s v="2025-04"/>
    <d v="2025-06-23T00:00:00"/>
    <s v="ACTIVE"/>
    <m/>
    <m/>
    <m/>
    <m/>
  </r>
  <r>
    <n v="1122"/>
    <s v="Donor_023"/>
    <d v="2024-10-20T00:00:00"/>
    <s v="East"/>
    <x v="4"/>
    <m/>
    <n v="4828"/>
    <s v="Credit Card"/>
    <s v="2024-10"/>
    <d v="2025-05-24T00:00:00"/>
    <s v="ACTIVE"/>
    <m/>
    <m/>
    <m/>
    <m/>
  </r>
  <r>
    <n v="1331"/>
    <s v="Donor_091"/>
    <d v="2024-08-22T00:00:00"/>
    <s v="Central"/>
    <x v="0"/>
    <m/>
    <n v="0"/>
    <s v="Credit Card"/>
    <s v="2024-08"/>
    <d v="2025-05-16T00:00:00"/>
    <s v="ACTIVE"/>
    <m/>
    <m/>
    <m/>
    <m/>
  </r>
  <r>
    <n v="358"/>
    <s v="Donor_024"/>
    <d v="2025-03-24T00:00:00"/>
    <s v="Central"/>
    <x v="1"/>
    <m/>
    <n v="5223"/>
    <s v="Credit Card"/>
    <s v="2025-03"/>
    <d v="2025-06-07T00:00:00"/>
    <s v="ACTIVE"/>
    <m/>
    <m/>
    <m/>
    <m/>
  </r>
  <r>
    <n v="1417"/>
    <s v="Donor_007"/>
    <d v="2024-06-20T00:00:00"/>
    <s v="West"/>
    <x v="4"/>
    <m/>
    <n v="1345"/>
    <s v="Cheque"/>
    <s v="2024-06"/>
    <d v="2025-06-21T00:00:00"/>
    <s v="ACTIVE"/>
    <m/>
    <m/>
    <m/>
    <m/>
  </r>
  <r>
    <n v="1661"/>
    <s v="Donor_009"/>
    <d v="2024-01-16T00:00:00"/>
    <s v="East"/>
    <x v="4"/>
    <m/>
    <n v="854"/>
    <s v="Credit Card"/>
    <s v="2024-01"/>
    <d v="2025-05-15T00:00:00"/>
    <s v="ACTIVE"/>
    <m/>
    <m/>
    <m/>
    <m/>
  </r>
  <r>
    <n v="195"/>
    <s v="Donor_089"/>
    <d v="2024-11-14T00:00:00"/>
    <s v="North"/>
    <x v="2"/>
    <m/>
    <n v="2368"/>
    <s v="Credit Card"/>
    <s v="2024-11"/>
    <d v="2025-05-16T00:00:00"/>
    <s v="ACTIVE"/>
    <m/>
    <m/>
    <m/>
    <m/>
  </r>
  <r>
    <n v="839"/>
    <s v="Donor_115"/>
    <d v="2025-05-02T00:00:00"/>
    <s v="North"/>
    <x v="2"/>
    <m/>
    <n v="1754"/>
    <s v="Cash"/>
    <s v="2025-05"/>
    <d v="2025-06-20T00:00:00"/>
    <s v="ACTIVE"/>
    <m/>
    <m/>
    <m/>
    <m/>
  </r>
  <r>
    <n v="207"/>
    <s v="Donor_074"/>
    <d v="2024-11-22T00:00:00"/>
    <s v="Central"/>
    <x v="2"/>
    <m/>
    <n v="4474"/>
    <s v="Credit Card"/>
    <s v="2024-11"/>
    <d v="2025-06-18T00:00:00"/>
    <s v="ACTIVE"/>
    <m/>
    <m/>
    <m/>
    <m/>
  </r>
  <r>
    <n v="279"/>
    <s v="Donor_043"/>
    <d v="2024-01-31T00:00:00"/>
    <s v="West"/>
    <x v="5"/>
    <m/>
    <n v="8255"/>
    <s v="Cheque"/>
    <s v="2024-01"/>
    <d v="2025-06-13T00:00:00"/>
    <s v="ACTIVE"/>
    <m/>
    <m/>
    <m/>
    <m/>
  </r>
  <r>
    <n v="1595"/>
    <s v="Donor_067"/>
    <d v="2025-05-16T00:00:00"/>
    <s v="East"/>
    <x v="1"/>
    <m/>
    <n v="9298"/>
    <s v="Cheque"/>
    <s v="2025-05"/>
    <d v="2025-06-15T00:00:00"/>
    <s v="ACTIVE"/>
    <m/>
    <m/>
    <m/>
    <m/>
  </r>
  <r>
    <n v="1275"/>
    <s v="Donor_095"/>
    <d v="2025-03-20T00:00:00"/>
    <s v="Central"/>
    <x v="0"/>
    <m/>
    <n v="1505"/>
    <s v="UPI"/>
    <s v="2025-03"/>
    <d v="2025-05-17T00:00:00"/>
    <s v="ACTIVE"/>
    <m/>
    <m/>
    <m/>
    <m/>
  </r>
  <r>
    <n v="238"/>
    <s v="Donor_057"/>
    <d v="2024-08-02T00:00:00"/>
    <s v="East"/>
    <x v="2"/>
    <m/>
    <n v="1128"/>
    <s v="Cash"/>
    <s v="2024-08"/>
    <d v="2025-03-30T00:00:00"/>
    <s v="ACTIVE"/>
    <m/>
    <m/>
    <m/>
    <m/>
  </r>
  <r>
    <n v="636"/>
    <s v="Donor_089"/>
    <d v="2025-02-14T00:00:00"/>
    <s v="Central"/>
    <x v="3"/>
    <m/>
    <n v="1239"/>
    <s v="Credit Card"/>
    <s v="2025-02"/>
    <d v="2025-05-16T00:00:00"/>
    <s v="ACTIVE"/>
    <m/>
    <m/>
    <m/>
    <m/>
  </r>
  <r>
    <n v="1121"/>
    <s v="Donor_059"/>
    <d v="2025-01-18T00:00:00"/>
    <s v="North"/>
    <x v="2"/>
    <m/>
    <n v="1846"/>
    <s v="Credit Card"/>
    <s v="2025-01"/>
    <d v="2025-06-16T00:00:00"/>
    <s v="ACTIVE"/>
    <m/>
    <m/>
    <m/>
    <m/>
  </r>
  <r>
    <n v="620"/>
    <s v="Donor_113"/>
    <d v="2025-04-17T00:00:00"/>
    <s v="South"/>
    <x v="5"/>
    <m/>
    <n v="1232"/>
    <s v="Bank Transfer"/>
    <s v="2025-04"/>
    <d v="2025-04-17T00:00:00"/>
    <s v="ACTIVE"/>
    <m/>
    <m/>
    <m/>
    <m/>
  </r>
  <r>
    <n v="1743"/>
    <s v="Donor_096"/>
    <d v="2024-02-14T00:00:00"/>
    <s v="East"/>
    <x v="4"/>
    <m/>
    <n v="246"/>
    <s v="Cheque"/>
    <s v="2024-02"/>
    <d v="2025-06-04T00:00:00"/>
    <s v="ACTIVE"/>
    <m/>
    <m/>
    <m/>
    <m/>
  </r>
  <r>
    <n v="1554"/>
    <s v="Donor_084"/>
    <d v="2025-01-05T00:00:00"/>
    <s v="South"/>
    <x v="0"/>
    <m/>
    <n v="1594"/>
    <s v="Cheque"/>
    <s v="2025-01"/>
    <d v="2025-05-13T00:00:00"/>
    <s v="ACTIVE"/>
    <m/>
    <m/>
    <m/>
    <m/>
  </r>
  <r>
    <n v="789"/>
    <s v="Donor_012"/>
    <d v="2024-11-07T00:00:00"/>
    <s v="South"/>
    <x v="3"/>
    <m/>
    <n v="8711"/>
    <s v="Cheque"/>
    <s v="2024-11"/>
    <d v="2025-06-23T00:00:00"/>
    <s v="ACTIVE"/>
    <m/>
    <m/>
    <m/>
    <m/>
  </r>
  <r>
    <n v="1181"/>
    <s v="Donor_041"/>
    <d v="2024-02-22T00:00:00"/>
    <s v="North"/>
    <x v="4"/>
    <m/>
    <n v="254"/>
    <s v="UPI"/>
    <s v="2024-02"/>
    <d v="2025-06-13T00:00:00"/>
    <s v="ACTIVE"/>
    <m/>
    <m/>
    <m/>
    <m/>
  </r>
  <r>
    <n v="557"/>
    <s v="Donor_049"/>
    <d v="2024-08-27T00:00:00"/>
    <s v="West"/>
    <x v="1"/>
    <m/>
    <n v="2145"/>
    <s v="Cash"/>
    <s v="2024-08"/>
    <d v="2025-06-19T00:00:00"/>
    <s v="ACTIVE"/>
    <m/>
    <m/>
    <m/>
    <m/>
  </r>
  <r>
    <n v="424"/>
    <s v="Donor_045"/>
    <d v="2024-12-22T00:00:00"/>
    <s v="East"/>
    <x v="4"/>
    <m/>
    <n v="1964"/>
    <s v="Cash"/>
    <s v="2024-12"/>
    <d v="2025-05-11T00:00:00"/>
    <s v="ACTIVE"/>
    <m/>
    <m/>
    <m/>
    <m/>
  </r>
  <r>
    <n v="1134"/>
    <s v="Donor_045"/>
    <d v="2024-06-12T00:00:00"/>
    <s v="North"/>
    <x v="1"/>
    <m/>
    <n v="10747"/>
    <s v="Credit Card"/>
    <s v="2024-06"/>
    <d v="2025-05-11T00:00:00"/>
    <s v="ACTIVE"/>
    <m/>
    <m/>
    <m/>
    <m/>
  </r>
  <r>
    <n v="1536"/>
    <s v="Donor_051"/>
    <d v="2024-08-06T00:00:00"/>
    <s v="East"/>
    <x v="0"/>
    <m/>
    <n v="4268"/>
    <s v="UPI"/>
    <s v="2024-08"/>
    <d v="2025-06-11T00:00:00"/>
    <s v="ACTIVE"/>
    <m/>
    <m/>
    <m/>
    <m/>
  </r>
  <r>
    <n v="1019"/>
    <s v="Donor_005"/>
    <d v="2024-11-06T00:00:00"/>
    <s v="Central"/>
    <x v="1"/>
    <m/>
    <n v="582"/>
    <s v="Bank Transfer"/>
    <s v="2024-11"/>
    <d v="2025-06-10T00:00:00"/>
    <s v="ACTIVE"/>
    <m/>
    <m/>
    <m/>
    <m/>
  </r>
  <r>
    <n v="1717"/>
    <s v="Donor_004"/>
    <d v="2025-05-26T00:00:00"/>
    <s v="West"/>
    <x v="4"/>
    <m/>
    <n v="2387"/>
    <s v="Cheque"/>
    <s v="2025-05"/>
    <d v="2025-05-26T00:00:00"/>
    <s v="ACTIVE"/>
    <m/>
    <m/>
    <m/>
    <m/>
  </r>
  <r>
    <n v="1073"/>
    <s v="Donor_115"/>
    <d v="2024-02-10T00:00:00"/>
    <s v="Central"/>
    <x v="0"/>
    <m/>
    <n v="1605"/>
    <s v="UPI"/>
    <s v="2024-02"/>
    <d v="2025-06-20T00:00:00"/>
    <s v="ACTIVE"/>
    <m/>
    <m/>
    <m/>
    <m/>
  </r>
  <r>
    <n v="790"/>
    <s v="Donor_027"/>
    <d v="2024-10-17T00:00:00"/>
    <s v="South"/>
    <x v="5"/>
    <m/>
    <n v="8280"/>
    <s v="UPI"/>
    <s v="2024-10"/>
    <d v="2025-06-06T00:00:00"/>
    <s v="ACTIVE"/>
    <m/>
    <m/>
    <m/>
    <m/>
  </r>
  <r>
    <n v="664"/>
    <s v="Donor_050"/>
    <d v="2025-03-29T00:00:00"/>
    <s v="North"/>
    <x v="1"/>
    <m/>
    <n v="2301"/>
    <s v="Credit Card"/>
    <s v="2025-03"/>
    <d v="2025-06-18T00:00:00"/>
    <s v="ACTIVE"/>
    <m/>
    <m/>
    <m/>
    <m/>
  </r>
  <r>
    <n v="730"/>
    <s v="Donor_071"/>
    <d v="2024-05-05T00:00:00"/>
    <s v="East"/>
    <x v="3"/>
    <m/>
    <n v="484"/>
    <s v="Cheque"/>
    <s v="2024-05"/>
    <d v="2025-06-08T00:00:00"/>
    <s v="ACTIVE"/>
    <m/>
    <m/>
    <m/>
    <m/>
  </r>
  <r>
    <n v="225"/>
    <s v="Donor_023"/>
    <d v="2024-02-03T00:00:00"/>
    <s v="East"/>
    <x v="3"/>
    <m/>
    <n v="2070"/>
    <s v="Cash"/>
    <s v="2024-02"/>
    <d v="2025-05-24T00:00:00"/>
    <s v="ACTIVE"/>
    <m/>
    <m/>
    <m/>
    <m/>
  </r>
  <r>
    <n v="1160"/>
    <s v="Donor_021"/>
    <d v="2025-04-05T00:00:00"/>
    <s v="South"/>
    <x v="1"/>
    <m/>
    <n v="2003"/>
    <s v="Bank Transfer"/>
    <s v="2025-04"/>
    <d v="2025-04-05T00:00:00"/>
    <s v="ACTIVE"/>
    <m/>
    <m/>
    <m/>
    <m/>
  </r>
  <r>
    <n v="52"/>
    <s v="Donor_093"/>
    <d v="2025-02-18T00:00:00"/>
    <s v="South"/>
    <x v="1"/>
    <m/>
    <n v="1788"/>
    <s v="Cheque"/>
    <s v="2025-02"/>
    <d v="2025-03-24T00:00:00"/>
    <s v="LAPSED"/>
    <m/>
    <m/>
    <m/>
    <m/>
  </r>
  <r>
    <n v="644"/>
    <s v="Donor_042"/>
    <d v="2024-10-18T00:00:00"/>
    <s v="North"/>
    <x v="3"/>
    <m/>
    <n v="426"/>
    <s v="Bank Transfer"/>
    <s v="2024-10"/>
    <d v="2025-02-10T00:00:00"/>
    <s v="LAPSED"/>
    <m/>
    <m/>
    <m/>
    <m/>
  </r>
  <r>
    <n v="1620"/>
    <s v="Donor_035"/>
    <d v="2024-11-11T00:00:00"/>
    <s v="West"/>
    <x v="3"/>
    <m/>
    <n v="327"/>
    <s v="Cash"/>
    <s v="2024-11"/>
    <d v="2025-06-15T00:00:00"/>
    <s v="ACTIVE"/>
    <m/>
    <m/>
    <m/>
    <m/>
  </r>
  <r>
    <n v="442"/>
    <s v="Donor_114"/>
    <d v="2024-10-04T00:00:00"/>
    <s v="West"/>
    <x v="5"/>
    <m/>
    <n v="11862"/>
    <s v="Cash"/>
    <s v="2024-10"/>
    <d v="2025-04-04T00:00:00"/>
    <s v="ACTIVE"/>
    <m/>
    <m/>
    <m/>
    <m/>
  </r>
  <r>
    <n v="1713"/>
    <s v="Donor_103"/>
    <d v="2025-01-30T00:00:00"/>
    <s v="Central"/>
    <x v="0"/>
    <m/>
    <n v="896"/>
    <s v="Cheque"/>
    <s v="2025-01"/>
    <d v="2025-02-25T00:00:00"/>
    <s v="LAPSED"/>
    <m/>
    <m/>
    <m/>
    <m/>
  </r>
  <r>
    <n v="490"/>
    <s v="Donor_072"/>
    <d v="2025-04-13T00:00:00"/>
    <s v="North"/>
    <x v="3"/>
    <m/>
    <n v="2338"/>
    <s v="Bank Transfer"/>
    <s v="2025-04"/>
    <d v="2025-04-13T00:00:00"/>
    <s v="ACTIVE"/>
    <m/>
    <m/>
    <m/>
    <m/>
  </r>
  <r>
    <n v="1550"/>
    <s v="Donor_019"/>
    <d v="2024-09-11T00:00:00"/>
    <s v="East"/>
    <x v="0"/>
    <m/>
    <n v="918"/>
    <s v="Cheque"/>
    <s v="2024-09"/>
    <d v="2025-05-28T00:00:00"/>
    <s v="ACTIVE"/>
    <m/>
    <m/>
    <m/>
    <m/>
  </r>
  <r>
    <n v="1006"/>
    <s v="Donor_077"/>
    <d v="2024-11-05T00:00:00"/>
    <s v="East"/>
    <x v="4"/>
    <m/>
    <n v="804"/>
    <s v="Bank Transfer"/>
    <s v="2024-11"/>
    <d v="2025-06-21T00:00:00"/>
    <s v="ACTIVE"/>
    <m/>
    <m/>
    <m/>
    <m/>
  </r>
  <r>
    <n v="639"/>
    <s v="Donor_107"/>
    <d v="2024-02-24T00:00:00"/>
    <s v="North"/>
    <x v="1"/>
    <m/>
    <n v="594"/>
    <s v="Cash"/>
    <s v="2024-02"/>
    <d v="2025-03-18T00:00:00"/>
    <s v="LAPSED"/>
    <m/>
    <m/>
    <m/>
    <m/>
  </r>
  <r>
    <n v="1765"/>
    <s v="Donor_063"/>
    <d v="2025-02-21T00:00:00"/>
    <s v="Central"/>
    <x v="0"/>
    <m/>
    <n v="529"/>
    <s v="Cash"/>
    <s v="2025-02"/>
    <d v="2025-04-20T00:00:00"/>
    <s v="ACTIVE"/>
    <m/>
    <m/>
    <m/>
    <m/>
  </r>
  <r>
    <n v="948"/>
    <s v="Donor_077"/>
    <d v="2024-06-19T00:00:00"/>
    <s v="West"/>
    <x v="4"/>
    <m/>
    <n v="0"/>
    <s v="Credit Card"/>
    <s v="2024-06"/>
    <d v="2025-06-21T00:00:00"/>
    <s v="ACTIVE"/>
    <m/>
    <m/>
    <m/>
    <m/>
  </r>
  <r>
    <n v="309"/>
    <s v="Donor_106"/>
    <d v="2024-03-31T00:00:00"/>
    <s v="East"/>
    <x v="1"/>
    <m/>
    <n v="453"/>
    <s v="Credit Card"/>
    <s v="2024-03"/>
    <d v="2025-06-11T00:00:00"/>
    <s v="ACTIVE"/>
    <m/>
    <m/>
    <m/>
    <m/>
  </r>
  <r>
    <n v="1347"/>
    <s v="Donor_118"/>
    <d v="2024-01-08T00:00:00"/>
    <s v="Central"/>
    <x v="5"/>
    <m/>
    <n v="2556"/>
    <s v="Cheque"/>
    <s v="2024-01"/>
    <d v="2025-04-19T00:00:00"/>
    <s v="ACTIVE"/>
    <m/>
    <m/>
    <m/>
    <m/>
  </r>
  <r>
    <n v="612"/>
    <s v="Donor_008"/>
    <d v="2025-06-07T00:00:00"/>
    <s v="East"/>
    <x v="1"/>
    <m/>
    <n v="1630"/>
    <s v="Cash"/>
    <s v="2025-06"/>
    <d v="2025-06-07T00:00:00"/>
    <s v="ACTIVE"/>
    <m/>
    <m/>
    <m/>
    <m/>
  </r>
  <r>
    <n v="702"/>
    <s v="Donor_109"/>
    <d v="2025-03-01T00:00:00"/>
    <s v="West"/>
    <x v="2"/>
    <m/>
    <n v="11996"/>
    <s v="UPI"/>
    <s v="2025-03"/>
    <d v="2025-06-22T00:00:00"/>
    <s v="ACTIVE"/>
    <m/>
    <m/>
    <m/>
    <m/>
  </r>
  <r>
    <n v="376"/>
    <s v="Donor_096"/>
    <d v="2024-08-17T00:00:00"/>
    <s v="Central"/>
    <x v="1"/>
    <m/>
    <n v="2009"/>
    <s v="Bank Transfer"/>
    <s v="2024-08"/>
    <d v="2025-06-04T00:00:00"/>
    <s v="ACTIVE"/>
    <m/>
    <m/>
    <m/>
    <m/>
  </r>
  <r>
    <n v="1063"/>
    <s v="Donor_054"/>
    <d v="2025-02-22T00:00:00"/>
    <s v="Central"/>
    <x v="4"/>
    <m/>
    <n v="0"/>
    <s v="Credit Card"/>
    <s v="2025-02"/>
    <d v="2025-06-18T00:00:00"/>
    <s v="ACTIVE"/>
    <m/>
    <m/>
    <m/>
    <m/>
  </r>
  <r>
    <n v="455"/>
    <s v="Donor_115"/>
    <d v="2024-07-15T00:00:00"/>
    <s v="East"/>
    <x v="1"/>
    <m/>
    <n v="424"/>
    <s v="Credit Card"/>
    <s v="2024-07"/>
    <d v="2025-06-20T00:00:00"/>
    <s v="ACTIVE"/>
    <m/>
    <m/>
    <m/>
    <m/>
  </r>
  <r>
    <n v="99"/>
    <s v="Donor_048"/>
    <d v="2025-04-10T00:00:00"/>
    <s v="East"/>
    <x v="0"/>
    <m/>
    <n v="847"/>
    <s v="Bank Transfer"/>
    <s v="2025-04"/>
    <d v="2025-06-08T00:00:00"/>
    <s v="ACTIVE"/>
    <m/>
    <m/>
    <m/>
    <m/>
  </r>
  <r>
    <n v="1671"/>
    <s v="Donor_087"/>
    <d v="2024-10-17T00:00:00"/>
    <s v="Central"/>
    <x v="0"/>
    <m/>
    <n v="1867"/>
    <s v="Cash"/>
    <s v="2024-10"/>
    <d v="2025-06-09T00:00:00"/>
    <s v="ACTIVE"/>
    <m/>
    <m/>
    <m/>
    <m/>
  </r>
  <r>
    <n v="1616"/>
    <s v="Donor_071"/>
    <d v="2024-02-24T00:00:00"/>
    <s v="South"/>
    <x v="2"/>
    <m/>
    <n v="355"/>
    <s v="Cash"/>
    <s v="2024-02"/>
    <d v="2025-06-08T00:00:00"/>
    <s v="ACTIVE"/>
    <m/>
    <m/>
    <m/>
    <m/>
  </r>
  <r>
    <n v="1392"/>
    <s v="Donor_061"/>
    <d v="2024-05-20T00:00:00"/>
    <s v="East"/>
    <x v="3"/>
    <m/>
    <n v="357"/>
    <s v="Cheque"/>
    <s v="2024-05"/>
    <d v="2025-05-21T00:00:00"/>
    <s v="ACTIVE"/>
    <m/>
    <m/>
    <m/>
    <m/>
  </r>
  <r>
    <n v="508"/>
    <s v="Donor_080"/>
    <d v="2024-01-04T00:00:00"/>
    <s v="East"/>
    <x v="3"/>
    <m/>
    <n v="300"/>
    <s v="Cash"/>
    <s v="2024-01"/>
    <d v="2025-05-11T00:00:00"/>
    <s v="ACTIVE"/>
    <m/>
    <m/>
    <m/>
    <m/>
  </r>
  <r>
    <n v="1655"/>
    <s v="Donor_086"/>
    <d v="2025-05-12T00:00:00"/>
    <s v="West"/>
    <x v="3"/>
    <m/>
    <n v="2037"/>
    <s v="Bank Transfer"/>
    <s v="2025-05"/>
    <d v="2025-05-29T00:00:00"/>
    <s v="ACTIVE"/>
    <m/>
    <m/>
    <m/>
    <m/>
  </r>
  <r>
    <n v="1389"/>
    <s v="Donor_031"/>
    <d v="2024-06-10T00:00:00"/>
    <s v="Central"/>
    <x v="0"/>
    <m/>
    <n v="2497"/>
    <s v="UPI"/>
    <s v="2024-06"/>
    <d v="2025-05-17T00:00:00"/>
    <s v="ACTIVE"/>
    <m/>
    <m/>
    <m/>
    <m/>
  </r>
  <r>
    <n v="13"/>
    <s v="Donor_065"/>
    <d v="2024-07-01T00:00:00"/>
    <s v="North"/>
    <x v="2"/>
    <m/>
    <n v="2842"/>
    <s v="Cheque"/>
    <s v="2024-07"/>
    <d v="2025-05-02T00:00:00"/>
    <s v="ACTIVE"/>
    <m/>
    <m/>
    <m/>
    <m/>
  </r>
  <r>
    <n v="799"/>
    <s v="Donor_063"/>
    <d v="2025-04-20T00:00:00"/>
    <s v="West"/>
    <x v="3"/>
    <m/>
    <n v="1019"/>
    <s v="Credit Card"/>
    <s v="2025-04"/>
    <d v="2025-04-20T00:00:00"/>
    <s v="ACTIVE"/>
    <m/>
    <m/>
    <m/>
    <m/>
  </r>
  <r>
    <n v="1267"/>
    <s v="Donor_004"/>
    <d v="2025-03-31T00:00:00"/>
    <s v="Central"/>
    <x v="3"/>
    <m/>
    <n v="11553"/>
    <s v="UPI"/>
    <s v="2025-03"/>
    <d v="2025-05-26T00:00:00"/>
    <s v="ACTIVE"/>
    <m/>
    <m/>
    <m/>
    <m/>
  </r>
  <r>
    <n v="168"/>
    <s v="Donor_062"/>
    <d v="2024-11-05T00:00:00"/>
    <s v="South"/>
    <x v="2"/>
    <m/>
    <n v="689"/>
    <s v="UPI"/>
    <s v="2024-11"/>
    <d v="2025-05-17T00:00:00"/>
    <s v="ACTIVE"/>
    <m/>
    <m/>
    <m/>
    <m/>
  </r>
  <r>
    <n v="1593"/>
    <s v="Donor_093"/>
    <d v="2024-12-11T00:00:00"/>
    <s v="West"/>
    <x v="4"/>
    <m/>
    <n v="4778"/>
    <s v="Cheque"/>
    <s v="2024-12"/>
    <d v="2025-03-24T00:00:00"/>
    <s v="LAPSED"/>
    <m/>
    <m/>
    <m/>
    <m/>
  </r>
  <r>
    <n v="1227"/>
    <s v="Donor_025"/>
    <d v="2025-06-07T00:00:00"/>
    <s v="South"/>
    <x v="2"/>
    <m/>
    <n v="2221"/>
    <s v="Credit Card"/>
    <s v="2025-06"/>
    <d v="2025-06-07T00:00:00"/>
    <s v="ACTIVE"/>
    <m/>
    <m/>
    <m/>
    <m/>
  </r>
  <r>
    <n v="189"/>
    <s v="Donor_117"/>
    <d v="2024-02-08T00:00:00"/>
    <s v="South"/>
    <x v="1"/>
    <m/>
    <n v="1760"/>
    <s v="UPI"/>
    <s v="2024-02"/>
    <d v="2025-04-05T00:00:00"/>
    <s v="ACTIVE"/>
    <m/>
    <m/>
    <m/>
    <m/>
  </r>
  <r>
    <n v="1105"/>
    <s v="Donor_072"/>
    <d v="2024-09-17T00:00:00"/>
    <s v="Central"/>
    <x v="2"/>
    <m/>
    <n v="1662"/>
    <s v="Credit Card"/>
    <s v="2024-09"/>
    <d v="2025-04-13T00:00:00"/>
    <s v="ACTIVE"/>
    <m/>
    <m/>
    <m/>
    <m/>
  </r>
  <r>
    <n v="44"/>
    <s v="Donor_104"/>
    <d v="2024-08-18T00:00:00"/>
    <s v="South"/>
    <x v="4"/>
    <m/>
    <n v="409"/>
    <s v="Cash"/>
    <s v="2024-08"/>
    <d v="2025-05-08T00:00:00"/>
    <s v="ACTIVE"/>
    <m/>
    <m/>
    <m/>
    <m/>
  </r>
  <r>
    <n v="1551"/>
    <s v="Donor_114"/>
    <d v="2024-06-28T00:00:00"/>
    <s v="South"/>
    <x v="3"/>
    <m/>
    <n v="1704"/>
    <s v="Credit Card"/>
    <s v="2024-06"/>
    <d v="2025-04-04T00:00:00"/>
    <s v="ACTIVE"/>
    <m/>
    <m/>
    <m/>
    <m/>
  </r>
  <r>
    <n v="10"/>
    <s v="Donor_018"/>
    <d v="2024-08-12T00:00:00"/>
    <s v="Central"/>
    <x v="1"/>
    <m/>
    <n v="1102"/>
    <s v="UPI"/>
    <s v="2024-08"/>
    <d v="2025-06-16T00:00:00"/>
    <s v="ACTIVE"/>
    <m/>
    <m/>
    <m/>
    <m/>
  </r>
  <r>
    <n v="1224"/>
    <s v="Donor_033"/>
    <d v="2024-07-09T00:00:00"/>
    <s v="East"/>
    <x v="1"/>
    <m/>
    <n v="9825"/>
    <s v="UPI"/>
    <s v="2024-07"/>
    <d v="2025-06-21T00:00:00"/>
    <s v="ACTIVE"/>
    <m/>
    <m/>
    <m/>
    <m/>
  </r>
  <r>
    <n v="148"/>
    <s v="Donor_006"/>
    <d v="2025-04-26T00:00:00"/>
    <s v="West"/>
    <x v="5"/>
    <m/>
    <n v="2747"/>
    <s v="Bank Transfer"/>
    <s v="2025-04"/>
    <d v="2025-06-06T00:00:00"/>
    <s v="ACTIVE"/>
    <m/>
    <m/>
    <m/>
    <m/>
  </r>
  <r>
    <n v="379"/>
    <s v="Donor_036"/>
    <d v="2025-03-14T00:00:00"/>
    <s v="Central"/>
    <x v="5"/>
    <m/>
    <n v="1297"/>
    <s v="Bank Transfer"/>
    <s v="2025-03"/>
    <d v="2025-06-07T00:00:00"/>
    <s v="ACTIVE"/>
    <m/>
    <m/>
    <m/>
    <m/>
  </r>
  <r>
    <n v="14"/>
    <s v="Donor_077"/>
    <d v="2024-01-01T00:00:00"/>
    <s v="East"/>
    <x v="1"/>
    <m/>
    <n v="422"/>
    <s v="Bank Transfer"/>
    <s v="2024-01"/>
    <d v="2025-06-21T00:00:00"/>
    <s v="ACTIVE"/>
    <m/>
    <m/>
    <m/>
    <m/>
  </r>
  <r>
    <n v="472"/>
    <s v="Donor_120"/>
    <d v="2025-03-29T00:00:00"/>
    <s v="East"/>
    <x v="5"/>
    <m/>
    <n v="11966"/>
    <s v="Bank Transfer"/>
    <s v="2025-03"/>
    <d v="2025-06-19T00:00:00"/>
    <s v="ACTIVE"/>
    <m/>
    <m/>
    <m/>
    <m/>
  </r>
  <r>
    <n v="689"/>
    <s v="Donor_016"/>
    <d v="2024-06-06T00:00:00"/>
    <s v="East"/>
    <x v="1"/>
    <m/>
    <n v="821"/>
    <s v="Bank Transfer"/>
    <s v="2024-06"/>
    <d v="2025-06-17T00:00:00"/>
    <s v="ACTIVE"/>
    <m/>
    <m/>
    <m/>
    <m/>
  </r>
  <r>
    <n v="784"/>
    <s v="Donor_098"/>
    <d v="2025-06-08T00:00:00"/>
    <s v="South"/>
    <x v="1"/>
    <m/>
    <n v="1782"/>
    <s v="Credit Card"/>
    <s v="2025-06"/>
    <d v="2025-06-20T00:00:00"/>
    <s v="ACTIVE"/>
    <m/>
    <m/>
    <m/>
    <m/>
  </r>
  <r>
    <n v="1306"/>
    <s v="Donor_022"/>
    <d v="2025-03-03T00:00:00"/>
    <s v="East"/>
    <x v="5"/>
    <m/>
    <n v="2011"/>
    <s v="Cheque"/>
    <s v="2025-03"/>
    <d v="2025-06-21T00:00:00"/>
    <s v="ACTIVE"/>
    <m/>
    <m/>
    <m/>
    <m/>
  </r>
  <r>
    <n v="448"/>
    <s v="Donor_002"/>
    <d v="2024-11-06T00:00:00"/>
    <s v="North"/>
    <x v="0"/>
    <m/>
    <n v="1406"/>
    <s v="Cash"/>
    <s v="2024-11"/>
    <d v="2025-04-12T00:00:00"/>
    <s v="ACTIVE"/>
    <m/>
    <m/>
    <m/>
    <m/>
  </r>
  <r>
    <n v="566"/>
    <s v="Donor_117"/>
    <d v="2024-04-18T00:00:00"/>
    <s v="NOT KNOWN"/>
    <x v="2"/>
    <m/>
    <n v="2103"/>
    <s v="UPI"/>
    <s v="2024-04"/>
    <d v="2025-04-05T00:00:00"/>
    <s v="ACTIVE"/>
    <m/>
    <m/>
    <m/>
    <m/>
  </r>
  <r>
    <n v="465"/>
    <s v="Donor_068"/>
    <d v="2024-07-13T00:00:00"/>
    <s v="West"/>
    <x v="0"/>
    <m/>
    <n v="1568"/>
    <s v="Bank Transfer"/>
    <s v="2024-07"/>
    <d v="2025-05-16T00:00:00"/>
    <s v="ACTIVE"/>
    <m/>
    <m/>
    <m/>
    <m/>
  </r>
  <r>
    <n v="1632"/>
    <s v="Donor_053"/>
    <d v="2025-04-16T00:00:00"/>
    <s v="West"/>
    <x v="2"/>
    <m/>
    <n v="1232"/>
    <s v="Cheque"/>
    <s v="2025-04"/>
    <d v="2025-04-16T00:00:00"/>
    <s v="ACTIVE"/>
    <m/>
    <m/>
    <m/>
    <m/>
  </r>
  <r>
    <n v="471"/>
    <s v="Donor_090"/>
    <d v="2025-04-14T00:00:00"/>
    <s v="West"/>
    <x v="3"/>
    <m/>
    <n v="1675"/>
    <s v="Cheque"/>
    <s v="2025-04"/>
    <d v="2025-04-25T00:00:00"/>
    <s v="ACTIVE"/>
    <m/>
    <m/>
    <m/>
    <m/>
  </r>
  <r>
    <n v="342"/>
    <s v="Donor_100"/>
    <d v="2024-07-03T00:00:00"/>
    <s v="North"/>
    <x v="1"/>
    <m/>
    <n v="5262"/>
    <s v="Credit Card"/>
    <s v="2024-07"/>
    <d v="2025-06-14T00:00:00"/>
    <s v="ACTIVE"/>
    <m/>
    <m/>
    <m/>
    <m/>
  </r>
  <r>
    <n v="1727"/>
    <s v="Donor_038"/>
    <d v="2024-07-26T00:00:00"/>
    <s v="Central"/>
    <x v="4"/>
    <m/>
    <n v="760"/>
    <s v="Cheque"/>
    <s v="2024-07"/>
    <d v="2025-04-26T00:00:00"/>
    <s v="ACTIVE"/>
    <m/>
    <m/>
    <m/>
    <m/>
  </r>
  <r>
    <n v="717"/>
    <s v="Donor_054"/>
    <d v="2024-10-29T00:00:00"/>
    <s v="West"/>
    <x v="2"/>
    <m/>
    <n v="11494"/>
    <s v="Bank Transfer"/>
    <s v="2024-10"/>
    <d v="2025-06-18T00:00:00"/>
    <s v="ACTIVE"/>
    <m/>
    <m/>
    <m/>
    <m/>
  </r>
  <r>
    <n v="675"/>
    <s v="Donor_089"/>
    <d v="2024-11-27T00:00:00"/>
    <s v="West"/>
    <x v="2"/>
    <m/>
    <n v="2171"/>
    <s v="Cash"/>
    <s v="2024-11"/>
    <d v="2025-05-16T00:00:00"/>
    <s v="ACTIVE"/>
    <m/>
    <m/>
    <m/>
    <m/>
  </r>
  <r>
    <n v="116"/>
    <s v="Donor_078"/>
    <d v="2024-01-27T00:00:00"/>
    <s v="East"/>
    <x v="3"/>
    <m/>
    <n v="1364"/>
    <s v="Bank Transfer"/>
    <s v="2024-01"/>
    <d v="2025-03-13T00:00:00"/>
    <s v="LAPSED"/>
    <m/>
    <m/>
    <m/>
    <m/>
  </r>
  <r>
    <n v="896"/>
    <s v="Donor_088"/>
    <d v="2025-05-21T00:00:00"/>
    <s v="Central"/>
    <x v="0"/>
    <m/>
    <n v="866"/>
    <s v="Cheque"/>
    <s v="2025-05"/>
    <d v="2025-05-21T00:00:00"/>
    <s v="ACTIVE"/>
    <m/>
    <m/>
    <m/>
    <m/>
  </r>
  <r>
    <n v="1282"/>
    <s v="Donor_012"/>
    <d v="2024-07-25T00:00:00"/>
    <s v="Central"/>
    <x v="1"/>
    <m/>
    <n v="1702"/>
    <s v="UPI"/>
    <s v="2024-07"/>
    <d v="2025-06-23T00:00:00"/>
    <s v="ACTIVE"/>
    <m/>
    <m/>
    <m/>
    <m/>
  </r>
  <r>
    <n v="97"/>
    <s v="Donor_107"/>
    <d v="2024-10-06T00:00:00"/>
    <s v="South"/>
    <x v="5"/>
    <m/>
    <n v="356"/>
    <s v="Bank Transfer"/>
    <s v="2024-10"/>
    <d v="2025-03-18T00:00:00"/>
    <s v="LAPSED"/>
    <m/>
    <m/>
    <m/>
    <m/>
  </r>
  <r>
    <n v="1772"/>
    <s v="Donor_066"/>
    <d v="2025-02-27T00:00:00"/>
    <s v="East"/>
    <x v="4"/>
    <m/>
    <n v="430"/>
    <s v="UPI"/>
    <s v="2025-02"/>
    <d v="2025-03-22T00:00:00"/>
    <s v="LAPSED"/>
    <m/>
    <m/>
    <m/>
    <m/>
  </r>
  <r>
    <n v="1797"/>
    <s v="Donor_084"/>
    <d v="2024-12-17T00:00:00"/>
    <s v="Central"/>
    <x v="2"/>
    <m/>
    <n v="4533"/>
    <s v="Credit Card"/>
    <s v="2024-12"/>
    <d v="2025-05-13T00:00:00"/>
    <s v="ACTIVE"/>
    <m/>
    <m/>
    <m/>
    <m/>
  </r>
  <r>
    <n v="459"/>
    <s v="Donor_048"/>
    <d v="2024-06-07T00:00:00"/>
    <s v="North"/>
    <x v="4"/>
    <m/>
    <n v="1500"/>
    <s v="Cheque"/>
    <s v="2024-06"/>
    <d v="2025-06-08T00:00:00"/>
    <s v="ACTIVE"/>
    <m/>
    <m/>
    <m/>
    <m/>
  </r>
  <r>
    <n v="100"/>
    <s v="Donor_118"/>
    <d v="2024-12-01T00:00:00"/>
    <s v="Central"/>
    <x v="4"/>
    <m/>
    <n v="1054"/>
    <s v="Cash"/>
    <s v="2024-12"/>
    <d v="2025-04-19T00:00:00"/>
    <s v="ACTIVE"/>
    <m/>
    <m/>
    <m/>
    <m/>
  </r>
  <r>
    <n v="1365"/>
    <s v="Donor_105"/>
    <d v="2024-05-22T00:00:00"/>
    <s v="South"/>
    <x v="2"/>
    <m/>
    <n v="625"/>
    <s v="Cash"/>
    <s v="2024-05"/>
    <d v="2025-06-15T00:00:00"/>
    <s v="ACTIVE"/>
    <m/>
    <m/>
    <m/>
    <m/>
  </r>
  <r>
    <n v="624"/>
    <s v="Donor_109"/>
    <d v="2025-06-22T00:00:00"/>
    <s v="Central"/>
    <x v="2"/>
    <m/>
    <n v="10809"/>
    <s v="UPI"/>
    <s v="2025-06"/>
    <d v="2025-06-22T00:00:00"/>
    <s v="ACTIVE"/>
    <m/>
    <m/>
    <m/>
    <m/>
  </r>
  <r>
    <n v="387"/>
    <s v="Donor_010"/>
    <d v="2024-03-30T00:00:00"/>
    <s v="North"/>
    <x v="4"/>
    <m/>
    <n v="2558"/>
    <s v="Cheque"/>
    <s v="2024-03"/>
    <d v="2025-06-01T00:00:00"/>
    <s v="ACTIVE"/>
    <m/>
    <m/>
    <m/>
    <m/>
  </r>
  <r>
    <n v="432"/>
    <s v="Donor_051"/>
    <d v="2024-10-13T00:00:00"/>
    <s v="South"/>
    <x v="0"/>
    <m/>
    <n v="1232"/>
    <s v="Cash"/>
    <s v="2024-10"/>
    <d v="2025-06-11T00:00:00"/>
    <s v="ACTIVE"/>
    <m/>
    <m/>
    <m/>
    <m/>
  </r>
  <r>
    <n v="1468"/>
    <s v="Donor_076"/>
    <d v="2024-04-29T00:00:00"/>
    <s v="South"/>
    <x v="1"/>
    <m/>
    <n v="306"/>
    <s v="Cheque"/>
    <s v="2024-04"/>
    <d v="2025-06-08T00:00:00"/>
    <s v="ACTIVE"/>
    <m/>
    <m/>
    <m/>
    <m/>
  </r>
  <r>
    <n v="1207"/>
    <s v="Donor_004"/>
    <d v="2025-01-19T00:00:00"/>
    <s v="West"/>
    <x v="2"/>
    <m/>
    <n v="1904"/>
    <s v="Cash"/>
    <s v="2025-01"/>
    <d v="2025-05-26T00:00:00"/>
    <s v="ACTIVE"/>
    <m/>
    <m/>
    <m/>
    <m/>
  </r>
  <r>
    <n v="947"/>
    <s v="Donor_067"/>
    <d v="2024-09-26T00:00:00"/>
    <s v="North"/>
    <x v="1"/>
    <m/>
    <n v="1581"/>
    <s v="Cheque"/>
    <s v="2024-09"/>
    <d v="2025-06-15T00:00:00"/>
    <s v="ACTIVE"/>
    <m/>
    <m/>
    <m/>
    <m/>
  </r>
  <r>
    <n v="271"/>
    <s v="Donor_109"/>
    <d v="2024-01-28T00:00:00"/>
    <s v="East"/>
    <x v="4"/>
    <m/>
    <n v="10428"/>
    <s v="Credit Card"/>
    <s v="2024-01"/>
    <d v="2025-06-22T00:00:00"/>
    <s v="ACTIVE"/>
    <m/>
    <m/>
    <m/>
    <m/>
  </r>
  <r>
    <n v="1083"/>
    <s v="Donor_008"/>
    <d v="2025-02-22T00:00:00"/>
    <s v="Central"/>
    <x v="5"/>
    <m/>
    <n v="2675"/>
    <s v="Cash"/>
    <s v="2025-02"/>
    <d v="2025-06-07T00:00:00"/>
    <s v="ACTIVE"/>
    <m/>
    <m/>
    <m/>
    <m/>
  </r>
  <r>
    <n v="118"/>
    <s v="Donor_100"/>
    <d v="2024-11-28T00:00:00"/>
    <s v="Central"/>
    <x v="0"/>
    <m/>
    <n v="1153"/>
    <s v="Credit Card"/>
    <s v="2024-11"/>
    <d v="2025-06-14T00:00:00"/>
    <s v="ACTIVE"/>
    <m/>
    <m/>
    <m/>
    <m/>
  </r>
  <r>
    <n v="1482"/>
    <s v="Donor_084"/>
    <d v="2024-01-03T00:00:00"/>
    <s v="South"/>
    <x v="2"/>
    <m/>
    <n v="1132"/>
    <s v="UPI"/>
    <s v="2024-01"/>
    <d v="2025-05-13T00:00:00"/>
    <s v="ACTIVE"/>
    <m/>
    <m/>
    <m/>
    <m/>
  </r>
  <r>
    <n v="1621"/>
    <s v="Donor_032"/>
    <d v="2024-10-23T00:00:00"/>
    <s v="North"/>
    <x v="0"/>
    <m/>
    <n v="4522"/>
    <s v="Bank Transfer"/>
    <s v="2024-10"/>
    <d v="2025-04-29T00:00:00"/>
    <s v="ACTIVE"/>
    <m/>
    <m/>
    <m/>
    <m/>
  </r>
  <r>
    <n v="1385"/>
    <s v="Donor_111"/>
    <d v="2024-09-06T00:00:00"/>
    <s v="West"/>
    <x v="4"/>
    <m/>
    <n v="2131"/>
    <s v="Cash"/>
    <s v="2024-09"/>
    <d v="2025-04-26T00:00:00"/>
    <s v="ACTIVE"/>
    <m/>
    <m/>
    <m/>
    <m/>
  </r>
  <r>
    <n v="1115"/>
    <s v="Donor_005"/>
    <d v="2024-04-16T00:00:00"/>
    <s v="East"/>
    <x v="3"/>
    <m/>
    <n v="1623"/>
    <s v="Credit Card"/>
    <s v="2024-04"/>
    <d v="2025-06-10T00:00:00"/>
    <s v="ACTIVE"/>
    <m/>
    <m/>
    <m/>
    <m/>
  </r>
  <r>
    <n v="1348"/>
    <s v="Donor_042"/>
    <d v="2024-07-19T00:00:00"/>
    <s v="East"/>
    <x v="1"/>
    <m/>
    <n v="1060"/>
    <s v="Cash"/>
    <s v="2024-07"/>
    <d v="2025-02-10T00:00:00"/>
    <s v="LAPSED"/>
    <m/>
    <m/>
    <m/>
    <m/>
  </r>
  <r>
    <n v="596"/>
    <s v="Donor_080"/>
    <d v="2024-03-23T00:00:00"/>
    <s v="East"/>
    <x v="2"/>
    <m/>
    <n v="503"/>
    <s v="Bank Transfer"/>
    <s v="2024-03"/>
    <d v="2025-05-11T00:00:00"/>
    <s v="ACTIVE"/>
    <m/>
    <m/>
    <m/>
    <m/>
  </r>
  <r>
    <n v="829"/>
    <s v="Donor_075"/>
    <d v="2024-01-31T00:00:00"/>
    <s v="South"/>
    <x v="1"/>
    <m/>
    <n v="321"/>
    <s v="UPI"/>
    <s v="2024-01"/>
    <d v="2025-04-29T00:00:00"/>
    <s v="ACTIVE"/>
    <m/>
    <m/>
    <m/>
    <m/>
  </r>
  <r>
    <n v="114"/>
    <s v="Donor_037"/>
    <d v="2024-02-22T00:00:00"/>
    <s v="Central"/>
    <x v="5"/>
    <m/>
    <n v="4207"/>
    <s v="Cheque"/>
    <s v="2024-02"/>
    <d v="2025-05-23T00:00:00"/>
    <s v="ACTIVE"/>
    <m/>
    <m/>
    <m/>
    <m/>
  </r>
  <r>
    <n v="64"/>
    <s v="Donor_061"/>
    <d v="2025-01-12T00:00:00"/>
    <s v="Central"/>
    <x v="0"/>
    <m/>
    <n v="4851"/>
    <s v="Cheque"/>
    <s v="2025-01"/>
    <d v="2025-05-21T00:00:00"/>
    <s v="ACTIVE"/>
    <m/>
    <m/>
    <m/>
    <m/>
  </r>
  <r>
    <n v="597"/>
    <s v="Donor_047"/>
    <d v="2025-01-09T00:00:00"/>
    <s v="South"/>
    <x v="2"/>
    <m/>
    <n v="10819"/>
    <s v="Cheque"/>
    <s v="2025-01"/>
    <d v="2025-05-04T00:00:00"/>
    <s v="ACTIVE"/>
    <m/>
    <m/>
    <m/>
    <m/>
  </r>
  <r>
    <n v="505"/>
    <s v="Donor_042"/>
    <d v="2024-09-13T00:00:00"/>
    <s v="South"/>
    <x v="2"/>
    <m/>
    <n v="836"/>
    <s v="Cash"/>
    <s v="2024-09"/>
    <d v="2025-02-10T00:00:00"/>
    <s v="LAPSED"/>
    <m/>
    <m/>
    <m/>
    <m/>
  </r>
  <r>
    <n v="187"/>
    <s v="Donor_013"/>
    <d v="2025-04-28T00:00:00"/>
    <s v="South"/>
    <x v="3"/>
    <m/>
    <n v="11912"/>
    <s v="Credit Card"/>
    <s v="2025-04"/>
    <d v="2025-04-28T00:00:00"/>
    <s v="ACTIVE"/>
    <m/>
    <m/>
    <m/>
    <m/>
  </r>
  <r>
    <n v="547"/>
    <s v="Donor_055"/>
    <d v="2024-07-09T00:00:00"/>
    <s v="Central"/>
    <x v="3"/>
    <m/>
    <n v="342"/>
    <s v="Credit Card"/>
    <s v="2024-07"/>
    <d v="2025-05-11T00:00:00"/>
    <s v="ACTIVE"/>
    <m/>
    <m/>
    <m/>
    <m/>
  </r>
  <r>
    <n v="431"/>
    <s v="Donor_048"/>
    <d v="2025-05-08T00:00:00"/>
    <s v="Central"/>
    <x v="5"/>
    <m/>
    <n v="348"/>
    <s v="Cheque"/>
    <s v="2025-05"/>
    <d v="2025-06-08T00:00:00"/>
    <s v="ACTIVE"/>
    <m/>
    <m/>
    <m/>
    <m/>
  </r>
  <r>
    <n v="295"/>
    <s v="Donor_026"/>
    <d v="2024-03-07T00:00:00"/>
    <s v="West"/>
    <x v="4"/>
    <m/>
    <n v="1162"/>
    <s v="Bank Transfer"/>
    <s v="2024-03"/>
    <d v="2025-05-28T00:00:00"/>
    <s v="ACTIVE"/>
    <m/>
    <m/>
    <m/>
    <m/>
  </r>
  <r>
    <n v="721"/>
    <s v="Donor_031"/>
    <d v="2024-09-21T00:00:00"/>
    <s v="East"/>
    <x v="2"/>
    <m/>
    <n v="896"/>
    <s v="UPI"/>
    <s v="2024-09"/>
    <d v="2025-05-17T00:00:00"/>
    <s v="ACTIVE"/>
    <m/>
    <m/>
    <m/>
    <m/>
  </r>
  <r>
    <n v="287"/>
    <s v="Donor_019"/>
    <d v="2024-03-02T00:00:00"/>
    <s v="East"/>
    <x v="3"/>
    <m/>
    <n v="584"/>
    <s v="Cheque"/>
    <s v="2024-03"/>
    <d v="2025-05-28T00:00:00"/>
    <s v="ACTIVE"/>
    <m/>
    <m/>
    <m/>
    <m/>
  </r>
  <r>
    <n v="301"/>
    <s v="Donor_098"/>
    <d v="2024-02-27T00:00:00"/>
    <s v="South"/>
    <x v="0"/>
    <m/>
    <n v="706"/>
    <s v="Credit Card"/>
    <s v="2024-02"/>
    <d v="2025-06-20T00:00:00"/>
    <s v="ACTIVE"/>
    <m/>
    <m/>
    <m/>
    <m/>
  </r>
  <r>
    <n v="1689"/>
    <s v="Donor_066"/>
    <d v="2024-04-12T00:00:00"/>
    <s v="Central"/>
    <x v="5"/>
    <m/>
    <n v="4745"/>
    <s v="UPI"/>
    <s v="2024-04"/>
    <d v="2025-03-22T00:00:00"/>
    <s v="LAPSED"/>
    <m/>
    <m/>
    <m/>
    <m/>
  </r>
  <r>
    <n v="316"/>
    <s v="Donor_040"/>
    <d v="2024-04-28T00:00:00"/>
    <s v="West"/>
    <x v="1"/>
    <m/>
    <n v="347"/>
    <s v="Bank Transfer"/>
    <s v="2024-04"/>
    <d v="2025-05-15T00:00:00"/>
    <s v="ACTIVE"/>
    <m/>
    <m/>
    <m/>
    <m/>
  </r>
  <r>
    <n v="716"/>
    <s v="Donor_098"/>
    <d v="2025-02-06T00:00:00"/>
    <s v="North"/>
    <x v="2"/>
    <m/>
    <n v="1742"/>
    <s v="UPI"/>
    <s v="2025-02"/>
    <d v="2025-06-20T00:00:00"/>
    <s v="ACTIVE"/>
    <m/>
    <m/>
    <m/>
    <m/>
  </r>
  <r>
    <n v="545"/>
    <s v="Donor_018"/>
    <d v="2024-05-08T00:00:00"/>
    <s v="North"/>
    <x v="3"/>
    <m/>
    <n v="429"/>
    <s v="Cash"/>
    <s v="2024-05"/>
    <d v="2025-06-16T00:00:00"/>
    <s v="ACTIVE"/>
    <m/>
    <m/>
    <m/>
    <m/>
  </r>
  <r>
    <n v="131"/>
    <s v="Donor_058"/>
    <d v="2024-03-04T00:00:00"/>
    <s v="North"/>
    <x v="5"/>
    <m/>
    <n v="1002"/>
    <s v="Credit Card"/>
    <s v="2024-03"/>
    <d v="2025-06-22T00:00:00"/>
    <s v="ACTIVE"/>
    <m/>
    <m/>
    <m/>
    <m/>
  </r>
  <r>
    <n v="986"/>
    <s v="Donor_112"/>
    <d v="2024-11-10T00:00:00"/>
    <s v="Central"/>
    <x v="2"/>
    <m/>
    <n v="859"/>
    <s v="UPI"/>
    <s v="2024-11"/>
    <d v="2025-05-26T00:00:00"/>
    <s v="ACTIVE"/>
    <m/>
    <m/>
    <m/>
    <m/>
  </r>
  <r>
    <n v="190"/>
    <s v="Donor_113"/>
    <d v="2024-10-23T00:00:00"/>
    <s v="North"/>
    <x v="3"/>
    <m/>
    <n v="2568"/>
    <s v="UPI"/>
    <s v="2024-10"/>
    <d v="2025-04-17T00:00:00"/>
    <s v="ACTIVE"/>
    <m/>
    <m/>
    <m/>
    <m/>
  </r>
  <r>
    <n v="28"/>
    <s v="Donor_113"/>
    <d v="2024-12-23T00:00:00"/>
    <s v="North"/>
    <x v="4"/>
    <m/>
    <n v="4570"/>
    <s v="Cash"/>
    <s v="2024-12"/>
    <d v="2025-04-17T00:00:00"/>
    <s v="ACTIVE"/>
    <m/>
    <m/>
    <m/>
    <m/>
  </r>
  <r>
    <n v="1778"/>
    <s v="Donor_067"/>
    <d v="2024-05-07T00:00:00"/>
    <s v="Central"/>
    <x v="1"/>
    <m/>
    <n v="537"/>
    <s v="Cheque"/>
    <s v="2024-05"/>
    <d v="2025-06-15T00:00:00"/>
    <s v="ACTIVE"/>
    <m/>
    <m/>
    <m/>
    <m/>
  </r>
  <r>
    <n v="715"/>
    <s v="Donor_057"/>
    <d v="2024-01-31T00:00:00"/>
    <s v="South"/>
    <x v="3"/>
    <m/>
    <n v="11775"/>
    <s v="UPI"/>
    <s v="2024-01"/>
    <d v="2025-03-30T00:00:00"/>
    <s v="ACTIVE"/>
    <m/>
    <m/>
    <m/>
    <m/>
  </r>
  <r>
    <n v="735"/>
    <s v="Donor_011"/>
    <d v="2025-03-30T00:00:00"/>
    <s v="Central"/>
    <x v="0"/>
    <m/>
    <n v="4804"/>
    <s v="UPI"/>
    <s v="2025-03"/>
    <d v="2025-06-04T00:00:00"/>
    <s v="ACTIVE"/>
    <m/>
    <m/>
    <m/>
    <m/>
  </r>
  <r>
    <n v="994"/>
    <s v="Donor_077"/>
    <d v="2024-01-10T00:00:00"/>
    <s v="East"/>
    <x v="1"/>
    <m/>
    <n v="0"/>
    <s v="Credit Card"/>
    <s v="2024-01"/>
    <d v="2025-06-21T00:00:00"/>
    <s v="ACTIVE"/>
    <m/>
    <m/>
    <m/>
    <m/>
  </r>
  <r>
    <n v="1114"/>
    <s v="Donor_036"/>
    <d v="2024-09-16T00:00:00"/>
    <s v="North"/>
    <x v="0"/>
    <m/>
    <n v="573"/>
    <s v="Cash"/>
    <s v="2024-09"/>
    <d v="2025-06-07T00:00:00"/>
    <s v="ACTIVE"/>
    <m/>
    <m/>
    <m/>
    <m/>
  </r>
  <r>
    <n v="1576"/>
    <s v="Donor_064"/>
    <d v="2024-01-24T00:00:00"/>
    <s v="Central"/>
    <x v="0"/>
    <m/>
    <n v="721"/>
    <s v="UPI"/>
    <s v="2024-01"/>
    <d v="2025-06-20T00:00:00"/>
    <s v="ACTIVE"/>
    <m/>
    <m/>
    <m/>
    <m/>
  </r>
  <r>
    <n v="1683"/>
    <s v="Donor_111"/>
    <d v="2024-01-03T00:00:00"/>
    <s v="West"/>
    <x v="1"/>
    <m/>
    <n v="8582"/>
    <s v="Bank Transfer"/>
    <s v="2024-01"/>
    <d v="2025-04-26T00:00:00"/>
    <s v="ACTIVE"/>
    <m/>
    <m/>
    <m/>
    <m/>
  </r>
  <r>
    <n v="1168"/>
    <s v="Donor_081"/>
    <d v="2025-06-07T00:00:00"/>
    <s v="West"/>
    <x v="1"/>
    <m/>
    <n v="841"/>
    <s v="Bank Transfer"/>
    <s v="2025-06"/>
    <d v="2025-06-07T00:00:00"/>
    <s v="ACTIVE"/>
    <m/>
    <m/>
    <m/>
    <m/>
  </r>
  <r>
    <n v="1607"/>
    <s v="Donor_017"/>
    <d v="2024-08-30T00:00:00"/>
    <s v="North"/>
    <x v="5"/>
    <m/>
    <n v="4138"/>
    <s v="UPI"/>
    <s v="2024-08"/>
    <d v="2025-02-02T00:00:00"/>
    <s v="LAPSED"/>
    <m/>
    <m/>
    <m/>
    <m/>
  </r>
  <r>
    <n v="1383"/>
    <s v="Donor_075"/>
    <d v="2024-07-08T00:00:00"/>
    <s v="NOT KNOWN"/>
    <x v="3"/>
    <m/>
    <n v="8159"/>
    <s v="Credit Card"/>
    <s v="2024-07"/>
    <d v="2025-04-29T00:00:00"/>
    <s v="ACTIVE"/>
    <m/>
    <m/>
    <m/>
    <m/>
  </r>
  <r>
    <n v="1446"/>
    <s v="Donor_019"/>
    <d v="2024-04-30T00:00:00"/>
    <s v="North"/>
    <x v="1"/>
    <m/>
    <n v="1290"/>
    <s v="UPI"/>
    <s v="2024-04"/>
    <d v="2025-05-28T00:00:00"/>
    <s v="ACTIVE"/>
    <m/>
    <m/>
    <m/>
    <m/>
  </r>
  <r>
    <n v="1449"/>
    <s v="Donor_058"/>
    <d v="2024-11-27T00:00:00"/>
    <s v="South"/>
    <x v="5"/>
    <m/>
    <n v="798"/>
    <s v="Cheque"/>
    <s v="2024-11"/>
    <d v="2025-06-22T00:00:00"/>
    <s v="ACTIVE"/>
    <m/>
    <m/>
    <m/>
    <m/>
  </r>
  <r>
    <n v="1630"/>
    <s v="Donor_008"/>
    <d v="2024-07-16T00:00:00"/>
    <s v="Central"/>
    <x v="4"/>
    <m/>
    <n v="515"/>
    <s v="Cash"/>
    <s v="2024-07"/>
    <d v="2025-06-07T00:00:00"/>
    <s v="ACTIVE"/>
    <m/>
    <m/>
    <m/>
    <m/>
  </r>
  <r>
    <n v="836"/>
    <s v="Donor_078"/>
    <d v="2024-10-27T00:00:00"/>
    <s v="South"/>
    <x v="2"/>
    <m/>
    <n v="1722"/>
    <s v="Cheque"/>
    <s v="2024-10"/>
    <d v="2025-03-13T00:00:00"/>
    <s v="LAPSED"/>
    <m/>
    <m/>
    <m/>
    <m/>
  </r>
  <r>
    <n v="954"/>
    <s v="Donor_040"/>
    <d v="2024-09-27T00:00:00"/>
    <s v="West"/>
    <x v="2"/>
    <m/>
    <n v="1603"/>
    <s v="Cash"/>
    <s v="2024-09"/>
    <d v="2025-05-15T00:00:00"/>
    <s v="ACTIVE"/>
    <m/>
    <m/>
    <m/>
    <m/>
  </r>
  <r>
    <n v="741"/>
    <s v="Donor_058"/>
    <d v="2025-02-20T00:00:00"/>
    <s v="North"/>
    <x v="2"/>
    <m/>
    <n v="8814"/>
    <s v="Credit Card"/>
    <s v="2025-02"/>
    <d v="2025-06-22T00:00:00"/>
    <s v="ACTIVE"/>
    <m/>
    <m/>
    <m/>
    <m/>
  </r>
  <r>
    <n v="378"/>
    <s v="Donor_100"/>
    <d v="2024-07-20T00:00:00"/>
    <s v="South"/>
    <x v="5"/>
    <m/>
    <n v="261"/>
    <s v="UPI"/>
    <s v="2024-07"/>
    <d v="2025-06-14T00:00:00"/>
    <s v="ACTIVE"/>
    <m/>
    <m/>
    <m/>
    <m/>
  </r>
  <r>
    <n v="326"/>
    <s v="Donor_018"/>
    <d v="2024-08-21T00:00:00"/>
    <s v="East"/>
    <x v="2"/>
    <m/>
    <n v="333"/>
    <s v="Bank Transfer"/>
    <s v="2024-08"/>
    <d v="2025-06-16T00:00:00"/>
    <s v="ACTIVE"/>
    <m/>
    <m/>
    <m/>
    <m/>
  </r>
  <r>
    <n v="1026"/>
    <s v="Donor_026"/>
    <d v="2024-07-23T00:00:00"/>
    <s v="East"/>
    <x v="1"/>
    <m/>
    <n v="321"/>
    <s v="Credit Card"/>
    <s v="2024-07"/>
    <d v="2025-05-28T00:00:00"/>
    <s v="ACTIVE"/>
    <m/>
    <m/>
    <m/>
    <m/>
  </r>
  <r>
    <n v="373"/>
    <s v="Donor_065"/>
    <d v="2024-07-01T00:00:00"/>
    <s v="Central"/>
    <x v="2"/>
    <m/>
    <n v="5421"/>
    <s v="Bank Transfer"/>
    <s v="2024-07"/>
    <d v="2025-05-02T00:00:00"/>
    <s v="ACTIVE"/>
    <m/>
    <m/>
    <m/>
    <m/>
  </r>
  <r>
    <n v="1646"/>
    <s v="Donor_001"/>
    <d v="2025-03-20T00:00:00"/>
    <s v="North"/>
    <x v="3"/>
    <m/>
    <n v="8238"/>
    <s v="UPI"/>
    <s v="2025-03"/>
    <d v="2025-05-18T00:00:00"/>
    <s v="ACTIVE"/>
    <m/>
    <m/>
    <m/>
    <m/>
  </r>
  <r>
    <n v="1358"/>
    <s v="Donor_107"/>
    <d v="2025-03-18T00:00:00"/>
    <s v="West"/>
    <x v="1"/>
    <m/>
    <n v="1784"/>
    <s v="Cheque"/>
    <s v="2025-03"/>
    <d v="2025-03-18T00:00:00"/>
    <s v="LAPSED"/>
    <m/>
    <m/>
    <m/>
    <m/>
  </r>
  <r>
    <n v="863"/>
    <s v="Donor_092"/>
    <d v="2024-07-16T00:00:00"/>
    <s v="East"/>
    <x v="0"/>
    <m/>
    <n v="10420"/>
    <s v="Cash"/>
    <s v="2024-07"/>
    <d v="2025-05-07T00:00:00"/>
    <s v="ACTIVE"/>
    <m/>
    <m/>
    <m/>
    <m/>
  </r>
  <r>
    <n v="18"/>
    <s v="Donor_009"/>
    <d v="2024-08-22T00:00:00"/>
    <s v="North"/>
    <x v="5"/>
    <m/>
    <n v="1006"/>
    <s v="Bank Transfer"/>
    <s v="2024-08"/>
    <d v="2025-05-15T00:00:00"/>
    <s v="ACTIVE"/>
    <m/>
    <m/>
    <m/>
    <m/>
  </r>
  <r>
    <n v="1284"/>
    <s v="Donor_099"/>
    <d v="2025-05-30T00:00:00"/>
    <s v="South"/>
    <x v="4"/>
    <m/>
    <n v="4088"/>
    <s v="UPI"/>
    <s v="2025-05"/>
    <d v="2025-05-30T00:00:00"/>
    <s v="ACTIVE"/>
    <m/>
    <m/>
    <m/>
    <m/>
  </r>
  <r>
    <n v="371"/>
    <s v="Donor_036"/>
    <d v="2024-09-11T00:00:00"/>
    <s v="West"/>
    <x v="5"/>
    <m/>
    <n v="2453"/>
    <s v="Credit Card"/>
    <s v="2024-09"/>
    <d v="2025-06-07T00:00:00"/>
    <s v="ACTIVE"/>
    <m/>
    <m/>
    <m/>
    <m/>
  </r>
  <r>
    <n v="1139"/>
    <s v="Donor_021"/>
    <d v="2024-07-02T00:00:00"/>
    <s v="West"/>
    <x v="2"/>
    <m/>
    <n v="11337"/>
    <s v="Cash"/>
    <s v="2024-07"/>
    <d v="2025-04-05T00:00:00"/>
    <s v="ACTIVE"/>
    <m/>
    <m/>
    <m/>
    <m/>
  </r>
  <r>
    <n v="413"/>
    <s v="Donor_067"/>
    <d v="2025-03-17T00:00:00"/>
    <s v="West"/>
    <x v="5"/>
    <m/>
    <n v="540"/>
    <s v="Cash"/>
    <s v="2025-03"/>
    <d v="2025-06-15T00:00:00"/>
    <s v="ACTIVE"/>
    <m/>
    <m/>
    <m/>
    <m/>
  </r>
  <r>
    <n v="1476"/>
    <s v="Donor_011"/>
    <d v="2024-09-10T00:00:00"/>
    <s v="East"/>
    <x v="4"/>
    <m/>
    <n v="1589"/>
    <s v="Cheque"/>
    <s v="2024-09"/>
    <d v="2025-06-04T00:00:00"/>
    <s v="ACTIVE"/>
    <m/>
    <m/>
    <m/>
    <m/>
  </r>
  <r>
    <n v="1587"/>
    <s v="Donor_041"/>
    <d v="2024-05-12T00:00:00"/>
    <s v="NOT KNOWN"/>
    <x v="0"/>
    <m/>
    <n v="1995"/>
    <s v="UPI"/>
    <s v="2024-05"/>
    <d v="2025-06-13T00:00:00"/>
    <s v="ACTIVE"/>
    <m/>
    <m/>
    <m/>
    <m/>
  </r>
  <r>
    <n v="119"/>
    <s v="Donor_063"/>
    <d v="2025-03-10T00:00:00"/>
    <s v="Central"/>
    <x v="1"/>
    <m/>
    <n v="682"/>
    <s v="Cheque"/>
    <s v="2025-03"/>
    <d v="2025-04-20T00:00:00"/>
    <s v="ACTIVE"/>
    <m/>
    <m/>
    <m/>
    <m/>
  </r>
  <r>
    <n v="1167"/>
    <s v="Donor_057"/>
    <d v="2024-01-25T00:00:00"/>
    <s v="West"/>
    <x v="2"/>
    <m/>
    <n v="459"/>
    <s v="Cash"/>
    <s v="2024-01"/>
    <d v="2025-03-30T00:00:00"/>
    <s v="ACTIVE"/>
    <m/>
    <m/>
    <m/>
    <m/>
  </r>
  <r>
    <n v="55"/>
    <s v="Donor_097"/>
    <d v="2024-02-11T00:00:00"/>
    <s v="North"/>
    <x v="4"/>
    <m/>
    <n v="2271"/>
    <s v="Cheque"/>
    <s v="2024-02"/>
    <d v="2025-06-04T00:00:00"/>
    <s v="ACTIVE"/>
    <m/>
    <m/>
    <m/>
    <m/>
  </r>
  <r>
    <n v="1099"/>
    <s v="Donor_005"/>
    <d v="2024-04-26T00:00:00"/>
    <s v="West"/>
    <x v="1"/>
    <m/>
    <n v="1576"/>
    <s v="Cheque"/>
    <s v="2024-04"/>
    <d v="2025-06-10T00:00:00"/>
    <s v="ACTIVE"/>
    <m/>
    <m/>
    <m/>
    <m/>
  </r>
  <r>
    <n v="678"/>
    <s v="Donor_113"/>
    <d v="2024-12-13T00:00:00"/>
    <s v="West"/>
    <x v="4"/>
    <m/>
    <n v="927"/>
    <s v="Cheque"/>
    <s v="2024-12"/>
    <d v="2025-04-17T00:00:00"/>
    <s v="ACTIVE"/>
    <m/>
    <m/>
    <m/>
    <m/>
  </r>
  <r>
    <n v="361"/>
    <s v="Donor_002"/>
    <d v="2024-02-25T00:00:00"/>
    <s v="South"/>
    <x v="0"/>
    <m/>
    <n v="342"/>
    <s v="Credit Card"/>
    <s v="2024-02"/>
    <d v="2025-04-12T00:00:00"/>
    <s v="ACTIVE"/>
    <m/>
    <m/>
    <m/>
    <m/>
  </r>
  <r>
    <n v="181"/>
    <s v="Donor_112"/>
    <d v="2025-04-27T00:00:00"/>
    <s v="North"/>
    <x v="2"/>
    <m/>
    <n v="1511"/>
    <s v="Cheque"/>
    <s v="2025-04"/>
    <d v="2025-05-26T00:00:00"/>
    <s v="ACTIVE"/>
    <m/>
    <m/>
    <m/>
    <m/>
  </r>
  <r>
    <n v="260"/>
    <s v="Donor_010"/>
    <d v="2025-04-07T00:00:00"/>
    <s v="North"/>
    <x v="1"/>
    <m/>
    <n v="10999"/>
    <s v="Bank Transfer"/>
    <s v="2025-04"/>
    <d v="2025-06-01T00:00:00"/>
    <s v="ACTIVE"/>
    <m/>
    <m/>
    <m/>
    <m/>
  </r>
  <r>
    <n v="977"/>
    <s v="Donor_079"/>
    <d v="2025-05-20T00:00:00"/>
    <s v="North"/>
    <x v="1"/>
    <m/>
    <n v="2696"/>
    <s v="Cash"/>
    <s v="2025-05"/>
    <d v="2025-06-07T00:00:00"/>
    <s v="ACTIVE"/>
    <m/>
    <m/>
    <m/>
    <m/>
  </r>
  <r>
    <n v="443"/>
    <s v="Donor_096"/>
    <d v="2024-09-14T00:00:00"/>
    <s v="North"/>
    <x v="4"/>
    <m/>
    <n v="1438"/>
    <s v="UPI"/>
    <s v="2024-09"/>
    <d v="2025-06-04T00:00:00"/>
    <s v="ACTIVE"/>
    <m/>
    <m/>
    <m/>
    <m/>
  </r>
  <r>
    <n v="211"/>
    <s v="Donor_119"/>
    <d v="2024-03-21T00:00:00"/>
    <s v="West"/>
    <x v="5"/>
    <m/>
    <n v="1014"/>
    <s v="Credit Card"/>
    <s v="2024-03"/>
    <d v="2025-05-18T00:00:00"/>
    <s v="ACTIVE"/>
    <m/>
    <m/>
    <m/>
    <m/>
  </r>
  <r>
    <n v="926"/>
    <s v="Donor_035"/>
    <d v="2024-07-18T00:00:00"/>
    <s v="North"/>
    <x v="3"/>
    <m/>
    <n v="945"/>
    <s v="Bank Transfer"/>
    <s v="2024-07"/>
    <d v="2025-06-15T00:00:00"/>
    <s v="ACTIVE"/>
    <m/>
    <m/>
    <m/>
    <m/>
  </r>
  <r>
    <n v="1354"/>
    <s v="Donor_049"/>
    <d v="2025-03-31T00:00:00"/>
    <s v="Central"/>
    <x v="4"/>
    <m/>
    <n v="821"/>
    <s v="Credit Card"/>
    <s v="2025-03"/>
    <d v="2025-06-19T00:00:00"/>
    <s v="ACTIVE"/>
    <m/>
    <m/>
    <m/>
    <m/>
  </r>
  <r>
    <n v="1021"/>
    <s v="Donor_059"/>
    <d v="2024-12-13T00:00:00"/>
    <s v="South"/>
    <x v="5"/>
    <m/>
    <n v="2923"/>
    <s v="UPI"/>
    <s v="2024-12"/>
    <d v="2025-06-16T00:00:00"/>
    <s v="ACTIVE"/>
    <m/>
    <m/>
    <m/>
    <m/>
  </r>
  <r>
    <n v="1575"/>
    <s v="Donor_109"/>
    <d v="2024-04-27T00:00:00"/>
    <s v="Central"/>
    <x v="4"/>
    <m/>
    <n v="10726"/>
    <s v="Bank Transfer"/>
    <s v="2024-04"/>
    <d v="2025-06-22T00:00:00"/>
    <s v="ACTIVE"/>
    <m/>
    <m/>
    <m/>
    <m/>
  </r>
  <r>
    <n v="667"/>
    <s v="Donor_098"/>
    <d v="2024-01-29T00:00:00"/>
    <s v="North"/>
    <x v="2"/>
    <m/>
    <n v="1578"/>
    <s v="Credit Card"/>
    <s v="2024-01"/>
    <d v="2025-06-20T00:00:00"/>
    <s v="ACTIVE"/>
    <m/>
    <m/>
    <m/>
    <m/>
  </r>
  <r>
    <n v="24"/>
    <s v="Donor_075"/>
    <d v="2024-02-29T00:00:00"/>
    <s v="Central"/>
    <x v="3"/>
    <m/>
    <n v="4114"/>
    <s v="Cheque"/>
    <s v="2024-02"/>
    <d v="2025-04-29T00:00:00"/>
    <s v="ACTIVE"/>
    <m/>
    <m/>
    <m/>
    <m/>
  </r>
  <r>
    <n v="705"/>
    <s v="Donor_065"/>
    <d v="2024-08-25T00:00:00"/>
    <s v="South"/>
    <x v="0"/>
    <m/>
    <n v="5843"/>
    <s v="Cash"/>
    <s v="2024-08"/>
    <d v="2025-05-02T00:00:00"/>
    <s v="ACTIVE"/>
    <m/>
    <m/>
    <m/>
    <m/>
  </r>
  <r>
    <n v="796"/>
    <s v="Donor_086"/>
    <d v="2024-10-25T00:00:00"/>
    <s v="North"/>
    <x v="2"/>
    <m/>
    <n v="2327"/>
    <s v="Cash"/>
    <s v="2024-10"/>
    <d v="2025-05-29T00:00:00"/>
    <s v="ACTIVE"/>
    <m/>
    <m/>
    <m/>
    <m/>
  </r>
  <r>
    <n v="1592"/>
    <s v="Donor_070"/>
    <d v="2024-07-18T00:00:00"/>
    <s v="Central"/>
    <x v="3"/>
    <m/>
    <n v="4810"/>
    <s v="Bank Transfer"/>
    <s v="2024-07"/>
    <d v="2025-03-27T00:00:00"/>
    <s v="ACTIVE"/>
    <m/>
    <m/>
    <m/>
    <m/>
  </r>
  <r>
    <n v="1590"/>
    <s v="Donor_035"/>
    <d v="2025-01-18T00:00:00"/>
    <s v="East"/>
    <x v="4"/>
    <m/>
    <n v="9573"/>
    <s v="Cheque"/>
    <s v="2025-01"/>
    <d v="2025-06-15T00:00:00"/>
    <s v="ACTIVE"/>
    <m/>
    <m/>
    <m/>
    <m/>
  </r>
  <r>
    <n v="347"/>
    <s v="Donor_003"/>
    <d v="2025-02-17T00:00:00"/>
    <s v="South"/>
    <x v="4"/>
    <m/>
    <n v="1327"/>
    <s v="UPI"/>
    <s v="2025-02"/>
    <d v="2025-05-08T00:00:00"/>
    <s v="ACTIVE"/>
    <m/>
    <m/>
    <m/>
    <m/>
  </r>
  <r>
    <n v="1573"/>
    <s v="Donor_082"/>
    <d v="2024-06-14T00:00:00"/>
    <s v="North"/>
    <x v="1"/>
    <m/>
    <n v="11309"/>
    <s v="UPI"/>
    <s v="2024-06"/>
    <d v="2025-06-02T00:00:00"/>
    <s v="ACTIVE"/>
    <m/>
    <m/>
    <m/>
    <m/>
  </r>
  <r>
    <n v="1209"/>
    <s v="Donor_054"/>
    <d v="2024-11-20T00:00:00"/>
    <s v="NOT KNOWN"/>
    <x v="4"/>
    <m/>
    <n v="1120"/>
    <s v="Bank Transfer"/>
    <s v="2024-11"/>
    <d v="2025-06-18T00:00:00"/>
    <s v="ACTIVE"/>
    <m/>
    <m/>
    <m/>
    <m/>
  </r>
  <r>
    <n v="873"/>
    <s v="Donor_079"/>
    <d v="2024-01-15T00:00:00"/>
    <s v="South"/>
    <x v="2"/>
    <m/>
    <n v="543"/>
    <s v="Cheque"/>
    <s v="2024-01"/>
    <d v="2025-06-07T00:00:00"/>
    <s v="ACTIVE"/>
    <m/>
    <m/>
    <m/>
    <m/>
  </r>
  <r>
    <n v="1556"/>
    <s v="Donor_056"/>
    <d v="2024-05-30T00:00:00"/>
    <s v="East"/>
    <x v="3"/>
    <m/>
    <n v="9530"/>
    <s v="Cash"/>
    <s v="2024-05"/>
    <d v="2025-05-08T00:00:00"/>
    <s v="ACTIVE"/>
    <m/>
    <m/>
    <m/>
    <m/>
  </r>
  <r>
    <n v="1325"/>
    <s v="Donor_020"/>
    <d v="2025-04-28T00:00:00"/>
    <s v="East"/>
    <x v="5"/>
    <m/>
    <n v="1617"/>
    <s v="Cash"/>
    <s v="2025-04"/>
    <d v="2025-05-31T00:00:00"/>
    <s v="ACTIVE"/>
    <m/>
    <m/>
    <m/>
    <m/>
  </r>
  <r>
    <n v="143"/>
    <s v="Donor_041"/>
    <d v="2024-01-29T00:00:00"/>
    <s v="North"/>
    <x v="2"/>
    <m/>
    <n v="5583"/>
    <s v="Credit Card"/>
    <s v="2024-01"/>
    <d v="2025-06-13T00:00:00"/>
    <s v="ACTIVE"/>
    <m/>
    <m/>
    <m/>
    <m/>
  </r>
  <r>
    <n v="229"/>
    <s v="Donor_099"/>
    <d v="2024-03-28T00:00:00"/>
    <s v="Central"/>
    <x v="5"/>
    <m/>
    <n v="2170"/>
    <s v="UPI"/>
    <s v="2024-03"/>
    <d v="2025-05-30T00:00:00"/>
    <s v="ACTIVE"/>
    <m/>
    <m/>
    <m/>
    <m/>
  </r>
  <r>
    <n v="1557"/>
    <s v="Donor_104"/>
    <d v="2025-05-08T00:00:00"/>
    <s v="West"/>
    <x v="3"/>
    <m/>
    <n v="1660"/>
    <s v="Cheque"/>
    <s v="2025-05"/>
    <d v="2025-05-08T00:00:00"/>
    <s v="ACTIVE"/>
    <m/>
    <m/>
    <m/>
    <m/>
  </r>
  <r>
    <n v="1436"/>
    <s v="Donor_054"/>
    <d v="2025-02-13T00:00:00"/>
    <s v="Central"/>
    <x v="5"/>
    <m/>
    <n v="2081"/>
    <s v="Credit Card"/>
    <s v="2025-02"/>
    <d v="2025-06-18T00:00:00"/>
    <s v="ACTIVE"/>
    <m/>
    <m/>
    <m/>
    <m/>
  </r>
  <r>
    <n v="1530"/>
    <s v="Donor_104"/>
    <d v="2024-08-15T00:00:00"/>
    <s v="South"/>
    <x v="3"/>
    <m/>
    <n v="838"/>
    <s v="Cheque"/>
    <s v="2024-08"/>
    <d v="2025-05-08T00:00:00"/>
    <s v="ACTIVE"/>
    <m/>
    <m/>
    <m/>
    <m/>
  </r>
  <r>
    <n v="638"/>
    <s v="Donor_036"/>
    <d v="2025-06-07T00:00:00"/>
    <s v="South"/>
    <x v="1"/>
    <m/>
    <n v="849"/>
    <s v="Cash"/>
    <s v="2025-06"/>
    <d v="2025-06-07T00:00:00"/>
    <s v="ACTIVE"/>
    <m/>
    <m/>
    <m/>
    <m/>
  </r>
  <r>
    <n v="1043"/>
    <s v="Donor_048"/>
    <d v="2024-05-05T00:00:00"/>
    <s v="South"/>
    <x v="3"/>
    <m/>
    <n v="2159"/>
    <s v="Cash"/>
    <s v="2024-05"/>
    <d v="2025-06-08T00:00:00"/>
    <s v="ACTIVE"/>
    <m/>
    <m/>
    <m/>
    <m/>
  </r>
  <r>
    <n v="587"/>
    <s v="Donor_023"/>
    <d v="2025-04-10T00:00:00"/>
    <s v="West"/>
    <x v="5"/>
    <m/>
    <n v="1475"/>
    <s v="Credit Card"/>
    <s v="2025-04"/>
    <d v="2025-05-24T00:00:00"/>
    <s v="ACTIVE"/>
    <m/>
    <m/>
    <m/>
    <m/>
  </r>
  <r>
    <n v="16"/>
    <s v="Donor_028"/>
    <d v="2025-03-09T00:00:00"/>
    <s v="Central"/>
    <x v="2"/>
    <m/>
    <n v="2170"/>
    <s v="Cash"/>
    <s v="2025-03"/>
    <d v="2025-03-09T00:00:00"/>
    <s v="LAPSED"/>
    <m/>
    <m/>
    <m/>
    <m/>
  </r>
  <r>
    <n v="1628"/>
    <s v="Donor_059"/>
    <d v="2024-04-22T00:00:00"/>
    <s v="North"/>
    <x v="5"/>
    <m/>
    <n v="1772"/>
    <s v="Cheque"/>
    <s v="2024-04"/>
    <d v="2025-06-16T00:00:00"/>
    <s v="ACTIVE"/>
    <m/>
    <m/>
    <m/>
    <m/>
  </r>
  <r>
    <n v="1634"/>
    <s v="Donor_120"/>
    <d v="2025-03-24T00:00:00"/>
    <s v="NOT KNOWN"/>
    <x v="4"/>
    <m/>
    <n v="1630"/>
    <s v="Cheque"/>
    <s v="2025-03"/>
    <d v="2025-06-19T00:00:00"/>
    <s v="ACTIVE"/>
    <m/>
    <m/>
    <m/>
    <m/>
  </r>
  <r>
    <n v="1610"/>
    <s v="Donor_047"/>
    <d v="2024-05-12T00:00:00"/>
    <s v="Central"/>
    <x v="2"/>
    <m/>
    <n v="1752"/>
    <s v="Bank Transfer"/>
    <s v="2024-05"/>
    <d v="2025-05-04T00:00:00"/>
    <s v="ACTIVE"/>
    <m/>
    <m/>
    <m/>
    <m/>
  </r>
  <r>
    <n v="929"/>
    <s v="Donor_097"/>
    <d v="2024-11-18T00:00:00"/>
    <s v="West"/>
    <x v="2"/>
    <m/>
    <n v="5948"/>
    <s v="UPI"/>
    <s v="2024-11"/>
    <d v="2025-06-04T00:00:00"/>
    <s v="ACTIVE"/>
    <m/>
    <m/>
    <m/>
    <m/>
  </r>
  <r>
    <n v="1189"/>
    <s v="Donor_120"/>
    <d v="2025-04-28T00:00:00"/>
    <s v="East"/>
    <x v="5"/>
    <m/>
    <n v="1384"/>
    <s v="Bank Transfer"/>
    <s v="2025-04"/>
    <d v="2025-06-19T00:00:00"/>
    <s v="ACTIVE"/>
    <m/>
    <m/>
    <m/>
    <m/>
  </r>
  <r>
    <n v="594"/>
    <s v="Donor_060"/>
    <d v="2025-04-10T00:00:00"/>
    <s v="South"/>
    <x v="2"/>
    <m/>
    <n v="0"/>
    <s v="Bank Transfer"/>
    <s v="2025-04"/>
    <d v="2025-05-20T00:00:00"/>
    <s v="ACTIVE"/>
    <m/>
    <m/>
    <m/>
    <m/>
  </r>
  <r>
    <n v="312"/>
    <s v="Donor_010"/>
    <d v="2024-04-17T00:00:00"/>
    <s v="East"/>
    <x v="4"/>
    <m/>
    <n v="648"/>
    <s v="UPI"/>
    <s v="2024-04"/>
    <d v="2025-06-01T00:00:00"/>
    <s v="ACTIVE"/>
    <m/>
    <m/>
    <m/>
    <m/>
  </r>
  <r>
    <n v="692"/>
    <s v="Donor_120"/>
    <d v="2024-06-07T00:00:00"/>
    <s v="West"/>
    <x v="0"/>
    <m/>
    <n v="8336"/>
    <s v="Cash"/>
    <s v="2024-06"/>
    <d v="2025-06-19T00:00:00"/>
    <s v="ACTIVE"/>
    <m/>
    <m/>
    <m/>
    <m/>
  </r>
  <r>
    <n v="35"/>
    <s v="Donor_103"/>
    <d v="2025-02-25T00:00:00"/>
    <s v="South"/>
    <x v="5"/>
    <m/>
    <n v="1672"/>
    <s v="UPI"/>
    <s v="2025-02"/>
    <d v="2025-02-25T00:00:00"/>
    <s v="LAPSED"/>
    <m/>
    <m/>
    <m/>
    <m/>
  </r>
  <r>
    <n v="216"/>
    <s v="Donor_038"/>
    <d v="2025-03-03T00:00:00"/>
    <s v="South"/>
    <x v="4"/>
    <m/>
    <n v="4460"/>
    <s v="Cheque"/>
    <s v="2025-03"/>
    <d v="2025-04-26T00:00:00"/>
    <s v="ACTIVE"/>
    <m/>
    <m/>
    <m/>
    <m/>
  </r>
  <r>
    <n v="1052"/>
    <s v="Donor_034"/>
    <d v="2024-07-03T00:00:00"/>
    <s v="East"/>
    <x v="5"/>
    <m/>
    <n v="255"/>
    <s v="Credit Card"/>
    <s v="2024-07"/>
    <d v="2025-06-21T00:00:00"/>
    <s v="ACTIVE"/>
    <m/>
    <m/>
    <m/>
    <m/>
  </r>
  <r>
    <n v="1050"/>
    <s v="Donor_016"/>
    <d v="2024-01-13T00:00:00"/>
    <s v="East"/>
    <x v="0"/>
    <m/>
    <n v="0"/>
    <s v="Credit Card"/>
    <s v="2024-01"/>
    <d v="2025-06-17T00:00:00"/>
    <s v="ACTIVE"/>
    <m/>
    <m/>
    <m/>
    <m/>
  </r>
  <r>
    <n v="355"/>
    <s v="Donor_110"/>
    <d v="2024-01-10T00:00:00"/>
    <s v="South"/>
    <x v="2"/>
    <m/>
    <n v="1397"/>
    <s v="Cash"/>
    <s v="2024-01"/>
    <d v="2025-06-04T00:00:00"/>
    <s v="ACTIVE"/>
    <m/>
    <m/>
    <m/>
    <m/>
  </r>
  <r>
    <n v="1145"/>
    <s v="Donor_070"/>
    <d v="2024-01-25T00:00:00"/>
    <s v="East"/>
    <x v="4"/>
    <m/>
    <n v="2357"/>
    <s v="UPI"/>
    <s v="2024-01"/>
    <d v="2025-03-27T00:00:00"/>
    <s v="ACTIVE"/>
    <m/>
    <m/>
    <m/>
    <m/>
  </r>
  <r>
    <n v="1119"/>
    <s v="Donor_040"/>
    <d v="2024-01-04T00:00:00"/>
    <s v="East"/>
    <x v="0"/>
    <m/>
    <n v="4235"/>
    <s v="Cash"/>
    <s v="2024-01"/>
    <d v="2025-05-15T00:00:00"/>
    <s v="ACTIVE"/>
    <m/>
    <m/>
    <m/>
    <m/>
  </r>
  <r>
    <n v="1159"/>
    <s v="Donor_081"/>
    <d v="2025-01-06T00:00:00"/>
    <s v="North"/>
    <x v="2"/>
    <m/>
    <n v="5005"/>
    <s v="Cheque"/>
    <s v="2025-01"/>
    <d v="2025-06-07T00:00:00"/>
    <s v="ACTIVE"/>
    <m/>
    <m/>
    <m/>
    <m/>
  </r>
  <r>
    <n v="1370"/>
    <s v="Donor_058"/>
    <d v="2024-09-16T00:00:00"/>
    <s v="North"/>
    <x v="1"/>
    <m/>
    <n v="5323"/>
    <s v="UPI"/>
    <s v="2024-09"/>
    <d v="2025-06-22T00:00:00"/>
    <s v="ACTIVE"/>
    <m/>
    <m/>
    <m/>
    <m/>
  </r>
  <r>
    <n v="700"/>
    <s v="Donor_019"/>
    <d v="2025-04-19T00:00:00"/>
    <s v="NOT KNOWN"/>
    <x v="1"/>
    <m/>
    <n v="423"/>
    <s v="Credit Card"/>
    <s v="2025-04"/>
    <d v="2025-05-28T00:00:00"/>
    <s v="ACTIVE"/>
    <m/>
    <m/>
    <m/>
    <m/>
  </r>
  <r>
    <n v="1638"/>
    <s v="Donor_104"/>
    <d v="2024-01-02T00:00:00"/>
    <s v="South"/>
    <x v="2"/>
    <m/>
    <n v="4256"/>
    <s v="Cheque"/>
    <s v="2024-01"/>
    <d v="2025-05-08T00:00:00"/>
    <s v="ACTIVE"/>
    <m/>
    <m/>
    <m/>
    <m/>
  </r>
  <r>
    <n v="1298"/>
    <s v="Donor_074"/>
    <d v="2025-02-15T00:00:00"/>
    <s v="South"/>
    <x v="4"/>
    <m/>
    <n v="695"/>
    <s v="Credit Card"/>
    <s v="2025-02"/>
    <d v="2025-06-18T00:00:00"/>
    <s v="ACTIVE"/>
    <m/>
    <m/>
    <m/>
    <m/>
  </r>
  <r>
    <n v="1065"/>
    <s v="Donor_017"/>
    <d v="2024-03-15T00:00:00"/>
    <s v="Central"/>
    <x v="0"/>
    <m/>
    <n v="871"/>
    <s v="Bank Transfer"/>
    <s v="2024-03"/>
    <d v="2025-02-02T00:00:00"/>
    <s v="LAPSED"/>
    <m/>
    <m/>
    <m/>
    <m/>
  </r>
  <r>
    <n v="1741"/>
    <s v="Donor_001"/>
    <d v="2025-01-17T00:00:00"/>
    <s v="West"/>
    <x v="3"/>
    <m/>
    <n v="557"/>
    <s v="Cheque"/>
    <s v="2025-01"/>
    <d v="2025-05-18T00:00:00"/>
    <s v="ACTIVE"/>
    <m/>
    <m/>
    <m/>
    <m/>
  </r>
  <r>
    <n v="362"/>
    <s v="Donor_065"/>
    <d v="2024-02-21T00:00:00"/>
    <s v="South"/>
    <x v="0"/>
    <m/>
    <n v="721"/>
    <s v="Credit Card"/>
    <s v="2024-02"/>
    <d v="2025-05-02T00:00:00"/>
    <s v="ACTIVE"/>
    <m/>
    <m/>
    <m/>
    <m/>
  </r>
  <r>
    <n v="979"/>
    <s v="Donor_105"/>
    <d v="2025-01-12T00:00:00"/>
    <s v="Central"/>
    <x v="3"/>
    <m/>
    <n v="452"/>
    <s v="UPI"/>
    <s v="2025-01"/>
    <d v="2025-06-15T00:00:00"/>
    <s v="ACTIVE"/>
    <m/>
    <m/>
    <m/>
    <m/>
  </r>
  <r>
    <n v="1163"/>
    <s v="Donor_071"/>
    <d v="2025-02-02T00:00:00"/>
    <s v="Central"/>
    <x v="4"/>
    <m/>
    <n v="1475"/>
    <s v="Credit Card"/>
    <s v="2025-02"/>
    <d v="2025-06-08T00:00:00"/>
    <s v="ACTIVE"/>
    <m/>
    <m/>
    <m/>
    <m/>
  </r>
  <r>
    <n v="250"/>
    <s v="Donor_050"/>
    <d v="2025-06-07T00:00:00"/>
    <s v="West"/>
    <x v="0"/>
    <m/>
    <n v="1545"/>
    <s v="Cash"/>
    <s v="2025-06"/>
    <d v="2025-06-18T00:00:00"/>
    <s v="ACTIVE"/>
    <m/>
    <m/>
    <m/>
    <m/>
  </r>
  <r>
    <n v="1535"/>
    <s v="Donor_061"/>
    <d v="2024-12-07T00:00:00"/>
    <s v="NOT KNOWN"/>
    <x v="5"/>
    <m/>
    <n v="2823"/>
    <s v="Cheque"/>
    <s v="2024-12"/>
    <d v="2025-05-21T00:00:00"/>
    <s v="ACTIVE"/>
    <m/>
    <m/>
    <m/>
    <m/>
  </r>
  <r>
    <n v="25"/>
    <s v="Donor_011"/>
    <d v="2025-06-04T00:00:00"/>
    <s v="South"/>
    <x v="3"/>
    <m/>
    <n v="1070"/>
    <s v="Credit Card"/>
    <s v="2025-06"/>
    <d v="2025-06-04T00:00:00"/>
    <s v="ACTIVE"/>
    <m/>
    <m/>
    <m/>
    <m/>
  </r>
  <r>
    <n v="111"/>
    <s v="Donor_056"/>
    <d v="2024-08-08T00:00:00"/>
    <s v="West"/>
    <x v="4"/>
    <m/>
    <n v="702"/>
    <s v="Cash"/>
    <s v="2024-08"/>
    <d v="2025-05-08T00:00:00"/>
    <s v="ACTIVE"/>
    <m/>
    <m/>
    <m/>
    <m/>
  </r>
  <r>
    <n v="1228"/>
    <s v="Donor_007"/>
    <d v="2025-06-21T00:00:00"/>
    <s v="Central"/>
    <x v="5"/>
    <m/>
    <n v="8922"/>
    <s v="Cheque"/>
    <s v="2025-06"/>
    <d v="2025-06-21T00:00:00"/>
    <s v="ACTIVE"/>
    <m/>
    <m/>
    <m/>
    <m/>
  </r>
  <r>
    <n v="1038"/>
    <s v="Donor_096"/>
    <d v="2025-02-26T00:00:00"/>
    <s v="Central"/>
    <x v="0"/>
    <m/>
    <n v="598"/>
    <s v="UPI"/>
    <s v="2025-02"/>
    <d v="2025-06-04T00:00:00"/>
    <s v="ACTIVE"/>
    <m/>
    <m/>
    <m/>
    <m/>
  </r>
  <r>
    <n v="349"/>
    <s v="Donor_057"/>
    <d v="2025-03-02T00:00:00"/>
    <s v="West"/>
    <x v="3"/>
    <m/>
    <n v="0"/>
    <s v="Credit Card"/>
    <s v="2025-03"/>
    <d v="2025-03-30T00:00:00"/>
    <s v="ACTIVE"/>
    <m/>
    <m/>
    <m/>
    <m/>
  </r>
  <r>
    <n v="952"/>
    <s v="Donor_082"/>
    <d v="2024-04-12T00:00:00"/>
    <s v="West"/>
    <x v="0"/>
    <m/>
    <n v="534"/>
    <s v="Cash"/>
    <s v="2024-04"/>
    <d v="2025-06-02T00:00:00"/>
    <s v="ACTIVE"/>
    <m/>
    <m/>
    <m/>
    <m/>
  </r>
  <r>
    <n v="404"/>
    <s v="Donor_117"/>
    <d v="2025-01-20T00:00:00"/>
    <s v="South"/>
    <x v="0"/>
    <m/>
    <n v="706"/>
    <s v="Bank Transfer"/>
    <s v="2025-01"/>
    <d v="2025-04-05T00:00:00"/>
    <s v="ACTIVE"/>
    <m/>
    <m/>
    <m/>
    <m/>
  </r>
  <r>
    <n v="363"/>
    <s v="Donor_058"/>
    <d v="2025-05-25T00:00:00"/>
    <s v="NOT KNOWN"/>
    <x v="3"/>
    <m/>
    <n v="329"/>
    <s v="UPI"/>
    <s v="2025-05"/>
    <d v="2025-06-22T00:00:00"/>
    <s v="ACTIVE"/>
    <m/>
    <m/>
    <m/>
    <m/>
  </r>
  <r>
    <n v="464"/>
    <s v="Donor_114"/>
    <d v="2024-07-08T00:00:00"/>
    <s v="North"/>
    <x v="0"/>
    <m/>
    <n v="5552"/>
    <s v="Credit Card"/>
    <s v="2024-07"/>
    <d v="2025-04-04T00:00:00"/>
    <s v="ACTIVE"/>
    <m/>
    <m/>
    <m/>
    <m/>
  </r>
  <r>
    <n v="466"/>
    <s v="Donor_107"/>
    <d v="2024-02-14T00:00:00"/>
    <s v="South"/>
    <x v="4"/>
    <m/>
    <n v="440"/>
    <s v="Cash"/>
    <s v="2024-02"/>
    <d v="2025-03-18T00:00:00"/>
    <s v="LAPSED"/>
    <m/>
    <m/>
    <m/>
    <m/>
  </r>
  <r>
    <n v="450"/>
    <s v="Donor_092"/>
    <d v="2024-06-16T00:00:00"/>
    <s v="West"/>
    <x v="1"/>
    <m/>
    <n v="1810"/>
    <s v="Cash"/>
    <s v="2024-06"/>
    <d v="2025-05-07T00:00:00"/>
    <s v="ACTIVE"/>
    <m/>
    <m/>
    <m/>
    <m/>
  </r>
  <r>
    <n v="1764"/>
    <s v="Donor_070"/>
    <d v="2024-06-27T00:00:00"/>
    <s v="East"/>
    <x v="5"/>
    <m/>
    <n v="2327"/>
    <s v="Cheque"/>
    <s v="2024-06"/>
    <d v="2025-03-27T00:00:00"/>
    <s v="ACTIVE"/>
    <m/>
    <m/>
    <m/>
    <m/>
  </r>
  <r>
    <n v="1012"/>
    <s v="Donor_073"/>
    <d v="2024-10-24T00:00:00"/>
    <s v="West"/>
    <x v="2"/>
    <m/>
    <n v="5729"/>
    <s v="UPI"/>
    <s v="2024-10"/>
    <d v="2025-06-23T00:00:00"/>
    <s v="ACTIVE"/>
    <m/>
    <m/>
    <m/>
    <m/>
  </r>
  <r>
    <n v="178"/>
    <s v="Donor_091"/>
    <d v="2025-05-16T00:00:00"/>
    <s v="Central"/>
    <x v="5"/>
    <m/>
    <n v="338"/>
    <s v="Bank Transfer"/>
    <s v="2025-05"/>
    <d v="2025-05-16T00:00:00"/>
    <s v="ACTIVE"/>
    <m/>
    <m/>
    <m/>
    <m/>
  </r>
  <r>
    <n v="1744"/>
    <s v="Donor_088"/>
    <d v="2024-11-17T00:00:00"/>
    <s v="North"/>
    <x v="3"/>
    <m/>
    <n v="271"/>
    <s v="UPI"/>
    <s v="2024-11"/>
    <d v="2025-05-21T00:00:00"/>
    <s v="ACTIVE"/>
    <m/>
    <m/>
    <m/>
    <m/>
  </r>
  <r>
    <n v="703"/>
    <s v="Donor_030"/>
    <d v="2025-05-14T00:00:00"/>
    <s v="North"/>
    <x v="0"/>
    <m/>
    <n v="484"/>
    <s v="Bank Transfer"/>
    <s v="2025-05"/>
    <d v="2025-05-25T00:00:00"/>
    <s v="ACTIVE"/>
    <m/>
    <m/>
    <m/>
    <m/>
  </r>
  <r>
    <n v="831"/>
    <s v="Donor_078"/>
    <d v="2024-12-11T00:00:00"/>
    <s v="West"/>
    <x v="5"/>
    <m/>
    <n v="5364"/>
    <s v="Bank Transfer"/>
    <s v="2024-12"/>
    <d v="2025-03-13T00:00:00"/>
    <s v="LAPSED"/>
    <m/>
    <m/>
    <m/>
    <m/>
  </r>
  <r>
    <n v="1082"/>
    <s v="Donor_091"/>
    <d v="2025-02-11T00:00:00"/>
    <s v="South"/>
    <x v="1"/>
    <m/>
    <n v="312"/>
    <s v="Credit Card"/>
    <s v="2025-02"/>
    <d v="2025-05-16T00:00:00"/>
    <s v="ACTIVE"/>
    <m/>
    <m/>
    <m/>
    <m/>
  </r>
  <r>
    <n v="1187"/>
    <s v="Donor_088"/>
    <d v="2024-04-15T00:00:00"/>
    <s v="East"/>
    <x v="0"/>
    <m/>
    <n v="2057"/>
    <s v="Credit Card"/>
    <s v="2024-04"/>
    <d v="2025-05-21T00:00:00"/>
    <s v="ACTIVE"/>
    <m/>
    <m/>
    <m/>
    <m/>
  </r>
  <r>
    <n v="475"/>
    <s v="Donor_118"/>
    <d v="2024-10-09T00:00:00"/>
    <s v="Central"/>
    <x v="0"/>
    <m/>
    <n v="10283"/>
    <s v="Cheque"/>
    <s v="2024-10"/>
    <d v="2025-04-19T00:00:00"/>
    <s v="ACTIVE"/>
    <m/>
    <m/>
    <m/>
    <m/>
  </r>
  <r>
    <n v="665"/>
    <s v="Donor_113"/>
    <d v="2024-11-20T00:00:00"/>
    <s v="West"/>
    <x v="3"/>
    <m/>
    <n v="2866"/>
    <s v="Cash"/>
    <s v="2024-11"/>
    <d v="2025-04-17T00:00:00"/>
    <s v="ACTIVE"/>
    <m/>
    <m/>
    <m/>
    <m/>
  </r>
  <r>
    <n v="415"/>
    <s v="Donor_074"/>
    <d v="2024-01-08T00:00:00"/>
    <s v="Central"/>
    <x v="3"/>
    <m/>
    <n v="8029"/>
    <s v="Credit Card"/>
    <s v="2024-01"/>
    <d v="2025-06-18T00:00:00"/>
    <s v="ACTIVE"/>
    <m/>
    <m/>
    <m/>
    <m/>
  </r>
  <r>
    <n v="47"/>
    <s v="Donor_097"/>
    <d v="2024-11-20T00:00:00"/>
    <s v="West"/>
    <x v="0"/>
    <m/>
    <n v="9707"/>
    <s v="Cheque"/>
    <s v="2024-11"/>
    <d v="2025-06-04T00:00:00"/>
    <s v="ACTIVE"/>
    <m/>
    <m/>
    <m/>
    <m/>
  </r>
  <r>
    <n v="833"/>
    <s v="Donor_004"/>
    <d v="2024-05-22T00:00:00"/>
    <s v="Central"/>
    <x v="3"/>
    <m/>
    <n v="9118"/>
    <s v="Credit Card"/>
    <s v="2024-05"/>
    <d v="2025-05-26T00:00:00"/>
    <s v="ACTIVE"/>
    <m/>
    <m/>
    <m/>
    <m/>
  </r>
  <r>
    <n v="672"/>
    <s v="Donor_106"/>
    <d v="2025-04-09T00:00:00"/>
    <s v="West"/>
    <x v="3"/>
    <m/>
    <n v="2171"/>
    <s v="Credit Card"/>
    <s v="2025-04"/>
    <d v="2025-06-11T00:00:00"/>
    <s v="ACTIVE"/>
    <m/>
    <m/>
    <m/>
    <m/>
  </r>
  <r>
    <n v="194"/>
    <s v="Donor_034"/>
    <d v="2024-01-12T00:00:00"/>
    <s v="East"/>
    <x v="2"/>
    <m/>
    <n v="1650"/>
    <s v="UPI"/>
    <s v="2024-01"/>
    <d v="2025-06-21T00:00:00"/>
    <s v="ACTIVE"/>
    <m/>
    <m/>
    <m/>
    <m/>
  </r>
  <r>
    <n v="393"/>
    <s v="Donor_024"/>
    <d v="2024-04-27T00:00:00"/>
    <s v="Central"/>
    <x v="3"/>
    <m/>
    <n v="9845"/>
    <s v="Cheque"/>
    <s v="2024-04"/>
    <d v="2025-06-07T00:00:00"/>
    <s v="ACTIVE"/>
    <m/>
    <m/>
    <m/>
    <m/>
  </r>
  <r>
    <n v="1784"/>
    <s v="Donor_063"/>
    <d v="2024-10-12T00:00:00"/>
    <s v="East"/>
    <x v="2"/>
    <m/>
    <n v="2185"/>
    <s v="Cheque"/>
    <s v="2024-10"/>
    <d v="2025-04-20T00:00:00"/>
    <s v="ACTIVE"/>
    <m/>
    <m/>
    <m/>
    <m/>
  </r>
  <r>
    <n v="1171"/>
    <s v="Donor_098"/>
    <d v="2024-02-06T00:00:00"/>
    <s v="South"/>
    <x v="4"/>
    <m/>
    <n v="9154"/>
    <s v="Credit Card"/>
    <s v="2024-02"/>
    <d v="2025-06-20T00:00:00"/>
    <s v="ACTIVE"/>
    <m/>
    <m/>
    <m/>
    <m/>
  </r>
  <r>
    <n v="1257"/>
    <s v="Donor_009"/>
    <d v="2024-05-31T00:00:00"/>
    <s v="East"/>
    <x v="3"/>
    <m/>
    <n v="2570"/>
    <s v="UPI"/>
    <s v="2024-05"/>
    <d v="2025-05-15T00:00:00"/>
    <s v="ACTIVE"/>
    <m/>
    <m/>
    <m/>
    <m/>
  </r>
  <r>
    <n v="446"/>
    <s v="Donor_112"/>
    <d v="2025-04-23T00:00:00"/>
    <s v="Central"/>
    <x v="5"/>
    <m/>
    <n v="9779"/>
    <s v="Cheque"/>
    <s v="2025-04"/>
    <d v="2025-05-26T00:00:00"/>
    <s v="ACTIVE"/>
    <m/>
    <m/>
    <m/>
    <m/>
  </r>
  <r>
    <n v="27"/>
    <s v="Donor_059"/>
    <d v="2024-11-03T00:00:00"/>
    <s v="East"/>
    <x v="3"/>
    <m/>
    <n v="492"/>
    <s v="Cheque"/>
    <s v="2024-11"/>
    <d v="2025-06-16T00:00:00"/>
    <s v="ACTIVE"/>
    <m/>
    <m/>
    <m/>
    <m/>
  </r>
  <r>
    <n v="1226"/>
    <s v="Donor_040"/>
    <d v="2024-12-21T00:00:00"/>
    <s v="West"/>
    <x v="1"/>
    <m/>
    <n v="11937"/>
    <s v="UPI"/>
    <s v="2024-12"/>
    <d v="2025-05-15T00:00:00"/>
    <s v="ACTIVE"/>
    <m/>
    <m/>
    <m/>
    <m/>
  </r>
  <r>
    <n v="1635"/>
    <s v="Donor_059"/>
    <d v="2024-07-02T00:00:00"/>
    <s v="East"/>
    <x v="0"/>
    <m/>
    <n v="860"/>
    <s v="Bank Transfer"/>
    <s v="2024-07"/>
    <d v="2025-06-16T00:00:00"/>
    <s v="ACTIVE"/>
    <m/>
    <m/>
    <m/>
    <m/>
  </r>
  <r>
    <n v="452"/>
    <s v="Donor_090"/>
    <d v="2024-10-05T00:00:00"/>
    <s v="Central"/>
    <x v="1"/>
    <m/>
    <n v="1857"/>
    <s v="Credit Card"/>
    <s v="2024-10"/>
    <d v="2025-04-25T00:00:00"/>
    <s v="ACTIVE"/>
    <m/>
    <m/>
    <m/>
    <m/>
  </r>
  <r>
    <n v="1201"/>
    <s v="Donor_097"/>
    <d v="2024-07-14T00:00:00"/>
    <s v="North"/>
    <x v="2"/>
    <m/>
    <n v="845"/>
    <s v="Cash"/>
    <s v="2024-07"/>
    <d v="2025-06-04T00:00:00"/>
    <s v="ACTIVE"/>
    <m/>
    <m/>
    <m/>
    <m/>
  </r>
  <r>
    <n v="1490"/>
    <s v="Donor_081"/>
    <d v="2024-07-06T00:00:00"/>
    <s v="West"/>
    <x v="0"/>
    <m/>
    <n v="430"/>
    <s v="UPI"/>
    <s v="2024-07"/>
    <d v="2025-06-07T00:00:00"/>
    <s v="ACTIVE"/>
    <m/>
    <m/>
    <m/>
    <m/>
  </r>
  <r>
    <n v="1491"/>
    <s v="Donor_062"/>
    <d v="2024-01-02T00:00:00"/>
    <s v="South"/>
    <x v="4"/>
    <m/>
    <n v="1093"/>
    <s v="Cash"/>
    <s v="2024-01"/>
    <d v="2025-05-17T00:00:00"/>
    <s v="ACTIVE"/>
    <m/>
    <m/>
    <m/>
    <m/>
  </r>
  <r>
    <n v="1787"/>
    <s v="Donor_065"/>
    <d v="2024-05-13T00:00:00"/>
    <s v="North"/>
    <x v="1"/>
    <m/>
    <n v="5773"/>
    <s v="Cash"/>
    <s v="2024-05"/>
    <d v="2025-05-02T00:00:00"/>
    <s v="ACTIVE"/>
    <m/>
    <m/>
    <m/>
    <m/>
  </r>
  <r>
    <n v="1248"/>
    <s v="Donor_080"/>
    <d v="2025-02-11T00:00:00"/>
    <s v="North"/>
    <x v="4"/>
    <m/>
    <n v="836"/>
    <s v="Cheque"/>
    <s v="2025-02"/>
    <d v="2025-05-11T00:00:00"/>
    <s v="ACTIVE"/>
    <m/>
    <m/>
    <m/>
    <m/>
  </r>
  <r>
    <n v="1314"/>
    <s v="Donor_092"/>
    <d v="2024-04-03T00:00:00"/>
    <s v="North"/>
    <x v="3"/>
    <m/>
    <n v="837"/>
    <s v="Credit Card"/>
    <s v="2024-04"/>
    <d v="2025-05-07T00:00:00"/>
    <s v="ACTIVE"/>
    <m/>
    <m/>
    <m/>
    <m/>
  </r>
  <r>
    <n v="652"/>
    <s v="Donor_113"/>
    <d v="2024-07-03T00:00:00"/>
    <s v="North"/>
    <x v="2"/>
    <m/>
    <n v="11451"/>
    <s v="Cheque"/>
    <s v="2024-07"/>
    <d v="2025-04-17T00:00:00"/>
    <s v="ACTIVE"/>
    <m/>
    <m/>
    <m/>
    <m/>
  </r>
  <r>
    <n v="1445"/>
    <s v="Donor_104"/>
    <d v="2025-03-04T00:00:00"/>
    <s v="South"/>
    <x v="5"/>
    <m/>
    <n v="4421"/>
    <s v="Cash"/>
    <s v="2025-03"/>
    <d v="2025-05-08T00:00:00"/>
    <s v="ACTIVE"/>
    <m/>
    <m/>
    <m/>
    <m/>
  </r>
  <r>
    <n v="370"/>
    <s v="Donor_089"/>
    <d v="2024-06-30T00:00:00"/>
    <s v="Central"/>
    <x v="4"/>
    <m/>
    <n v="1262"/>
    <s v="Cheque"/>
    <s v="2024-06"/>
    <d v="2025-05-16T00:00:00"/>
    <s v="ACTIVE"/>
    <m/>
    <m/>
    <m/>
    <m/>
  </r>
  <r>
    <n v="159"/>
    <s v="Donor_091"/>
    <d v="2024-09-23T00:00:00"/>
    <s v="West"/>
    <x v="4"/>
    <m/>
    <n v="2694"/>
    <s v="Cash"/>
    <s v="2024-09"/>
    <d v="2025-05-16T00:00:00"/>
    <s v="ACTIVE"/>
    <m/>
    <m/>
    <m/>
    <m/>
  </r>
  <r>
    <n v="1679"/>
    <s v="Donor_006"/>
    <d v="2024-09-11T00:00:00"/>
    <s v="East"/>
    <x v="5"/>
    <m/>
    <n v="10044"/>
    <s v="Cash"/>
    <s v="2024-09"/>
    <d v="2025-06-06T00:00:00"/>
    <s v="ACTIVE"/>
    <m/>
    <m/>
    <m/>
    <m/>
  </r>
  <r>
    <n v="308"/>
    <s v="Donor_118"/>
    <d v="2024-11-21T00:00:00"/>
    <s v="Central"/>
    <x v="4"/>
    <m/>
    <n v="1175"/>
    <s v="Credit Card"/>
    <s v="2024-11"/>
    <d v="2025-04-19T00:00:00"/>
    <s v="ACTIVE"/>
    <m/>
    <m/>
    <m/>
    <m/>
  </r>
  <r>
    <n v="286"/>
    <s v="Donor_043"/>
    <d v="2024-01-10T00:00:00"/>
    <s v="North"/>
    <x v="2"/>
    <m/>
    <n v="855"/>
    <s v="Bank Transfer"/>
    <s v="2024-01"/>
    <d v="2025-06-13T00:00:00"/>
    <s v="ACTIVE"/>
    <m/>
    <m/>
    <m/>
    <m/>
  </r>
  <r>
    <n v="1261"/>
    <s v="Donor_004"/>
    <d v="2024-07-04T00:00:00"/>
    <s v="West"/>
    <x v="2"/>
    <m/>
    <n v="933"/>
    <s v="UPI"/>
    <s v="2024-07"/>
    <d v="2025-05-26T00:00:00"/>
    <s v="ACTIVE"/>
    <m/>
    <m/>
    <m/>
    <m/>
  </r>
  <r>
    <n v="331"/>
    <s v="Donor_110"/>
    <d v="2024-06-15T00:00:00"/>
    <s v="Central"/>
    <x v="4"/>
    <m/>
    <n v="2118"/>
    <s v="Credit Card"/>
    <s v="2024-06"/>
    <d v="2025-06-04T00:00:00"/>
    <s v="ACTIVE"/>
    <m/>
    <m/>
    <m/>
    <m/>
  </r>
  <r>
    <n v="1307"/>
    <s v="Donor_090"/>
    <d v="2024-09-01T00:00:00"/>
    <s v="East"/>
    <x v="5"/>
    <m/>
    <n v="360"/>
    <s v="Bank Transfer"/>
    <s v="2024-09"/>
    <d v="2025-04-25T00:00:00"/>
    <s v="ACTIVE"/>
    <m/>
    <m/>
    <m/>
    <m/>
  </r>
  <r>
    <n v="1579"/>
    <s v="Donor_070"/>
    <d v="2024-12-09T00:00:00"/>
    <s v="West"/>
    <x v="3"/>
    <m/>
    <n v="2405"/>
    <s v="Credit Card"/>
    <s v="2024-12"/>
    <d v="2025-03-27T00:00:00"/>
    <s v="ACTIVE"/>
    <m/>
    <m/>
    <m/>
    <m/>
  </r>
  <r>
    <n v="1127"/>
    <s v="Donor_042"/>
    <d v="2024-02-04T00:00:00"/>
    <s v="North"/>
    <x v="2"/>
    <m/>
    <n v="5739"/>
    <s v="UPI"/>
    <s v="2024-02"/>
    <d v="2025-02-10T00:00:00"/>
    <s v="LAPSED"/>
    <m/>
    <m/>
    <m/>
    <m/>
  </r>
  <r>
    <n v="1466"/>
    <s v="Donor_050"/>
    <d v="2025-04-13T00:00:00"/>
    <s v="NOT KNOWN"/>
    <x v="2"/>
    <m/>
    <n v="4398"/>
    <s v="UPI"/>
    <s v="2025-04"/>
    <d v="2025-06-18T00:00:00"/>
    <s v="ACTIVE"/>
    <m/>
    <m/>
    <m/>
    <m/>
  </r>
  <r>
    <n v="554"/>
    <s v="Donor_085"/>
    <d v="2024-06-03T00:00:00"/>
    <s v="West"/>
    <x v="5"/>
    <m/>
    <n v="1357"/>
    <s v="Credit Card"/>
    <s v="2024-06"/>
    <d v="2025-06-22T00:00:00"/>
    <s v="ACTIVE"/>
    <m/>
    <m/>
    <m/>
    <m/>
  </r>
  <r>
    <n v="729"/>
    <s v="Donor_102"/>
    <d v="2024-01-29T00:00:00"/>
    <s v="South"/>
    <x v="4"/>
    <m/>
    <n v="615"/>
    <s v="Bank Transfer"/>
    <s v="2024-01"/>
    <d v="2025-04-29T00:00:00"/>
    <s v="ACTIVE"/>
    <m/>
    <m/>
    <m/>
    <m/>
  </r>
  <r>
    <n v="253"/>
    <s v="Donor_011"/>
    <d v="2024-06-20T00:00:00"/>
    <s v="Central"/>
    <x v="3"/>
    <m/>
    <n v="1834"/>
    <s v="Bank Transfer"/>
    <s v="2024-06"/>
    <d v="2025-06-04T00:00:00"/>
    <s v="ACTIVE"/>
    <m/>
    <m/>
    <m/>
    <m/>
  </r>
  <r>
    <n v="622"/>
    <s v="Donor_035"/>
    <d v="2024-11-04T00:00:00"/>
    <s v="East"/>
    <x v="3"/>
    <m/>
    <n v="10320"/>
    <s v="Credit Card"/>
    <s v="2024-11"/>
    <d v="2025-06-15T00:00:00"/>
    <s v="ACTIVE"/>
    <m/>
    <m/>
    <m/>
    <m/>
  </r>
  <r>
    <n v="110"/>
    <s v="Donor_049"/>
    <d v="2024-11-28T00:00:00"/>
    <s v="Central"/>
    <x v="0"/>
    <m/>
    <n v="2454"/>
    <s v="Cheque"/>
    <s v="2024-11"/>
    <d v="2025-06-19T00:00:00"/>
    <s v="ACTIVE"/>
    <m/>
    <m/>
    <m/>
    <m/>
  </r>
  <r>
    <n v="778"/>
    <s v="Donor_051"/>
    <d v="2024-08-28T00:00:00"/>
    <s v="South"/>
    <x v="5"/>
    <m/>
    <n v="867"/>
    <s v="Cheque"/>
    <s v="2024-08"/>
    <d v="2025-06-11T00:00:00"/>
    <s v="ACTIVE"/>
    <m/>
    <m/>
    <m/>
    <m/>
  </r>
  <r>
    <n v="1578"/>
    <s v="Donor_024"/>
    <d v="2024-06-24T00:00:00"/>
    <s v="South"/>
    <x v="2"/>
    <m/>
    <n v="4656"/>
    <s v="Credit Card"/>
    <s v="2024-06"/>
    <d v="2025-06-07T00:00:00"/>
    <s v="ACTIVE"/>
    <m/>
    <m/>
    <m/>
    <m/>
  </r>
  <r>
    <n v="165"/>
    <s v="Donor_045"/>
    <d v="2024-08-18T00:00:00"/>
    <s v="Central"/>
    <x v="5"/>
    <m/>
    <n v="900"/>
    <s v="Cheque"/>
    <s v="2024-08"/>
    <d v="2025-05-11T00:00:00"/>
    <s v="ACTIVE"/>
    <m/>
    <m/>
    <m/>
    <m/>
  </r>
  <r>
    <n v="1740"/>
    <s v="Donor_092"/>
    <d v="2024-09-25T00:00:00"/>
    <s v="West"/>
    <x v="4"/>
    <m/>
    <n v="854"/>
    <s v="Cash"/>
    <s v="2024-09"/>
    <d v="2025-05-07T00:00:00"/>
    <s v="ACTIVE"/>
    <m/>
    <m/>
    <m/>
    <m/>
  </r>
  <r>
    <n v="761"/>
    <s v="Donor_059"/>
    <d v="2024-01-11T00:00:00"/>
    <s v="West"/>
    <x v="1"/>
    <m/>
    <n v="864"/>
    <s v="Cheque"/>
    <s v="2024-01"/>
    <d v="2025-06-16T00:00:00"/>
    <s v="ACTIVE"/>
    <m/>
    <m/>
    <m/>
    <m/>
  </r>
  <r>
    <n v="208"/>
    <s v="Donor_081"/>
    <d v="2024-06-28T00:00:00"/>
    <s v="West"/>
    <x v="0"/>
    <m/>
    <n v="246"/>
    <s v="Bank Transfer"/>
    <s v="2024-06"/>
    <d v="2025-06-07T00:00:00"/>
    <s v="ACTIVE"/>
    <m/>
    <m/>
    <m/>
    <m/>
  </r>
  <r>
    <n v="152"/>
    <s v="Donor_016"/>
    <d v="2024-10-06T00:00:00"/>
    <s v="East"/>
    <x v="1"/>
    <m/>
    <n v="823"/>
    <s v="Cash"/>
    <s v="2024-10"/>
    <d v="2025-06-17T00:00:00"/>
    <s v="ACTIVE"/>
    <m/>
    <m/>
    <m/>
    <m/>
  </r>
  <r>
    <n v="263"/>
    <s v="Donor_013"/>
    <d v="2024-02-17T00:00:00"/>
    <s v="West"/>
    <x v="3"/>
    <m/>
    <n v="1172"/>
    <s v="Credit Card"/>
    <s v="2024-02"/>
    <d v="2025-04-28T00:00:00"/>
    <s v="ACTIVE"/>
    <m/>
    <m/>
    <m/>
    <m/>
  </r>
  <r>
    <n v="1512"/>
    <s v="Donor_011"/>
    <d v="2024-03-24T00:00:00"/>
    <s v="South"/>
    <x v="1"/>
    <m/>
    <n v="976"/>
    <s v="Cheque"/>
    <s v="2024-03"/>
    <d v="2025-06-04T00:00:00"/>
    <s v="ACTIVE"/>
    <m/>
    <m/>
    <m/>
    <m/>
  </r>
  <r>
    <n v="699"/>
    <s v="Donor_027"/>
    <d v="2024-01-28T00:00:00"/>
    <s v="West"/>
    <x v="2"/>
    <m/>
    <n v="1590"/>
    <s v="Cash"/>
    <s v="2024-01"/>
    <d v="2025-06-06T00:00:00"/>
    <s v="ACTIVE"/>
    <m/>
    <m/>
    <m/>
    <m/>
  </r>
  <r>
    <n v="1034"/>
    <s v="Donor_045"/>
    <d v="2024-02-06T00:00:00"/>
    <s v="North"/>
    <x v="1"/>
    <m/>
    <n v="1155"/>
    <s v="Cash"/>
    <s v="2024-02"/>
    <d v="2025-05-11T00:00:00"/>
    <s v="ACTIVE"/>
    <m/>
    <m/>
    <m/>
    <m/>
  </r>
  <r>
    <n v="515"/>
    <s v="Donor_078"/>
    <d v="2025-03-13T00:00:00"/>
    <s v="East"/>
    <x v="5"/>
    <m/>
    <n v="10301"/>
    <s v="Cheque"/>
    <s v="2025-03"/>
    <d v="2025-03-13T00:00:00"/>
    <s v="LAPSED"/>
    <m/>
    <m/>
    <m/>
    <m/>
  </r>
  <r>
    <n v="21"/>
    <s v="Donor_060"/>
    <d v="2024-10-12T00:00:00"/>
    <s v="NOT KNOWN"/>
    <x v="3"/>
    <m/>
    <n v="337"/>
    <s v="Cheque"/>
    <s v="2024-10"/>
    <d v="2025-05-20T00:00:00"/>
    <s v="ACTIVE"/>
    <m/>
    <m/>
    <m/>
    <m/>
  </r>
  <r>
    <n v="1625"/>
    <s v="Donor_005"/>
    <d v="2024-06-26T00:00:00"/>
    <s v="North"/>
    <x v="5"/>
    <m/>
    <n v="9956"/>
    <s v="Cash"/>
    <s v="2024-06"/>
    <d v="2025-06-10T00:00:00"/>
    <s v="ACTIVE"/>
    <m/>
    <m/>
    <m/>
    <m/>
  </r>
  <r>
    <n v="98"/>
    <s v="Donor_097"/>
    <d v="2024-05-24T00:00:00"/>
    <s v="South"/>
    <x v="2"/>
    <m/>
    <n v="0"/>
    <s v="Cheque"/>
    <s v="2024-05"/>
    <d v="2025-06-04T00:00:00"/>
    <s v="ACTIVE"/>
    <m/>
    <m/>
    <m/>
    <m/>
  </r>
  <r>
    <n v="1165"/>
    <s v="Donor_103"/>
    <d v="2024-04-23T00:00:00"/>
    <s v="Central"/>
    <x v="5"/>
    <m/>
    <n v="1347"/>
    <s v="UPI"/>
    <s v="2024-04"/>
    <d v="2025-02-25T00:00:00"/>
    <s v="LAPSED"/>
    <m/>
    <m/>
    <m/>
    <m/>
  </r>
  <r>
    <n v="973"/>
    <s v="Donor_074"/>
    <d v="2024-03-17T00:00:00"/>
    <s v="West"/>
    <x v="2"/>
    <m/>
    <n v="695"/>
    <s v="Bank Transfer"/>
    <s v="2024-03"/>
    <d v="2025-06-18T00:00:00"/>
    <s v="ACTIVE"/>
    <m/>
    <m/>
    <m/>
    <m/>
  </r>
  <r>
    <n v="1488"/>
    <s v="Donor_083"/>
    <d v="2025-06-05T00:00:00"/>
    <s v="South"/>
    <x v="3"/>
    <m/>
    <n v="2721"/>
    <s v="Cheque"/>
    <s v="2025-06"/>
    <d v="2025-06-21T00:00:00"/>
    <s v="ACTIVE"/>
    <m/>
    <m/>
    <m/>
    <m/>
  </r>
  <r>
    <n v="140"/>
    <s v="Donor_021"/>
    <d v="2025-03-04T00:00:00"/>
    <s v="South"/>
    <x v="0"/>
    <m/>
    <n v="1724"/>
    <s v="UPI"/>
    <s v="2025-03"/>
    <d v="2025-04-05T00:00:00"/>
    <s v="ACTIVE"/>
    <m/>
    <m/>
    <m/>
    <m/>
  </r>
  <r>
    <n v="439"/>
    <s v="Donor_045"/>
    <d v="2024-05-04T00:00:00"/>
    <s v="Central"/>
    <x v="4"/>
    <m/>
    <n v="8698"/>
    <s v="Bank Transfer"/>
    <s v="2024-05"/>
    <d v="2025-05-11T00:00:00"/>
    <s v="ACTIVE"/>
    <m/>
    <m/>
    <m/>
    <m/>
  </r>
  <r>
    <n v="649"/>
    <s v="Donor_026"/>
    <d v="2025-03-22T00:00:00"/>
    <s v="West"/>
    <x v="2"/>
    <m/>
    <n v="1136"/>
    <s v="Cheque"/>
    <s v="2025-03"/>
    <d v="2025-05-28T00:00:00"/>
    <s v="ACTIVE"/>
    <m/>
    <m/>
    <m/>
    <m/>
  </r>
  <r>
    <n v="747"/>
    <s v="Donor_078"/>
    <d v="2024-01-03T00:00:00"/>
    <s v="West"/>
    <x v="3"/>
    <m/>
    <n v="535"/>
    <s v="Cash"/>
    <s v="2024-01"/>
    <d v="2025-03-13T00:00:00"/>
    <s v="LAPSED"/>
    <m/>
    <m/>
    <m/>
    <m/>
  </r>
  <r>
    <n v="1688"/>
    <s v="Donor_030"/>
    <d v="2024-03-04T00:00:00"/>
    <s v="Central"/>
    <x v="0"/>
    <m/>
    <n v="11230"/>
    <s v="Credit Card"/>
    <s v="2024-03"/>
    <d v="2025-05-25T00:00:00"/>
    <s v="ACTIVE"/>
    <m/>
    <m/>
    <m/>
    <m/>
  </r>
  <r>
    <n v="1489"/>
    <s v="Donor_096"/>
    <d v="2024-11-13T00:00:00"/>
    <s v="West"/>
    <x v="3"/>
    <m/>
    <n v="1027"/>
    <s v="UPI"/>
    <s v="2024-11"/>
    <d v="2025-06-04T00:00:00"/>
    <s v="ACTIVE"/>
    <m/>
    <m/>
    <m/>
    <m/>
  </r>
  <r>
    <n v="276"/>
    <s v="Donor_051"/>
    <d v="2024-11-30T00:00:00"/>
    <s v="Central"/>
    <x v="2"/>
    <m/>
    <n v="924"/>
    <s v="Cash"/>
    <s v="2024-11"/>
    <d v="2025-06-11T00:00:00"/>
    <s v="ACTIVE"/>
    <m/>
    <m/>
    <m/>
    <m/>
  </r>
  <r>
    <n v="957"/>
    <s v="Donor_030"/>
    <d v="2025-03-23T00:00:00"/>
    <s v="North"/>
    <x v="2"/>
    <m/>
    <n v="1503"/>
    <s v="Cheque"/>
    <s v="2025-03"/>
    <d v="2025-05-25T00:00:00"/>
    <s v="ACTIVE"/>
    <m/>
    <m/>
    <m/>
    <m/>
  </r>
  <r>
    <n v="1009"/>
    <s v="Donor_053"/>
    <d v="2025-03-06T00:00:00"/>
    <s v="West"/>
    <x v="3"/>
    <m/>
    <n v="8106"/>
    <s v="Cash"/>
    <s v="2025-03"/>
    <d v="2025-04-16T00:00:00"/>
    <s v="ACTIVE"/>
    <m/>
    <m/>
    <m/>
    <m/>
  </r>
  <r>
    <n v="758"/>
    <s v="Donor_067"/>
    <d v="2024-12-07T00:00:00"/>
    <s v="South"/>
    <x v="3"/>
    <m/>
    <n v="332"/>
    <s v="Cash"/>
    <s v="2024-12"/>
    <d v="2025-06-15T00:00:00"/>
    <s v="ACTIVE"/>
    <m/>
    <m/>
    <m/>
    <m/>
  </r>
  <r>
    <n v="214"/>
    <s v="Donor_049"/>
    <d v="2024-10-16T00:00:00"/>
    <s v="West"/>
    <x v="0"/>
    <m/>
    <n v="4617"/>
    <s v="Bank Transfer"/>
    <s v="2024-10"/>
    <d v="2025-06-19T00:00:00"/>
    <s v="ACTIVE"/>
    <m/>
    <m/>
    <m/>
    <m/>
  </r>
  <r>
    <n v="1258"/>
    <s v="Donor_028"/>
    <d v="2025-02-09T00:00:00"/>
    <s v="West"/>
    <x v="5"/>
    <m/>
    <n v="10789"/>
    <s v="Bank Transfer"/>
    <s v="2025-02"/>
    <d v="2025-03-09T00:00:00"/>
    <s v="LAPSED"/>
    <m/>
    <m/>
    <m/>
    <m/>
  </r>
  <r>
    <n v="359"/>
    <s v="Donor_034"/>
    <d v="2024-03-05T00:00:00"/>
    <s v="East"/>
    <x v="3"/>
    <m/>
    <n v="11070"/>
    <s v="Cheque"/>
    <s v="2024-03"/>
    <d v="2025-06-21T00:00:00"/>
    <s v="ACTIVE"/>
    <m/>
    <m/>
    <m/>
    <m/>
  </r>
  <r>
    <n v="1309"/>
    <s v="Donor_049"/>
    <d v="2025-04-26T00:00:00"/>
    <s v="West"/>
    <x v="3"/>
    <m/>
    <n v="2697"/>
    <s v="Bank Transfer"/>
    <s v="2025-04"/>
    <d v="2025-06-19T00:00:00"/>
    <s v="ACTIVE"/>
    <m/>
    <m/>
    <m/>
    <m/>
  </r>
  <r>
    <n v="611"/>
    <s v="Donor_026"/>
    <d v="2024-10-11T00:00:00"/>
    <s v="North"/>
    <x v="3"/>
    <m/>
    <n v="11398"/>
    <s v="UPI"/>
    <s v="2024-10"/>
    <d v="2025-05-28T00:00:00"/>
    <s v="ACTIVE"/>
    <m/>
    <m/>
    <m/>
    <m/>
  </r>
  <r>
    <n v="129"/>
    <s v="Donor_058"/>
    <d v="2025-04-17T00:00:00"/>
    <s v="North"/>
    <x v="3"/>
    <m/>
    <n v="5663"/>
    <s v="UPI"/>
    <s v="2025-04"/>
    <d v="2025-06-22T00:00:00"/>
    <s v="ACTIVE"/>
    <m/>
    <m/>
    <m/>
    <m/>
  </r>
  <r>
    <n v="1229"/>
    <s v="Donor_108"/>
    <d v="2024-08-19T00:00:00"/>
    <s v="South"/>
    <x v="0"/>
    <m/>
    <n v="857"/>
    <s v="Bank Transfer"/>
    <s v="2024-08"/>
    <d v="2025-05-21T00:00:00"/>
    <s v="ACTIVE"/>
    <m/>
    <m/>
    <m/>
    <m/>
  </r>
  <r>
    <n v="1432"/>
    <s v="Donor_086"/>
    <d v="2024-03-22T00:00:00"/>
    <s v="West"/>
    <x v="5"/>
    <m/>
    <n v="5701"/>
    <s v="Bank Transfer"/>
    <s v="2024-03"/>
    <d v="2025-05-29T00:00:00"/>
    <s v="ACTIVE"/>
    <m/>
    <m/>
    <m/>
    <m/>
  </r>
  <r>
    <n v="1481"/>
    <s v="Donor_092"/>
    <d v="2024-05-15T00:00:00"/>
    <s v="North"/>
    <x v="4"/>
    <m/>
    <n v="2196"/>
    <s v="UPI"/>
    <s v="2024-05"/>
    <d v="2025-05-07T00:00:00"/>
    <s v="ACTIVE"/>
    <m/>
    <m/>
    <m/>
    <m/>
  </r>
  <r>
    <n v="1702"/>
    <s v="Donor_048"/>
    <d v="2024-06-21T00:00:00"/>
    <s v="East"/>
    <x v="0"/>
    <m/>
    <n v="1386"/>
    <s v="UPI"/>
    <s v="2024-06"/>
    <d v="2025-06-08T00:00:00"/>
    <s v="ACTIVE"/>
    <m/>
    <m/>
    <m/>
    <m/>
  </r>
  <r>
    <n v="265"/>
    <s v="Donor_081"/>
    <d v="2025-02-09T00:00:00"/>
    <s v="East"/>
    <x v="2"/>
    <m/>
    <n v="1943"/>
    <s v="UPI"/>
    <s v="2025-02"/>
    <d v="2025-06-07T00:00:00"/>
    <s v="ACTIVE"/>
    <m/>
    <m/>
    <m/>
    <m/>
  </r>
  <r>
    <n v="803"/>
    <s v="Donor_117"/>
    <d v="2025-01-18T00:00:00"/>
    <s v="South"/>
    <x v="4"/>
    <m/>
    <n v="806"/>
    <s v="UPI"/>
    <s v="2025-01"/>
    <d v="2025-04-05T00:00:00"/>
    <s v="ACTIVE"/>
    <m/>
    <m/>
    <m/>
    <m/>
  </r>
  <r>
    <n v="763"/>
    <s v="Donor_082"/>
    <d v="2024-05-09T00:00:00"/>
    <s v="Central"/>
    <x v="5"/>
    <m/>
    <n v="4842"/>
    <s v="Cheque"/>
    <s v="2024-05"/>
    <d v="2025-06-02T00:00:00"/>
    <s v="ACTIVE"/>
    <m/>
    <m/>
    <m/>
    <m/>
  </r>
  <r>
    <n v="1437"/>
    <s v="Donor_056"/>
    <d v="2024-02-28T00:00:00"/>
    <s v="West"/>
    <x v="1"/>
    <m/>
    <n v="1449"/>
    <s v="UPI"/>
    <s v="2024-02"/>
    <d v="2025-05-08T00:00:00"/>
    <s v="ACTIVE"/>
    <m/>
    <m/>
    <m/>
    <m/>
  </r>
  <r>
    <n v="499"/>
    <s v="Donor_119"/>
    <d v="2024-01-16T00:00:00"/>
    <s v="East"/>
    <x v="1"/>
    <m/>
    <n v="2194"/>
    <s v="Credit Card"/>
    <s v="2024-01"/>
    <d v="2025-05-18T00:00:00"/>
    <s v="ACTIVE"/>
    <m/>
    <m/>
    <m/>
    <m/>
  </r>
  <r>
    <n v="1206"/>
    <s v="Donor_055"/>
    <d v="2024-06-16T00:00:00"/>
    <s v="East"/>
    <x v="4"/>
    <m/>
    <n v="2218"/>
    <s v="UPI"/>
    <s v="2024-06"/>
    <d v="2025-05-11T00:00:00"/>
    <s v="ACTIVE"/>
    <m/>
    <m/>
    <m/>
    <m/>
  </r>
  <r>
    <n v="1502"/>
    <s v="Donor_069"/>
    <d v="2024-02-05T00:00:00"/>
    <s v="South"/>
    <x v="2"/>
    <m/>
    <n v="633"/>
    <s v="Credit Card"/>
    <s v="2024-02"/>
    <d v="2025-06-13T00:00:00"/>
    <s v="ACTIVE"/>
    <m/>
    <m/>
    <m/>
    <m/>
  </r>
  <r>
    <n v="732"/>
    <s v="Donor_050"/>
    <d v="2025-02-23T00:00:00"/>
    <s v="South"/>
    <x v="1"/>
    <m/>
    <n v="5082"/>
    <s v="Cash"/>
    <s v="2025-02"/>
    <d v="2025-06-18T00:00:00"/>
    <s v="ACTIVE"/>
    <m/>
    <m/>
    <m/>
    <m/>
  </r>
  <r>
    <n v="433"/>
    <s v="Donor_059"/>
    <d v="2024-06-27T00:00:00"/>
    <s v="North"/>
    <x v="2"/>
    <m/>
    <n v="9840"/>
    <s v="UPI"/>
    <s v="2024-06"/>
    <d v="2025-06-16T00:00:00"/>
    <s v="ACTIVE"/>
    <m/>
    <m/>
    <m/>
    <m/>
  </r>
  <r>
    <n v="1048"/>
    <s v="Donor_034"/>
    <d v="2025-06-15T00:00:00"/>
    <s v="South"/>
    <x v="1"/>
    <m/>
    <n v="329"/>
    <s v="Credit Card"/>
    <s v="2025-06"/>
    <d v="2025-06-21T00:00:00"/>
    <s v="ACTIVE"/>
    <m/>
    <m/>
    <m/>
    <m/>
  </r>
  <r>
    <n v="982"/>
    <s v="Donor_029"/>
    <d v="2025-05-09T00:00:00"/>
    <s v="North"/>
    <x v="5"/>
    <m/>
    <n v="2711"/>
    <s v="Bank Transfer"/>
    <s v="2025-05"/>
    <d v="2025-06-05T00:00:00"/>
    <s v="ACTIVE"/>
    <m/>
    <m/>
    <m/>
    <m/>
  </r>
  <r>
    <n v="69"/>
    <s v="Donor_104"/>
    <d v="2024-06-01T00:00:00"/>
    <s v="Central"/>
    <x v="5"/>
    <m/>
    <n v="1198"/>
    <s v="UPI"/>
    <s v="2024-06"/>
    <d v="2025-05-08T00:00:00"/>
    <s v="ACTIVE"/>
    <m/>
    <m/>
    <m/>
    <m/>
  </r>
  <r>
    <n v="659"/>
    <s v="Donor_033"/>
    <d v="2025-06-21T00:00:00"/>
    <s v="West"/>
    <x v="3"/>
    <m/>
    <n v="2080"/>
    <s v="Bank Transfer"/>
    <s v="2025-06"/>
    <d v="2025-06-21T00:00:00"/>
    <s v="ACTIVE"/>
    <m/>
    <m/>
    <m/>
    <m/>
  </r>
  <r>
    <n v="949"/>
    <s v="Donor_039"/>
    <d v="2024-01-17T00:00:00"/>
    <s v="East"/>
    <x v="0"/>
    <m/>
    <n v="1080"/>
    <s v="Cash"/>
    <s v="2024-01"/>
    <d v="2025-04-25T00:00:00"/>
    <s v="ACTIVE"/>
    <m/>
    <m/>
    <m/>
    <m/>
  </r>
  <r>
    <n v="1011"/>
    <s v="Donor_104"/>
    <d v="2025-04-18T00:00:00"/>
    <s v="Central"/>
    <x v="1"/>
    <m/>
    <n v="417"/>
    <s v="Bank Transfer"/>
    <s v="2025-04"/>
    <d v="2025-05-08T00:00:00"/>
    <s v="ACTIVE"/>
    <m/>
    <m/>
    <m/>
    <m/>
  </r>
  <r>
    <n v="718"/>
    <s v="Donor_090"/>
    <d v="2024-05-30T00:00:00"/>
    <s v="West"/>
    <x v="1"/>
    <m/>
    <n v="2310"/>
    <s v="Cheque"/>
    <s v="2024-05"/>
    <d v="2025-04-25T00:00:00"/>
    <s v="ACTIVE"/>
    <m/>
    <m/>
    <m/>
    <m/>
  </r>
  <r>
    <n v="384"/>
    <s v="Donor_004"/>
    <d v="2024-10-16T00:00:00"/>
    <s v="Central"/>
    <x v="5"/>
    <m/>
    <n v="11211"/>
    <s v="Cash"/>
    <s v="2024-10"/>
    <d v="2025-05-26T00:00:00"/>
    <s v="ACTIVE"/>
    <m/>
    <m/>
    <m/>
    <m/>
  </r>
  <r>
    <n v="1699"/>
    <s v="Donor_074"/>
    <d v="2024-06-26T00:00:00"/>
    <s v="Central"/>
    <x v="5"/>
    <m/>
    <n v="352"/>
    <s v="UPI"/>
    <s v="2024-06"/>
    <d v="2025-06-18T00:00:00"/>
    <s v="ACTIVE"/>
    <m/>
    <m/>
    <m/>
    <m/>
  </r>
  <r>
    <n v="56"/>
    <s v="Donor_060"/>
    <d v="2024-08-11T00:00:00"/>
    <s v="East"/>
    <x v="5"/>
    <m/>
    <n v="1564"/>
    <s v="UPI"/>
    <s v="2024-08"/>
    <d v="2025-05-20T00:00:00"/>
    <s v="ACTIVE"/>
    <m/>
    <m/>
    <m/>
    <m/>
  </r>
  <r>
    <n v="1479"/>
    <s v="Donor_117"/>
    <d v="2025-02-25T00:00:00"/>
    <s v="NOT KNOWN"/>
    <x v="5"/>
    <m/>
    <n v="2249"/>
    <s v="UPI"/>
    <s v="2025-02"/>
    <d v="2025-04-05T00:00:00"/>
    <s v="ACTIVE"/>
    <m/>
    <m/>
    <m/>
    <m/>
  </r>
  <r>
    <n v="613"/>
    <s v="Donor_112"/>
    <d v="2025-04-01T00:00:00"/>
    <s v="Central"/>
    <x v="3"/>
    <m/>
    <n v="2182"/>
    <s v="Cash"/>
    <s v="2025-04"/>
    <d v="2025-05-26T00:00:00"/>
    <s v="ACTIVE"/>
    <m/>
    <m/>
    <m/>
    <m/>
  </r>
  <r>
    <n v="1524"/>
    <s v="Donor_112"/>
    <d v="2025-04-18T00:00:00"/>
    <s v="North"/>
    <x v="1"/>
    <m/>
    <n v="2945"/>
    <s v="Cash"/>
    <s v="2025-04"/>
    <d v="2025-05-26T00:00:00"/>
    <s v="ACTIVE"/>
    <m/>
    <m/>
    <m/>
    <m/>
  </r>
  <r>
    <n v="171"/>
    <s v="Donor_111"/>
    <d v="2024-09-11T00:00:00"/>
    <s v="South"/>
    <x v="5"/>
    <m/>
    <n v="4380"/>
    <s v="Credit Card"/>
    <s v="2024-09"/>
    <d v="2025-04-26T00:00:00"/>
    <s v="ACTIVE"/>
    <m/>
    <m/>
    <m/>
    <m/>
  </r>
  <r>
    <n v="821"/>
    <s v="Donor_066"/>
    <d v="2024-12-22T00:00:00"/>
    <s v="West"/>
    <x v="2"/>
    <m/>
    <n v="5393"/>
    <s v="Cash"/>
    <s v="2024-12"/>
    <d v="2025-03-22T00:00:00"/>
    <s v="LAPSED"/>
    <m/>
    <m/>
    <m/>
    <m/>
  </r>
  <r>
    <n v="1538"/>
    <s v="Donor_025"/>
    <d v="2025-02-21T00:00:00"/>
    <s v="South"/>
    <x v="2"/>
    <m/>
    <n v="1765"/>
    <s v="Cheque"/>
    <s v="2025-02"/>
    <d v="2025-06-07T00:00:00"/>
    <s v="ACTIVE"/>
    <m/>
    <m/>
    <m/>
    <m/>
  </r>
  <r>
    <n v="327"/>
    <s v="Donor_117"/>
    <d v="2024-08-04T00:00:00"/>
    <s v="West"/>
    <x v="2"/>
    <m/>
    <n v="331"/>
    <s v="Bank Transfer"/>
    <s v="2024-08"/>
    <d v="2025-04-05T00:00:00"/>
    <s v="ACTIVE"/>
    <m/>
    <m/>
    <m/>
    <m/>
  </r>
  <r>
    <n v="504"/>
    <s v="Donor_051"/>
    <d v="2024-05-18T00:00:00"/>
    <s v="West"/>
    <x v="5"/>
    <m/>
    <n v="243"/>
    <s v="Cash"/>
    <s v="2024-05"/>
    <d v="2025-06-11T00:00:00"/>
    <s v="ACTIVE"/>
    <m/>
    <m/>
    <m/>
    <m/>
  </r>
  <r>
    <n v="1753"/>
    <s v="Donor_094"/>
    <d v="2024-07-06T00:00:00"/>
    <s v="North"/>
    <x v="0"/>
    <m/>
    <n v="508"/>
    <s v="Bank Transfer"/>
    <s v="2024-07"/>
    <d v="2025-06-19T00:00:00"/>
    <s v="ACTIVE"/>
    <m/>
    <m/>
    <m/>
    <m/>
  </r>
  <r>
    <n v="410"/>
    <s v="Donor_080"/>
    <d v="2024-07-05T00:00:00"/>
    <s v="Central"/>
    <x v="5"/>
    <m/>
    <n v="1635"/>
    <s v="Bank Transfer"/>
    <s v="2024-07"/>
    <d v="2025-05-11T00:00:00"/>
    <s v="ACTIVE"/>
    <m/>
    <m/>
    <m/>
    <m/>
  </r>
  <r>
    <n v="298"/>
    <s v="Donor_054"/>
    <d v="2024-05-20T00:00:00"/>
    <s v="South"/>
    <x v="2"/>
    <m/>
    <n v="8997"/>
    <s v="Cheque"/>
    <s v="2024-05"/>
    <d v="2025-06-18T00:00:00"/>
    <s v="ACTIVE"/>
    <m/>
    <m/>
    <m/>
    <m/>
  </r>
  <r>
    <n v="1158"/>
    <s v="Donor_111"/>
    <d v="2024-07-01T00:00:00"/>
    <s v="South"/>
    <x v="2"/>
    <m/>
    <n v="765"/>
    <s v="Bank Transfer"/>
    <s v="2024-07"/>
    <d v="2025-04-26T00:00:00"/>
    <s v="ACTIVE"/>
    <m/>
    <m/>
    <m/>
    <m/>
  </r>
  <r>
    <n v="958"/>
    <s v="Donor_042"/>
    <d v="2024-06-11T00:00:00"/>
    <s v="South"/>
    <x v="3"/>
    <m/>
    <n v="810"/>
    <s v="UPI"/>
    <s v="2024-06"/>
    <d v="2025-02-10T00:00:00"/>
    <s v="LAPSED"/>
    <m/>
    <m/>
    <m/>
    <m/>
  </r>
  <r>
    <n v="563"/>
    <s v="Donor_060"/>
    <d v="2024-10-28T00:00:00"/>
    <s v="North"/>
    <x v="2"/>
    <m/>
    <n v="351"/>
    <s v="Bank Transfer"/>
    <s v="2024-10"/>
    <d v="2025-05-20T00:00:00"/>
    <s v="ACTIVE"/>
    <m/>
    <m/>
    <m/>
    <m/>
  </r>
  <r>
    <n v="1308"/>
    <s v="Donor_043"/>
    <d v="2024-03-23T00:00:00"/>
    <s v="Central"/>
    <x v="3"/>
    <m/>
    <n v="1723"/>
    <s v="Cheque"/>
    <s v="2024-03"/>
    <d v="2025-06-13T00:00:00"/>
    <s v="ACTIVE"/>
    <m/>
    <m/>
    <m/>
    <m/>
  </r>
  <r>
    <n v="680"/>
    <s v="Donor_041"/>
    <d v="2025-06-13T00:00:00"/>
    <s v="West"/>
    <x v="4"/>
    <m/>
    <n v="5474"/>
    <s v="Cash"/>
    <s v="2025-06"/>
    <d v="2025-06-13T00:00:00"/>
    <s v="ACTIVE"/>
    <m/>
    <m/>
    <m/>
    <m/>
  </r>
  <r>
    <n v="1525"/>
    <s v="Donor_024"/>
    <d v="2024-02-13T00:00:00"/>
    <s v="West"/>
    <x v="4"/>
    <m/>
    <n v="4680"/>
    <s v="Credit Card"/>
    <s v="2024-02"/>
    <d v="2025-06-07T00:00:00"/>
    <s v="ACTIVE"/>
    <m/>
    <m/>
    <m/>
    <m/>
  </r>
  <r>
    <n v="1390"/>
    <s v="Donor_099"/>
    <d v="2024-05-29T00:00:00"/>
    <s v="North"/>
    <x v="5"/>
    <m/>
    <n v="2393"/>
    <s v="Cash"/>
    <s v="2024-05"/>
    <d v="2025-05-30T00:00:00"/>
    <s v="ACTIVE"/>
    <m/>
    <m/>
    <m/>
    <m/>
  </r>
  <r>
    <n v="1775"/>
    <s v="Donor_103"/>
    <d v="2024-07-02T00:00:00"/>
    <s v="North"/>
    <x v="2"/>
    <m/>
    <n v="1475"/>
    <s v="Bank Transfer"/>
    <s v="2024-07"/>
    <d v="2025-02-25T00:00:00"/>
    <s v="LAPSED"/>
    <m/>
    <m/>
    <m/>
    <m/>
  </r>
  <r>
    <n v="726"/>
    <s v="Donor_094"/>
    <d v="2025-05-16T00:00:00"/>
    <s v="West"/>
    <x v="4"/>
    <m/>
    <n v="1503"/>
    <s v="Cash"/>
    <s v="2025-05"/>
    <d v="2025-06-19T00:00:00"/>
    <s v="ACTIVE"/>
    <m/>
    <m/>
    <m/>
    <m/>
  </r>
  <r>
    <n v="532"/>
    <s v="Donor_079"/>
    <d v="2025-04-01T00:00:00"/>
    <s v="East"/>
    <x v="5"/>
    <m/>
    <n v="5635"/>
    <s v="Cheque"/>
    <s v="2025-04"/>
    <d v="2025-06-07T00:00:00"/>
    <s v="ACTIVE"/>
    <m/>
    <m/>
    <m/>
    <m/>
  </r>
  <r>
    <n v="408"/>
    <s v="Donor_034"/>
    <d v="2024-06-19T00:00:00"/>
    <s v="South"/>
    <x v="0"/>
    <m/>
    <n v="780"/>
    <s v="Cheque"/>
    <s v="2024-06"/>
    <d v="2025-06-21T00:00:00"/>
    <s v="ACTIVE"/>
    <m/>
    <m/>
    <m/>
    <m/>
  </r>
  <r>
    <n v="200"/>
    <s v="Donor_105"/>
    <d v="2024-09-17T00:00:00"/>
    <s v="North"/>
    <x v="2"/>
    <m/>
    <n v="2063"/>
    <s v="UPI"/>
    <s v="2024-09"/>
    <d v="2025-06-15T00:00:00"/>
    <s v="ACTIVE"/>
    <m/>
    <m/>
    <m/>
    <m/>
  </r>
  <r>
    <n v="474"/>
    <s v="Donor_001"/>
    <d v="2025-02-10T00:00:00"/>
    <s v="North"/>
    <x v="5"/>
    <m/>
    <n v="504"/>
    <s v="Bank Transfer"/>
    <s v="2025-02"/>
    <d v="2025-05-18T00:00:00"/>
    <s v="ACTIVE"/>
    <m/>
    <m/>
    <m/>
    <m/>
  </r>
  <r>
    <n v="1269"/>
    <s v="Donor_101"/>
    <d v="2025-02-02T00:00:00"/>
    <s v="West"/>
    <x v="3"/>
    <m/>
    <n v="8262"/>
    <s v="Credit Card"/>
    <s v="2025-02"/>
    <d v="2025-05-11T00:00:00"/>
    <s v="ACTIVE"/>
    <m/>
    <m/>
    <m/>
    <m/>
  </r>
  <r>
    <n v="217"/>
    <s v="Donor_098"/>
    <d v="2024-09-20T00:00:00"/>
    <s v="West"/>
    <x v="2"/>
    <m/>
    <n v="295"/>
    <s v="Bank Transfer"/>
    <s v="2024-09"/>
    <d v="2025-06-20T00:00:00"/>
    <s v="ACTIVE"/>
    <m/>
    <m/>
    <m/>
    <m/>
  </r>
  <r>
    <n v="254"/>
    <s v="Donor_071"/>
    <d v="2025-05-22T00:00:00"/>
    <s v="Central"/>
    <x v="3"/>
    <m/>
    <n v="907"/>
    <s v="Cheque"/>
    <s v="2025-05"/>
    <d v="2025-06-08T00:00:00"/>
    <s v="ACTIVE"/>
    <m/>
    <m/>
    <m/>
    <m/>
  </r>
  <r>
    <n v="153"/>
    <s v="Donor_035"/>
    <d v="2025-06-15T00:00:00"/>
    <s v="North"/>
    <x v="2"/>
    <m/>
    <n v="624"/>
    <s v="Cheque"/>
    <s v="2025-06"/>
    <d v="2025-06-15T00:00:00"/>
    <s v="ACTIVE"/>
    <m/>
    <m/>
    <m/>
    <m/>
  </r>
  <r>
    <n v="740"/>
    <s v="Donor_117"/>
    <d v="2024-08-27T00:00:00"/>
    <s v="North"/>
    <x v="5"/>
    <m/>
    <n v="11854"/>
    <s v="UPI"/>
    <s v="2024-08"/>
    <d v="2025-04-05T00:00:00"/>
    <s v="ACTIVE"/>
    <m/>
    <m/>
    <m/>
    <m/>
  </r>
  <r>
    <n v="743"/>
    <s v="Donor_120"/>
    <d v="2024-03-02T00:00:00"/>
    <s v="West"/>
    <x v="5"/>
    <m/>
    <n v="2839"/>
    <s v="Cash"/>
    <s v="2024-03"/>
    <d v="2025-06-19T00:00:00"/>
    <s v="ACTIVE"/>
    <m/>
    <m/>
    <m/>
    <m/>
  </r>
  <r>
    <n v="1140"/>
    <s v="Donor_103"/>
    <d v="2025-02-18T00:00:00"/>
    <s v="North"/>
    <x v="4"/>
    <m/>
    <n v="4257"/>
    <s v="Cheque"/>
    <s v="2025-02"/>
    <d v="2025-02-25T00:00:00"/>
    <s v="LAPSED"/>
    <m/>
    <m/>
    <m/>
    <m/>
  </r>
  <r>
    <n v="1233"/>
    <s v="Donor_093"/>
    <d v="2024-05-06T00:00:00"/>
    <s v="Central"/>
    <x v="2"/>
    <m/>
    <n v="0"/>
    <s v="Credit Card"/>
    <s v="2024-05"/>
    <d v="2025-03-24T00:00:00"/>
    <s v="LAPSED"/>
    <m/>
    <m/>
    <m/>
    <m/>
  </r>
  <r>
    <n v="1459"/>
    <s v="Donor_003"/>
    <d v="2025-05-06T00:00:00"/>
    <s v="North"/>
    <x v="4"/>
    <m/>
    <n v="2169"/>
    <s v="Bank Transfer"/>
    <s v="2025-05"/>
    <d v="2025-05-08T00:00:00"/>
    <s v="ACTIVE"/>
    <m/>
    <m/>
    <m/>
    <m/>
  </r>
  <r>
    <n v="1124"/>
    <s v="Donor_005"/>
    <d v="2024-06-23T00:00:00"/>
    <s v="Central"/>
    <x v="1"/>
    <m/>
    <n v="1523"/>
    <s v="Credit Card"/>
    <s v="2024-06"/>
    <d v="2025-06-10T00:00:00"/>
    <s v="ACTIVE"/>
    <m/>
    <m/>
    <m/>
    <m/>
  </r>
  <r>
    <n v="531"/>
    <s v="Donor_014"/>
    <d v="2024-02-21T00:00:00"/>
    <s v="West"/>
    <x v="3"/>
    <m/>
    <n v="971"/>
    <s v="Credit Card"/>
    <s v="2024-02"/>
    <d v="2025-06-03T00:00:00"/>
    <s v="ACTIVE"/>
    <m/>
    <m/>
    <m/>
    <m/>
  </r>
  <r>
    <n v="1788"/>
    <s v="Donor_092"/>
    <d v="2024-12-18T00:00:00"/>
    <s v="Central"/>
    <x v="4"/>
    <m/>
    <n v="295"/>
    <s v="Bank Transfer"/>
    <s v="2024-12"/>
    <d v="2025-05-07T00:00:00"/>
    <s v="ACTIVE"/>
    <m/>
    <m/>
    <m/>
    <m/>
  </r>
  <r>
    <n v="1780"/>
    <s v="Donor_049"/>
    <d v="2024-04-06T00:00:00"/>
    <s v="Central"/>
    <x v="0"/>
    <m/>
    <n v="542"/>
    <s v="Bank Transfer"/>
    <s v="2024-04"/>
    <d v="2025-06-19T00:00:00"/>
    <s v="ACTIVE"/>
    <m/>
    <m/>
    <m/>
    <m/>
  </r>
  <r>
    <n v="241"/>
    <s v="Donor_073"/>
    <d v="2024-02-15T00:00:00"/>
    <s v="West"/>
    <x v="5"/>
    <m/>
    <n v="632"/>
    <s v="UPI"/>
    <s v="2024-02"/>
    <d v="2025-06-23T00:00:00"/>
    <s v="ACTIVE"/>
    <m/>
    <m/>
    <m/>
    <m/>
  </r>
  <r>
    <n v="1294"/>
    <s v="Donor_093"/>
    <d v="2024-05-16T00:00:00"/>
    <s v="Central"/>
    <x v="4"/>
    <m/>
    <n v="1774"/>
    <s v="Credit Card"/>
    <s v="2024-05"/>
    <d v="2025-03-24T00:00:00"/>
    <s v="LAPSED"/>
    <m/>
    <m/>
    <m/>
    <m/>
  </r>
  <r>
    <n v="798"/>
    <s v="Donor_049"/>
    <d v="2025-04-17T00:00:00"/>
    <s v="East"/>
    <x v="2"/>
    <m/>
    <n v="857"/>
    <s v="Cash"/>
    <s v="2025-04"/>
    <d v="2025-06-19T00:00:00"/>
    <s v="ACTIVE"/>
    <m/>
    <m/>
    <m/>
    <m/>
  </r>
  <r>
    <n v="188"/>
    <s v="Donor_097"/>
    <d v="2024-07-23T00:00:00"/>
    <s v="East"/>
    <x v="5"/>
    <m/>
    <n v="2646"/>
    <s v="UPI"/>
    <s v="2024-07"/>
    <d v="2025-06-04T00:00:00"/>
    <s v="ACTIVE"/>
    <m/>
    <m/>
    <m/>
    <m/>
  </r>
  <r>
    <n v="1495"/>
    <s v="Donor_005"/>
    <d v="2024-04-09T00:00:00"/>
    <s v="East"/>
    <x v="3"/>
    <m/>
    <n v="636"/>
    <s v="Bank Transfer"/>
    <s v="2024-04"/>
    <d v="2025-06-10T00:00:00"/>
    <s v="ACTIVE"/>
    <m/>
    <m/>
    <m/>
    <m/>
  </r>
  <r>
    <n v="1264"/>
    <s v="Donor_072"/>
    <d v="2024-03-03T00:00:00"/>
    <s v="North"/>
    <x v="2"/>
    <m/>
    <n v="0"/>
    <s v="UPI"/>
    <s v="2024-03"/>
    <d v="2025-04-13T00:00:00"/>
    <s v="ACTIVE"/>
    <m/>
    <m/>
    <m/>
    <m/>
  </r>
  <r>
    <n v="1297"/>
    <s v="Donor_057"/>
    <d v="2024-07-03T00:00:00"/>
    <s v="North"/>
    <x v="2"/>
    <m/>
    <n v="1909"/>
    <s v="Credit Card"/>
    <s v="2024-07"/>
    <d v="2025-03-30T00:00:00"/>
    <s v="ACTIVE"/>
    <m/>
    <m/>
    <m/>
    <m/>
  </r>
  <r>
    <n v="722"/>
    <s v="Donor_007"/>
    <d v="2024-05-06T00:00:00"/>
    <s v="North"/>
    <x v="1"/>
    <m/>
    <n v="2572"/>
    <s v="UPI"/>
    <s v="2024-05"/>
    <d v="2025-06-21T00:00:00"/>
    <s v="ACTIVE"/>
    <m/>
    <m/>
    <m/>
    <m/>
  </r>
  <r>
    <n v="303"/>
    <s v="Donor_063"/>
    <d v="2024-06-28T00:00:00"/>
    <s v="North"/>
    <x v="3"/>
    <m/>
    <n v="447"/>
    <s v="Credit Card"/>
    <s v="2024-06"/>
    <d v="2025-04-20T00:00:00"/>
    <s v="ACTIVE"/>
    <m/>
    <m/>
    <m/>
    <m/>
  </r>
  <r>
    <n v="284"/>
    <s v="Donor_071"/>
    <d v="2024-03-29T00:00:00"/>
    <s v="West"/>
    <x v="3"/>
    <m/>
    <n v="4401"/>
    <s v="Cheque"/>
    <s v="2024-03"/>
    <d v="2025-06-08T00:00:00"/>
    <s v="ACTIVE"/>
    <m/>
    <m/>
    <m/>
    <m/>
  </r>
  <r>
    <n v="719"/>
    <s v="Donor_100"/>
    <d v="2025-02-18T00:00:00"/>
    <s v="South"/>
    <x v="5"/>
    <m/>
    <n v="815"/>
    <s v="Bank Transfer"/>
    <s v="2025-02"/>
    <d v="2025-06-14T00:00:00"/>
    <s v="ACTIVE"/>
    <m/>
    <m/>
    <m/>
    <m/>
  </r>
  <r>
    <n v="506"/>
    <s v="Donor_079"/>
    <d v="2025-06-07T00:00:00"/>
    <s v="South"/>
    <x v="1"/>
    <m/>
    <n v="9522"/>
    <s v="Credit Card"/>
    <s v="2025-06"/>
    <d v="2025-06-07T00:00:00"/>
    <s v="ACTIVE"/>
    <m/>
    <m/>
    <m/>
    <m/>
  </r>
  <r>
    <n v="1739"/>
    <s v="Donor_114"/>
    <d v="2024-12-01T00:00:00"/>
    <s v="East"/>
    <x v="3"/>
    <m/>
    <n v="418"/>
    <s v="Cheque"/>
    <s v="2024-12"/>
    <d v="2025-04-04T00:00:00"/>
    <s v="ACTIVE"/>
    <m/>
    <m/>
    <m/>
    <m/>
  </r>
  <r>
    <n v="871"/>
    <s v="Donor_012"/>
    <d v="2024-09-02T00:00:00"/>
    <s v="South"/>
    <x v="0"/>
    <m/>
    <n v="417"/>
    <s v="Bank Transfer"/>
    <s v="2024-09"/>
    <d v="2025-06-23T00:00:00"/>
    <s v="ACTIVE"/>
    <m/>
    <m/>
    <m/>
    <m/>
  </r>
  <r>
    <n v="1603"/>
    <s v="Donor_054"/>
    <d v="2025-03-14T00:00:00"/>
    <s v="North"/>
    <x v="5"/>
    <m/>
    <n v="9662"/>
    <s v="Cash"/>
    <s v="2025-03"/>
    <d v="2025-06-18T00:00:00"/>
    <s v="ACTIVE"/>
    <m/>
    <m/>
    <m/>
    <m/>
  </r>
  <r>
    <n v="1403"/>
    <s v="Donor_027"/>
    <d v="2025-01-27T00:00:00"/>
    <s v="Central"/>
    <x v="0"/>
    <m/>
    <n v="591"/>
    <s v="UPI"/>
    <s v="2025-01"/>
    <d v="2025-06-06T00:00:00"/>
    <s v="ACTIVE"/>
    <m/>
    <m/>
    <m/>
    <m/>
  </r>
  <r>
    <n v="1353"/>
    <s v="Donor_010"/>
    <d v="2024-09-11T00:00:00"/>
    <s v="NOT KNOWN"/>
    <x v="3"/>
    <m/>
    <n v="571"/>
    <s v="Cheque"/>
    <s v="2024-09"/>
    <d v="2025-06-01T00:00:00"/>
    <s v="ACTIVE"/>
    <m/>
    <m/>
    <m/>
    <m/>
  </r>
  <r>
    <n v="123"/>
    <s v="Donor_038"/>
    <d v="2025-03-03T00:00:00"/>
    <s v="North"/>
    <x v="1"/>
    <m/>
    <n v="593"/>
    <s v="Credit Card"/>
    <s v="2025-03"/>
    <d v="2025-04-26T00:00:00"/>
    <s v="ACTIVE"/>
    <m/>
    <m/>
    <m/>
    <m/>
  </r>
  <r>
    <n v="883"/>
    <s v="Donor_017"/>
    <d v="2025-02-02T00:00:00"/>
    <s v="North"/>
    <x v="3"/>
    <m/>
    <n v="425"/>
    <s v="Bank Transfer"/>
    <s v="2025-02"/>
    <d v="2025-02-02T00:00:00"/>
    <s v="LAPSED"/>
    <m/>
    <m/>
    <m/>
    <m/>
  </r>
  <r>
    <n v="511"/>
    <s v="Donor_118"/>
    <d v="2024-12-05T00:00:00"/>
    <s v="North"/>
    <x v="3"/>
    <m/>
    <n v="967"/>
    <s v="Credit Card"/>
    <s v="2024-12"/>
    <d v="2025-04-19T00:00:00"/>
    <s v="ACTIVE"/>
    <m/>
    <m/>
    <m/>
    <m/>
  </r>
  <r>
    <n v="281"/>
    <s v="Donor_006"/>
    <d v="2024-09-07T00:00:00"/>
    <s v="West"/>
    <x v="5"/>
    <m/>
    <n v="876"/>
    <s v="Credit Card"/>
    <s v="2024-09"/>
    <d v="2025-06-06T00:00:00"/>
    <s v="ACTIVE"/>
    <m/>
    <m/>
    <m/>
    <m/>
  </r>
  <r>
    <n v="928"/>
    <s v="Donor_006"/>
    <d v="2025-05-10T00:00:00"/>
    <s v="North"/>
    <x v="5"/>
    <m/>
    <n v="1177"/>
    <s v="UPI"/>
    <s v="2025-05"/>
    <d v="2025-06-06T00:00:00"/>
    <s v="ACTIVE"/>
    <m/>
    <m/>
    <m/>
    <m/>
  </r>
  <r>
    <n v="1664"/>
    <s v="Donor_094"/>
    <d v="2024-01-23T00:00:00"/>
    <s v="Central"/>
    <x v="0"/>
    <m/>
    <n v="2928"/>
    <s v="Cheque"/>
    <s v="2024-01"/>
    <d v="2025-06-19T00:00:00"/>
    <s v="ACTIVE"/>
    <m/>
    <m/>
    <m/>
    <m/>
  </r>
  <r>
    <n v="1330"/>
    <s v="Donor_082"/>
    <d v="2024-11-16T00:00:00"/>
    <s v="West"/>
    <x v="5"/>
    <m/>
    <n v="9363"/>
    <s v="Bank Transfer"/>
    <s v="2024-11"/>
    <d v="2025-06-02T00:00:00"/>
    <s v="ACTIVE"/>
    <m/>
    <m/>
    <m/>
    <m/>
  </r>
  <r>
    <n v="841"/>
    <s v="Donor_012"/>
    <d v="2024-10-24T00:00:00"/>
    <s v="North"/>
    <x v="3"/>
    <m/>
    <n v="5481"/>
    <s v="Credit Card"/>
    <s v="2024-10"/>
    <d v="2025-06-23T00:00:00"/>
    <s v="ACTIVE"/>
    <m/>
    <m/>
    <m/>
    <m/>
  </r>
  <r>
    <n v="519"/>
    <s v="Donor_107"/>
    <d v="2024-01-30T00:00:00"/>
    <s v="South"/>
    <x v="4"/>
    <m/>
    <n v="5668"/>
    <s v="Cash"/>
    <s v="2024-01"/>
    <d v="2025-03-18T00:00:00"/>
    <s v="LAPSED"/>
    <m/>
    <m/>
    <m/>
    <m/>
  </r>
  <r>
    <n v="856"/>
    <s v="Donor_009"/>
    <d v="2025-05-15T00:00:00"/>
    <s v="Central"/>
    <x v="0"/>
    <m/>
    <n v="10855"/>
    <s v="UPI"/>
    <s v="2025-05"/>
    <d v="2025-05-15T00:00:00"/>
    <s v="ACTIVE"/>
    <m/>
    <m/>
    <m/>
    <m/>
  </r>
  <r>
    <n v="1598"/>
    <s v="Donor_051"/>
    <d v="2024-08-03T00:00:00"/>
    <s v="East"/>
    <x v="3"/>
    <m/>
    <n v="4587"/>
    <s v="UPI"/>
    <s v="2024-08"/>
    <d v="2025-06-11T00:00:00"/>
    <s v="ACTIVE"/>
    <m/>
    <m/>
    <m/>
    <m/>
  </r>
  <r>
    <n v="68"/>
    <s v="Donor_024"/>
    <d v="2024-12-14T00:00:00"/>
    <s v="North"/>
    <x v="5"/>
    <m/>
    <n v="254"/>
    <s v="UPI"/>
    <s v="2024-12"/>
    <d v="2025-06-07T00:00:00"/>
    <s v="ACTIVE"/>
    <m/>
    <m/>
    <m/>
    <m/>
  </r>
  <r>
    <n v="1738"/>
    <s v="Donor_053"/>
    <d v="2024-12-16T00:00:00"/>
    <s v="East"/>
    <x v="3"/>
    <m/>
    <n v="261"/>
    <s v="Credit Card"/>
    <s v="2024-12"/>
    <d v="2025-04-16T00:00:00"/>
    <s v="ACTIVE"/>
    <m/>
    <m/>
    <m/>
    <m/>
  </r>
  <r>
    <n v="569"/>
    <s v="Donor_043"/>
    <d v="2025-01-02T00:00:00"/>
    <s v="East"/>
    <x v="1"/>
    <m/>
    <n v="526"/>
    <s v="UPI"/>
    <s v="2025-01"/>
    <d v="2025-06-13T00:00:00"/>
    <s v="ACTIVE"/>
    <m/>
    <m/>
    <m/>
    <m/>
  </r>
  <r>
    <n v="956"/>
    <s v="Donor_107"/>
    <d v="2025-02-06T00:00:00"/>
    <s v="North"/>
    <x v="0"/>
    <m/>
    <n v="639"/>
    <s v="Cash"/>
    <s v="2025-02"/>
    <d v="2025-03-18T00:00:00"/>
    <s v="LAPSED"/>
    <m/>
    <m/>
    <m/>
    <m/>
  </r>
  <r>
    <n v="1086"/>
    <s v="Donor_117"/>
    <d v="2024-12-07T00:00:00"/>
    <s v="East"/>
    <x v="0"/>
    <m/>
    <n v="1062"/>
    <s v="Cheque"/>
    <s v="2024-12"/>
    <d v="2025-04-05T00:00:00"/>
    <s v="ACTIVE"/>
    <m/>
    <m/>
    <m/>
    <m/>
  </r>
  <r>
    <n v="1299"/>
    <s v="Donor_087"/>
    <d v="2024-02-06T00:00:00"/>
    <s v="North"/>
    <x v="3"/>
    <m/>
    <n v="809"/>
    <s v="UPI"/>
    <s v="2024-02"/>
    <d v="2025-06-09T00:00:00"/>
    <s v="ACTIVE"/>
    <m/>
    <m/>
    <m/>
    <m/>
  </r>
  <r>
    <n v="838"/>
    <s v="Donor_014"/>
    <d v="2024-04-01T00:00:00"/>
    <s v="West"/>
    <x v="2"/>
    <m/>
    <n v="432"/>
    <s v="Bank Transfer"/>
    <s v="2024-04"/>
    <d v="2025-06-03T00:00:00"/>
    <s v="ACTIVE"/>
    <m/>
    <m/>
    <m/>
    <m/>
  </r>
  <r>
    <n v="473"/>
    <s v="Donor_078"/>
    <d v="2024-11-27T00:00:00"/>
    <s v="South"/>
    <x v="0"/>
    <m/>
    <n v="8856"/>
    <s v="Cheque"/>
    <s v="2024-11"/>
    <d v="2025-03-13T00:00:00"/>
    <s v="LAPSED"/>
    <m/>
    <m/>
    <m/>
    <m/>
  </r>
  <r>
    <n v="1636"/>
    <s v="Donor_081"/>
    <d v="2025-02-08T00:00:00"/>
    <s v="Central"/>
    <x v="4"/>
    <m/>
    <n v="5720"/>
    <s v="Cheque"/>
    <s v="2025-02"/>
    <d v="2025-06-07T00:00:00"/>
    <s v="ACTIVE"/>
    <m/>
    <m/>
    <m/>
    <m/>
  </r>
  <r>
    <n v="512"/>
    <s v="Donor_059"/>
    <d v="2024-06-30T00:00:00"/>
    <s v="Central"/>
    <x v="5"/>
    <m/>
    <n v="419"/>
    <s v="Bank Transfer"/>
    <s v="2024-06"/>
    <d v="2025-06-16T00:00:00"/>
    <s v="ACTIVE"/>
    <m/>
    <m/>
    <m/>
    <m/>
  </r>
  <r>
    <n v="1133"/>
    <s v="Donor_024"/>
    <d v="2024-03-23T00:00:00"/>
    <s v="NOT KNOWN"/>
    <x v="4"/>
    <m/>
    <n v="627"/>
    <s v="Credit Card"/>
    <s v="2024-03"/>
    <d v="2025-06-07T00:00:00"/>
    <s v="ACTIVE"/>
    <m/>
    <m/>
    <m/>
    <m/>
  </r>
  <r>
    <n v="1564"/>
    <s v="Donor_114"/>
    <d v="2025-04-04T00:00:00"/>
    <s v="South"/>
    <x v="2"/>
    <m/>
    <n v="829"/>
    <s v="Cash"/>
    <s v="2025-04"/>
    <d v="2025-04-04T00:00:00"/>
    <s v="ACTIVE"/>
    <m/>
    <m/>
    <m/>
    <m/>
  </r>
  <r>
    <n v="1505"/>
    <s v="Donor_041"/>
    <d v="2024-10-12T00:00:00"/>
    <s v="East"/>
    <x v="0"/>
    <m/>
    <n v="2341"/>
    <s v="UPI"/>
    <s v="2024-10"/>
    <d v="2025-06-13T00:00:00"/>
    <s v="ACTIVE"/>
    <m/>
    <m/>
    <m/>
    <m/>
  </r>
  <r>
    <n v="319"/>
    <s v="Donor_074"/>
    <d v="2025-05-01T00:00:00"/>
    <s v="South"/>
    <x v="1"/>
    <m/>
    <n v="2079"/>
    <s v="UPI"/>
    <s v="2025-05"/>
    <d v="2025-06-18T00:00:00"/>
    <s v="ACTIVE"/>
    <m/>
    <m/>
    <m/>
    <m/>
  </r>
  <r>
    <n v="1552"/>
    <s v="Donor_053"/>
    <d v="2024-02-26T00:00:00"/>
    <s v="Central"/>
    <x v="2"/>
    <m/>
    <n v="598"/>
    <s v="Cash"/>
    <s v="2024-02"/>
    <d v="2025-04-16T00:00:00"/>
    <s v="ACTIVE"/>
    <m/>
    <m/>
    <m/>
    <m/>
  </r>
  <r>
    <n v="922"/>
    <s v="Donor_061"/>
    <d v="2024-11-02T00:00:00"/>
    <s v="West"/>
    <x v="2"/>
    <m/>
    <n v="4888"/>
    <s v="UPI"/>
    <s v="2024-11"/>
    <d v="2025-05-21T00:00:00"/>
    <s v="ACTIVE"/>
    <m/>
    <m/>
    <m/>
    <m/>
  </r>
  <r>
    <n v="582"/>
    <s v="Donor_029"/>
    <d v="2025-06-03T00:00:00"/>
    <s v="West"/>
    <x v="2"/>
    <m/>
    <n v="1821"/>
    <s v="Credit Card"/>
    <s v="2025-06"/>
    <d v="2025-06-05T00:00:00"/>
    <s v="ACTIVE"/>
    <m/>
    <m/>
    <m/>
    <m/>
  </r>
  <r>
    <n v="133"/>
    <s v="Donor_013"/>
    <d v="2024-12-03T00:00:00"/>
    <s v="Central"/>
    <x v="2"/>
    <m/>
    <n v="685"/>
    <s v="Cheque"/>
    <s v="2024-12"/>
    <d v="2025-04-28T00:00:00"/>
    <s v="ACTIVE"/>
    <m/>
    <m/>
    <m/>
    <m/>
  </r>
  <r>
    <n v="673"/>
    <s v="Donor_017"/>
    <d v="2025-01-26T00:00:00"/>
    <s v="West"/>
    <x v="4"/>
    <m/>
    <n v="2396"/>
    <s v="Bank Transfer"/>
    <s v="2025-01"/>
    <d v="2025-02-02T00:00:00"/>
    <s v="LAPSED"/>
    <m/>
    <m/>
    <m/>
    <m/>
  </r>
  <r>
    <n v="641"/>
    <s v="Donor_098"/>
    <d v="2024-01-19T00:00:00"/>
    <s v="North"/>
    <x v="1"/>
    <m/>
    <n v="953"/>
    <s v="Bank Transfer"/>
    <s v="2024-01"/>
    <d v="2025-06-20T00:00:00"/>
    <s v="ACTIVE"/>
    <m/>
    <m/>
    <m/>
    <m/>
  </r>
  <r>
    <n v="1759"/>
    <s v="Donor_103"/>
    <d v="2024-12-21T00:00:00"/>
    <s v="Central"/>
    <x v="5"/>
    <m/>
    <n v="316"/>
    <s v="Cheque"/>
    <s v="2024-12"/>
    <d v="2025-02-25T00:00:00"/>
    <s v="LAPSED"/>
    <m/>
    <m/>
    <m/>
    <m/>
  </r>
  <r>
    <n v="1049"/>
    <s v="Donor_032"/>
    <d v="2024-03-28T00:00:00"/>
    <s v="Central"/>
    <x v="5"/>
    <m/>
    <n v="5142"/>
    <s v="UPI"/>
    <s v="2024-03"/>
    <d v="2025-04-29T00:00:00"/>
    <s v="ACTIVE"/>
    <m/>
    <m/>
    <m/>
    <m/>
  </r>
  <r>
    <n v="1549"/>
    <s v="Donor_112"/>
    <d v="2025-01-19T00:00:00"/>
    <s v="East"/>
    <x v="0"/>
    <m/>
    <n v="251"/>
    <s v="Cheque"/>
    <s v="2025-01"/>
    <d v="2025-05-26T00:00:00"/>
    <s v="ACTIVE"/>
    <m/>
    <m/>
    <m/>
    <m/>
  </r>
  <r>
    <n v="126"/>
    <s v="Donor_031"/>
    <d v="2024-05-31T00:00:00"/>
    <s v="North"/>
    <x v="4"/>
    <m/>
    <n v="2197"/>
    <s v="Cheque"/>
    <s v="2024-05"/>
    <d v="2025-05-17T00:00:00"/>
    <s v="ACTIVE"/>
    <m/>
    <m/>
    <m/>
    <m/>
  </r>
  <r>
    <n v="1341"/>
    <s v="Donor_020"/>
    <d v="2024-05-23T00:00:00"/>
    <s v="North"/>
    <x v="0"/>
    <m/>
    <n v="1764"/>
    <s v="Credit Card"/>
    <s v="2024-05"/>
    <d v="2025-05-31T00:00:00"/>
    <s v="ACTIVE"/>
    <m/>
    <m/>
    <m/>
    <m/>
  </r>
  <r>
    <n v="869"/>
    <s v="Donor_091"/>
    <d v="2025-01-14T00:00:00"/>
    <s v="South"/>
    <x v="2"/>
    <m/>
    <n v="812"/>
    <s v="Credit Card"/>
    <s v="2025-01"/>
    <d v="2025-05-16T00:00:00"/>
    <s v="ACTIVE"/>
    <m/>
    <m/>
    <m/>
    <m/>
  </r>
  <r>
    <n v="257"/>
    <s v="Donor_101"/>
    <d v="2024-05-22T00:00:00"/>
    <s v="South"/>
    <x v="4"/>
    <m/>
    <n v="514"/>
    <s v="Cheque"/>
    <s v="2024-05"/>
    <d v="2025-05-11T00:00:00"/>
    <s v="ACTIVE"/>
    <m/>
    <m/>
    <m/>
    <m/>
  </r>
  <r>
    <n v="1773"/>
    <s v="Donor_037"/>
    <d v="2024-01-07T00:00:00"/>
    <s v="East"/>
    <x v="1"/>
    <m/>
    <n v="5508"/>
    <s v="Cheque"/>
    <s v="2024-01"/>
    <d v="2025-05-23T00:00:00"/>
    <s v="ACTIVE"/>
    <m/>
    <m/>
    <m/>
    <m/>
  </r>
  <r>
    <n v="290"/>
    <s v="Donor_020"/>
    <d v="2024-04-21T00:00:00"/>
    <s v="North"/>
    <x v="4"/>
    <m/>
    <n v="296"/>
    <s v="Cash"/>
    <s v="2024-04"/>
    <d v="2025-05-31T00:00:00"/>
    <s v="ACTIVE"/>
    <m/>
    <m/>
    <m/>
    <m/>
  </r>
  <r>
    <n v="82"/>
    <s v="Donor_064"/>
    <d v="2024-06-06T00:00:00"/>
    <s v="East"/>
    <x v="0"/>
    <m/>
    <n v="2415"/>
    <s v="Cash"/>
    <s v="2024-06"/>
    <d v="2025-06-20T00:00:00"/>
    <s v="ACTIVE"/>
    <m/>
    <m/>
    <m/>
    <m/>
  </r>
  <r>
    <n v="54"/>
    <s v="Donor_033"/>
    <d v="2025-03-07T00:00:00"/>
    <s v="North"/>
    <x v="1"/>
    <m/>
    <n v="550"/>
    <s v="UPI"/>
    <s v="2025-03"/>
    <d v="2025-06-21T00:00:00"/>
    <s v="ACTIVE"/>
    <m/>
    <m/>
    <m/>
    <m/>
  </r>
  <r>
    <n v="858"/>
    <s v="Donor_011"/>
    <d v="2024-02-05T00:00:00"/>
    <s v="North"/>
    <x v="0"/>
    <m/>
    <n v="2364"/>
    <s v="Cheque"/>
    <s v="2024-02"/>
    <d v="2025-06-04T00:00:00"/>
    <s v="ACTIVE"/>
    <m/>
    <m/>
    <m/>
    <m/>
  </r>
  <r>
    <n v="993"/>
    <s v="Donor_019"/>
    <d v="2025-04-11T00:00:00"/>
    <s v="North"/>
    <x v="2"/>
    <m/>
    <n v="291"/>
    <s v="UPI"/>
    <s v="2025-04"/>
    <d v="2025-05-28T00:00:00"/>
    <s v="ACTIVE"/>
    <m/>
    <m/>
    <m/>
    <m/>
  </r>
  <r>
    <n v="41"/>
    <s v="Donor_090"/>
    <d v="2025-02-16T00:00:00"/>
    <s v="East"/>
    <x v="0"/>
    <m/>
    <n v="1315"/>
    <s v="Cash"/>
    <s v="2025-02"/>
    <d v="2025-04-25T00:00:00"/>
    <s v="ACTIVE"/>
    <m/>
    <m/>
    <m/>
    <m/>
  </r>
  <r>
    <n v="1313"/>
    <s v="Donor_081"/>
    <d v="2025-04-16T00:00:00"/>
    <s v="East"/>
    <x v="2"/>
    <m/>
    <n v="1045"/>
    <s v="UPI"/>
    <s v="2025-04"/>
    <d v="2025-06-07T00:00:00"/>
    <s v="ACTIVE"/>
    <m/>
    <m/>
    <m/>
    <m/>
  </r>
  <r>
    <n v="262"/>
    <s v="Donor_107"/>
    <d v="2024-11-26T00:00:00"/>
    <s v="East"/>
    <x v="5"/>
    <m/>
    <n v="10312"/>
    <s v="Cheque"/>
    <s v="2024-11"/>
    <d v="2025-03-18T00:00:00"/>
    <s v="LAPSED"/>
    <m/>
    <m/>
    <m/>
    <m/>
  </r>
  <r>
    <n v="1695"/>
    <s v="Donor_002"/>
    <d v="2024-02-24T00:00:00"/>
    <s v="West"/>
    <x v="4"/>
    <m/>
    <n v="1271"/>
    <s v="Credit Card"/>
    <s v="2024-02"/>
    <d v="2025-04-12T00:00:00"/>
    <s v="ACTIVE"/>
    <m/>
    <m/>
    <m/>
    <m/>
  </r>
  <r>
    <n v="84"/>
    <s v="Donor_108"/>
    <d v="2024-11-01T00:00:00"/>
    <s v="Central"/>
    <x v="0"/>
    <m/>
    <n v="344"/>
    <s v="Cash"/>
    <s v="2024-11"/>
    <d v="2025-05-21T00:00:00"/>
    <s v="ACTIVE"/>
    <m/>
    <m/>
    <m/>
    <m/>
  </r>
  <r>
    <n v="1352"/>
    <s v="Donor_059"/>
    <d v="2024-12-01T00:00:00"/>
    <s v="West"/>
    <x v="0"/>
    <m/>
    <n v="1752"/>
    <s v="Cash"/>
    <s v="2024-12"/>
    <d v="2025-06-16T00:00:00"/>
    <s v="ACTIVE"/>
    <m/>
    <m/>
    <m/>
    <m/>
  </r>
  <r>
    <n v="1443"/>
    <s v="Donor_018"/>
    <d v="2024-10-18T00:00:00"/>
    <s v="North"/>
    <x v="1"/>
    <m/>
    <n v="2157"/>
    <s v="Cheque"/>
    <s v="2024-10"/>
    <d v="2025-06-16T00:00:00"/>
    <s v="ACTIVE"/>
    <m/>
    <m/>
    <m/>
    <m/>
  </r>
  <r>
    <n v="1401"/>
    <s v="Donor_115"/>
    <d v="2024-02-10T00:00:00"/>
    <s v="Central"/>
    <x v="3"/>
    <m/>
    <n v="422"/>
    <s v="Cheque"/>
    <s v="2024-02"/>
    <d v="2025-06-20T00:00:00"/>
    <s v="ACTIVE"/>
    <m/>
    <m/>
    <m/>
    <m/>
  </r>
  <r>
    <n v="654"/>
    <s v="Donor_109"/>
    <d v="2024-11-03T00:00:00"/>
    <s v="West"/>
    <x v="1"/>
    <m/>
    <n v="5720"/>
    <s v="UPI"/>
    <s v="2024-11"/>
    <d v="2025-06-22T00:00:00"/>
    <s v="ACTIVE"/>
    <m/>
    <m/>
    <m/>
    <m/>
  </r>
  <r>
    <n v="31"/>
    <s v="Donor_107"/>
    <d v="2025-03-09T00:00:00"/>
    <s v="East"/>
    <x v="3"/>
    <m/>
    <n v="467"/>
    <s v="Credit Card"/>
    <s v="2025-03"/>
    <d v="2025-03-18T00:00:00"/>
    <s v="LAPSED"/>
    <m/>
    <m/>
    <m/>
    <m/>
  </r>
  <r>
    <n v="514"/>
    <s v="Donor_014"/>
    <d v="2024-02-29T00:00:00"/>
    <s v="Central"/>
    <x v="2"/>
    <m/>
    <n v="11949"/>
    <s v="Cash"/>
    <s v="2024-02"/>
    <d v="2025-06-03T00:00:00"/>
    <s v="ACTIVE"/>
    <m/>
    <m/>
    <m/>
    <m/>
  </r>
  <r>
    <n v="1444"/>
    <s v="Donor_086"/>
    <d v="2024-12-12T00:00:00"/>
    <s v="South"/>
    <x v="2"/>
    <m/>
    <n v="337"/>
    <s v="Bank Transfer"/>
    <s v="2024-12"/>
    <d v="2025-05-29T00:00:00"/>
    <s v="ACTIVE"/>
    <m/>
    <m/>
    <m/>
    <m/>
  </r>
  <r>
    <n v="1517"/>
    <s v="Donor_031"/>
    <d v="2024-05-05T00:00:00"/>
    <s v="West"/>
    <x v="4"/>
    <m/>
    <n v="2512"/>
    <s v="Bank Transfer"/>
    <s v="2024-05"/>
    <d v="2025-05-17T00:00:00"/>
    <s v="ACTIVE"/>
    <m/>
    <m/>
    <m/>
    <m/>
  </r>
  <r>
    <n v="1462"/>
    <s v="Donor_016"/>
    <d v="2025-06-07T00:00:00"/>
    <s v="West"/>
    <x v="2"/>
    <m/>
    <n v="2785"/>
    <s v="Bank Transfer"/>
    <s v="2025-06"/>
    <d v="2025-06-17T00:00:00"/>
    <s v="ACTIVE"/>
    <m/>
    <m/>
    <m/>
    <m/>
  </r>
  <r>
    <n v="1424"/>
    <s v="Donor_038"/>
    <d v="2024-04-13T00:00:00"/>
    <s v="East"/>
    <x v="3"/>
    <m/>
    <n v="4930"/>
    <s v="Cash"/>
    <s v="2024-04"/>
    <d v="2025-04-26T00:00:00"/>
    <s v="ACTIVE"/>
    <m/>
    <m/>
    <m/>
    <m/>
  </r>
  <r>
    <n v="1184"/>
    <s v="Donor_112"/>
    <d v="2024-09-27T00:00:00"/>
    <s v="Central"/>
    <x v="4"/>
    <m/>
    <n v="4551"/>
    <s v="Cheque"/>
    <s v="2024-09"/>
    <d v="2025-05-26T00:00:00"/>
    <s v="ACTIVE"/>
    <m/>
    <m/>
    <m/>
    <m/>
  </r>
  <r>
    <n v="1439"/>
    <s v="Donor_076"/>
    <d v="2024-11-30T00:00:00"/>
    <s v="West"/>
    <x v="3"/>
    <m/>
    <n v="833"/>
    <s v="UPI"/>
    <s v="2024-11"/>
    <d v="2025-06-08T00:00:00"/>
    <s v="ACTIVE"/>
    <m/>
    <m/>
    <m/>
    <m/>
  </r>
  <r>
    <n v="759"/>
    <s v="Donor_114"/>
    <d v="2024-11-16T00:00:00"/>
    <s v="North"/>
    <x v="4"/>
    <m/>
    <n v="584"/>
    <s v="Cash"/>
    <s v="2024-11"/>
    <d v="2025-04-04T00:00:00"/>
    <s v="ACTIVE"/>
    <m/>
    <m/>
    <m/>
    <m/>
  </r>
  <r>
    <n v="682"/>
    <s v="Donor_006"/>
    <d v="2025-05-21T00:00:00"/>
    <s v="West"/>
    <x v="5"/>
    <m/>
    <n v="9941"/>
    <s v="Cash"/>
    <s v="2025-05"/>
    <d v="2025-06-06T00:00:00"/>
    <s v="ACTIVE"/>
    <m/>
    <m/>
    <m/>
    <m/>
  </r>
  <r>
    <n v="1654"/>
    <s v="Donor_054"/>
    <d v="2025-02-16T00:00:00"/>
    <s v="West"/>
    <x v="3"/>
    <m/>
    <n v="2965"/>
    <s v="Cheque"/>
    <s v="2025-02"/>
    <d v="2025-06-18T00:00:00"/>
    <s v="ACTIVE"/>
    <m/>
    <m/>
    <m/>
    <m/>
  </r>
  <r>
    <n v="49"/>
    <s v="Donor_018"/>
    <d v="2024-03-23T00:00:00"/>
    <s v="South"/>
    <x v="4"/>
    <m/>
    <n v="808"/>
    <s v="Credit Card"/>
    <s v="2024-03"/>
    <d v="2025-06-16T00:00:00"/>
    <s v="ACTIVE"/>
    <m/>
    <m/>
    <m/>
    <m/>
  </r>
  <r>
    <n v="1079"/>
    <s v="Donor_005"/>
    <d v="2024-07-01T00:00:00"/>
    <s v="West"/>
    <x v="2"/>
    <m/>
    <n v="2613"/>
    <s v="Cheque"/>
    <s v="2024-07"/>
    <d v="2025-06-10T00:00:00"/>
    <s v="ACTIVE"/>
    <m/>
    <m/>
    <m/>
    <m/>
  </r>
  <r>
    <n v="468"/>
    <s v="Donor_119"/>
    <d v="2025-05-18T00:00:00"/>
    <s v="North"/>
    <x v="1"/>
    <m/>
    <n v="472"/>
    <s v="Cash"/>
    <s v="2025-05"/>
    <d v="2025-05-18T00:00:00"/>
    <s v="ACTIVE"/>
    <m/>
    <m/>
    <m/>
    <m/>
  </r>
  <r>
    <n v="154"/>
    <s v="Donor_085"/>
    <d v="2024-12-01T00:00:00"/>
    <s v="East"/>
    <x v="5"/>
    <m/>
    <n v="312"/>
    <s v="Cash"/>
    <s v="2024-12"/>
    <d v="2025-06-22T00:00:00"/>
    <s v="ACTIVE"/>
    <m/>
    <m/>
    <m/>
    <m/>
  </r>
  <r>
    <n v="1691"/>
    <s v="Donor_101"/>
    <d v="2024-10-07T00:00:00"/>
    <s v="NOT KNOWN"/>
    <x v="0"/>
    <m/>
    <n v="729"/>
    <s v="Cash"/>
    <s v="2024-10"/>
    <d v="2025-05-11T00:00:00"/>
    <s v="ACTIVE"/>
    <m/>
    <m/>
    <m/>
    <m/>
  </r>
  <r>
    <n v="395"/>
    <s v="Donor_089"/>
    <d v="2024-11-09T00:00:00"/>
    <s v="Central"/>
    <x v="4"/>
    <m/>
    <n v="5615"/>
    <s v="Cash"/>
    <s v="2024-11"/>
    <d v="2025-05-16T00:00:00"/>
    <s v="ACTIVE"/>
    <m/>
    <m/>
    <m/>
    <m/>
  </r>
  <r>
    <n v="124"/>
    <s v="Donor_056"/>
    <d v="2024-03-31T00:00:00"/>
    <s v="North"/>
    <x v="4"/>
    <m/>
    <n v="777"/>
    <s v="Cheque"/>
    <s v="2024-03"/>
    <d v="2025-05-08T00:00:00"/>
    <s v="ACTIVE"/>
    <m/>
    <m/>
    <m/>
    <m/>
  </r>
  <r>
    <n v="356"/>
    <s v="Donor_024"/>
    <d v="2024-12-16T00:00:00"/>
    <s v="North"/>
    <x v="1"/>
    <m/>
    <n v="889"/>
    <s v="Bank Transfer"/>
    <s v="2024-12"/>
    <d v="2025-06-07T00:00:00"/>
    <s v="ACTIVE"/>
    <m/>
    <m/>
    <m/>
    <m/>
  </r>
  <r>
    <n v="135"/>
    <s v="Donor_012"/>
    <d v="2025-06-23T00:00:00"/>
    <s v="West"/>
    <x v="0"/>
    <m/>
    <n v="4036"/>
    <s v="Bank Transfer"/>
    <s v="2025-06"/>
    <d v="2025-06-23T00:00:00"/>
    <s v="ACTIVE"/>
    <m/>
    <m/>
    <m/>
    <m/>
  </r>
  <r>
    <n v="269"/>
    <s v="Donor_079"/>
    <d v="2025-02-25T00:00:00"/>
    <s v="West"/>
    <x v="4"/>
    <m/>
    <n v="1159"/>
    <s v="Credit Card"/>
    <s v="2025-02"/>
    <d v="2025-06-07T00:00:00"/>
    <s v="ACTIVE"/>
    <m/>
    <m/>
    <m/>
    <m/>
  </r>
  <r>
    <n v="386"/>
    <s v="Donor_027"/>
    <d v="2024-04-16T00:00:00"/>
    <s v="Central"/>
    <x v="2"/>
    <m/>
    <n v="794"/>
    <s v="UPI"/>
    <s v="2024-04"/>
    <d v="2025-06-06T00:00:00"/>
    <s v="ACTIVE"/>
    <m/>
    <m/>
    <m/>
    <m/>
  </r>
  <r>
    <n v="610"/>
    <s v="Donor_040"/>
    <d v="2024-04-29T00:00:00"/>
    <s v="North"/>
    <x v="1"/>
    <m/>
    <n v="1957"/>
    <s v="UPI"/>
    <s v="2024-04"/>
    <d v="2025-05-15T00:00:00"/>
    <s v="ACTIVE"/>
    <m/>
    <m/>
    <m/>
    <m/>
  </r>
  <r>
    <n v="221"/>
    <s v="Donor_014"/>
    <d v="2024-07-02T00:00:00"/>
    <s v="North"/>
    <x v="0"/>
    <m/>
    <n v="1345"/>
    <s v="Cheque"/>
    <s v="2024-07"/>
    <d v="2025-06-03T00:00:00"/>
    <s v="ACTIVE"/>
    <m/>
    <m/>
    <m/>
    <m/>
  </r>
  <r>
    <n v="42"/>
    <s v="Donor_039"/>
    <d v="2024-01-01T00:00:00"/>
    <s v="East"/>
    <x v="4"/>
    <m/>
    <n v="836"/>
    <s v="Cheque"/>
    <s v="2024-01"/>
    <d v="2025-04-25T00:00:00"/>
    <s v="ACTIVE"/>
    <m/>
    <m/>
    <m/>
    <m/>
  </r>
  <r>
    <n v="220"/>
    <s v="Donor_002"/>
    <d v="2025-02-25T00:00:00"/>
    <s v="North"/>
    <x v="0"/>
    <m/>
    <n v="2536"/>
    <s v="Bank Transfer"/>
    <s v="2025-02"/>
    <d v="2025-04-12T00:00:00"/>
    <s v="ACTIVE"/>
    <m/>
    <m/>
    <m/>
    <m/>
  </r>
  <r>
    <n v="598"/>
    <s v="Donor_084"/>
    <d v="2024-04-26T00:00:00"/>
    <s v="West"/>
    <x v="2"/>
    <m/>
    <n v="2203"/>
    <s v="Credit Card"/>
    <s v="2024-04"/>
    <d v="2025-05-13T00:00:00"/>
    <s v="ACTIVE"/>
    <m/>
    <m/>
    <m/>
    <m/>
  </r>
  <r>
    <n v="1273"/>
    <s v="Donor_064"/>
    <d v="2024-11-09T00:00:00"/>
    <s v="East"/>
    <x v="2"/>
    <m/>
    <n v="506"/>
    <s v="UPI"/>
    <s v="2024-11"/>
    <d v="2025-06-20T00:00:00"/>
    <s v="ACTIVE"/>
    <m/>
    <m/>
    <m/>
    <m/>
  </r>
  <r>
    <n v="1174"/>
    <s v="Donor_052"/>
    <d v="2025-06-13T00:00:00"/>
    <s v="West"/>
    <x v="0"/>
    <m/>
    <n v="1783"/>
    <s v="Credit Card"/>
    <s v="2025-06"/>
    <d v="2025-06-13T00:00:00"/>
    <s v="ACTIVE"/>
    <m/>
    <m/>
    <m/>
    <m/>
  </r>
  <r>
    <n v="931"/>
    <s v="Donor_092"/>
    <d v="2024-04-05T00:00:00"/>
    <s v="South"/>
    <x v="4"/>
    <m/>
    <n v="1661"/>
    <s v="Credit Card"/>
    <s v="2024-04"/>
    <d v="2025-05-07T00:00:00"/>
    <s v="ACTIVE"/>
    <m/>
    <m/>
    <m/>
    <m/>
  </r>
  <r>
    <n v="1718"/>
    <s v="Donor_022"/>
    <d v="2024-08-05T00:00:00"/>
    <s v="South"/>
    <x v="3"/>
    <m/>
    <n v="0"/>
    <s v="UPI"/>
    <s v="2024-08"/>
    <d v="2025-06-21T00:00:00"/>
    <s v="ACTIVE"/>
    <m/>
    <m/>
    <m/>
    <m/>
  </r>
  <r>
    <n v="684"/>
    <s v="Donor_068"/>
    <d v="2024-01-05T00:00:00"/>
    <s v="Central"/>
    <x v="4"/>
    <m/>
    <n v="876"/>
    <s v="Credit Card"/>
    <s v="2024-01"/>
    <d v="2025-05-16T00:00:00"/>
    <s v="ACTIVE"/>
    <m/>
    <m/>
    <m/>
    <m/>
  </r>
  <r>
    <n v="542"/>
    <s v="Donor_052"/>
    <d v="2025-06-06T00:00:00"/>
    <s v="South"/>
    <x v="5"/>
    <m/>
    <n v="474"/>
    <s v="Cheque"/>
    <s v="2025-06"/>
    <d v="2025-06-13T00:00:00"/>
    <s v="ACTIVE"/>
    <m/>
    <m/>
    <m/>
    <m/>
  </r>
  <r>
    <n v="868"/>
    <s v="Donor_002"/>
    <d v="2024-09-22T00:00:00"/>
    <s v="Central"/>
    <x v="2"/>
    <m/>
    <n v="1595"/>
    <s v="Credit Card"/>
    <s v="2024-09"/>
    <d v="2025-04-12T00:00:00"/>
    <s v="ACTIVE"/>
    <m/>
    <m/>
    <m/>
    <m/>
  </r>
  <r>
    <n v="1690"/>
    <s v="Donor_104"/>
    <d v="2024-11-04T00:00:00"/>
    <s v="South"/>
    <x v="5"/>
    <m/>
    <n v="11885"/>
    <s v="Bank Transfer"/>
    <s v="2024-11"/>
    <d v="2025-05-08T00:00:00"/>
    <s v="ACTIVE"/>
    <m/>
    <m/>
    <m/>
    <m/>
  </r>
  <r>
    <n v="842"/>
    <s v="Donor_074"/>
    <d v="2025-01-24T00:00:00"/>
    <s v="North"/>
    <x v="5"/>
    <m/>
    <n v="518"/>
    <s v="Credit Card"/>
    <s v="2025-01"/>
    <d v="2025-06-18T00:00:00"/>
    <s v="ACTIVE"/>
    <m/>
    <m/>
    <m/>
    <m/>
  </r>
  <r>
    <n v="1697"/>
    <s v="Donor_012"/>
    <d v="2024-04-12T00:00:00"/>
    <s v="East"/>
    <x v="0"/>
    <m/>
    <n v="0"/>
    <s v="Cheque"/>
    <s v="2024-04"/>
    <d v="2025-06-23T00:00:00"/>
    <s v="ACTIVE"/>
    <m/>
    <m/>
    <m/>
    <m/>
  </r>
  <r>
    <n v="1737"/>
    <s v="Donor_017"/>
    <d v="2024-05-24T00:00:00"/>
    <s v="East"/>
    <x v="1"/>
    <m/>
    <n v="542"/>
    <s v="UPI"/>
    <s v="2024-05"/>
    <d v="2025-02-02T00:00:00"/>
    <s v="LAPSED"/>
    <m/>
    <m/>
    <m/>
    <m/>
  </r>
  <r>
    <n v="906"/>
    <s v="Donor_049"/>
    <d v="2024-04-12T00:00:00"/>
    <s v="West"/>
    <x v="3"/>
    <m/>
    <n v="1131"/>
    <s v="UPI"/>
    <s v="2024-04"/>
    <d v="2025-06-19T00:00:00"/>
    <s v="ACTIVE"/>
    <m/>
    <m/>
    <m/>
    <m/>
  </r>
  <r>
    <n v="1173"/>
    <s v="Donor_033"/>
    <d v="2025-01-28T00:00:00"/>
    <s v="South"/>
    <x v="3"/>
    <m/>
    <n v="2067"/>
    <s v="Credit Card"/>
    <s v="2025-01"/>
    <d v="2025-06-21T00:00:00"/>
    <s v="ACTIVE"/>
    <m/>
    <m/>
    <m/>
    <m/>
  </r>
  <r>
    <n v="1662"/>
    <s v="Donor_014"/>
    <d v="2024-06-24T00:00:00"/>
    <s v="North"/>
    <x v="1"/>
    <m/>
    <n v="568"/>
    <s v="UPI"/>
    <s v="2024-06"/>
    <d v="2025-06-03T00:00:00"/>
    <s v="ACTIVE"/>
    <m/>
    <m/>
    <m/>
    <m/>
  </r>
  <r>
    <n v="1507"/>
    <s v="Donor_117"/>
    <d v="2025-02-08T00:00:00"/>
    <s v="Central"/>
    <x v="2"/>
    <m/>
    <n v="1232"/>
    <s v="Credit Card"/>
    <s v="2025-02"/>
    <d v="2025-04-05T00:00:00"/>
    <s v="ACTIVE"/>
    <m/>
    <m/>
    <m/>
    <m/>
  </r>
  <r>
    <n v="1396"/>
    <s v="Donor_082"/>
    <d v="2024-10-25T00:00:00"/>
    <s v="South"/>
    <x v="4"/>
    <m/>
    <n v="4366"/>
    <s v="Cash"/>
    <s v="2024-10"/>
    <d v="2025-06-02T00:00:00"/>
    <s v="ACTIVE"/>
    <m/>
    <m/>
    <m/>
    <m/>
  </r>
  <r>
    <n v="1629"/>
    <s v="Donor_100"/>
    <d v="2024-06-20T00:00:00"/>
    <s v="Central"/>
    <x v="2"/>
    <m/>
    <n v="5328"/>
    <s v="UPI"/>
    <s v="2024-06"/>
    <d v="2025-06-14T00:00:00"/>
    <s v="ACTIVE"/>
    <m/>
    <m/>
    <m/>
    <m/>
  </r>
  <r>
    <n v="1281"/>
    <s v="Donor_022"/>
    <d v="2024-12-01T00:00:00"/>
    <s v="East"/>
    <x v="2"/>
    <m/>
    <n v="685"/>
    <s v="Bank Transfer"/>
    <s v="2024-12"/>
    <d v="2025-06-21T00:00:00"/>
    <s v="ACTIVE"/>
    <m/>
    <m/>
    <m/>
    <m/>
  </r>
  <r>
    <n v="1644"/>
    <s v="Donor_064"/>
    <d v="2025-02-19T00:00:00"/>
    <s v="Central"/>
    <x v="2"/>
    <m/>
    <n v="284"/>
    <s v="Bank Transfer"/>
    <s v="2025-02"/>
    <d v="2025-06-20T00:00:00"/>
    <s v="ACTIVE"/>
    <m/>
    <m/>
    <m/>
    <m/>
  </r>
  <r>
    <n v="1791"/>
    <s v="Donor_034"/>
    <d v="2024-01-30T00:00:00"/>
    <s v="South"/>
    <x v="2"/>
    <m/>
    <n v="11285"/>
    <s v="UPI"/>
    <s v="2024-01"/>
    <d v="2025-06-21T00:00:00"/>
    <s v="ACTIVE"/>
    <m/>
    <m/>
    <m/>
    <m/>
  </r>
  <r>
    <n v="861"/>
    <s v="Donor_076"/>
    <d v="2024-08-09T00:00:00"/>
    <s v="East"/>
    <x v="5"/>
    <m/>
    <n v="1637"/>
    <s v="Cash"/>
    <s v="2024-08"/>
    <d v="2025-06-08T00:00:00"/>
    <s v="ACTIVE"/>
    <m/>
    <m/>
    <m/>
    <m/>
  </r>
  <r>
    <n v="337"/>
    <s v="Donor_044"/>
    <d v="2024-07-13T00:00:00"/>
    <s v="South"/>
    <x v="2"/>
    <m/>
    <n v="10553"/>
    <s v="Cash"/>
    <s v="2024-07"/>
    <d v="2025-05-05T00:00:00"/>
    <s v="ACTIVE"/>
    <m/>
    <m/>
    <m/>
    <m/>
  </r>
  <r>
    <n v="233"/>
    <s v="Donor_022"/>
    <d v="2025-01-24T00:00:00"/>
    <s v="South"/>
    <x v="5"/>
    <m/>
    <n v="2268"/>
    <s v="Credit Card"/>
    <s v="2025-01"/>
    <d v="2025-06-21T00:00:00"/>
    <s v="ACTIVE"/>
    <m/>
    <m/>
    <m/>
    <m/>
  </r>
  <r>
    <n v="1178"/>
    <s v="Donor_103"/>
    <d v="2024-03-22T00:00:00"/>
    <s v="North"/>
    <x v="1"/>
    <m/>
    <n v="8992"/>
    <s v="Bank Transfer"/>
    <s v="2024-03"/>
    <d v="2025-02-25T00:00:00"/>
    <s v="LAPSED"/>
    <m/>
    <m/>
    <m/>
    <m/>
  </r>
  <r>
    <n v="1500"/>
    <s v="Donor_017"/>
    <d v="2024-07-21T00:00:00"/>
    <s v="East"/>
    <x v="1"/>
    <m/>
    <n v="532"/>
    <s v="Credit Card"/>
    <s v="2024-07"/>
    <d v="2025-02-02T00:00:00"/>
    <s v="LAPSED"/>
    <m/>
    <m/>
    <m/>
    <m/>
  </r>
  <r>
    <n v="996"/>
    <s v="Donor_095"/>
    <d v="2025-05-17T00:00:00"/>
    <s v="East"/>
    <x v="0"/>
    <m/>
    <n v="2663"/>
    <s v="Bank Transfer"/>
    <s v="2025-05"/>
    <d v="2025-05-17T00:00:00"/>
    <s v="ACTIVE"/>
    <m/>
    <m/>
    <m/>
    <m/>
  </r>
  <r>
    <n v="469"/>
    <s v="Donor_094"/>
    <d v="2024-02-11T00:00:00"/>
    <s v="North"/>
    <x v="5"/>
    <m/>
    <n v="1178"/>
    <s v="Cheque"/>
    <s v="2024-02"/>
    <d v="2025-06-19T00:00:00"/>
    <s v="ACTIVE"/>
    <m/>
    <m/>
    <m/>
    <m/>
  </r>
  <r>
    <n v="706"/>
    <s v="Donor_102"/>
    <d v="2025-01-03T00:00:00"/>
    <s v="West"/>
    <x v="4"/>
    <m/>
    <n v="1826"/>
    <s v="UPI"/>
    <s v="2025-01"/>
    <d v="2025-04-29T00:00:00"/>
    <s v="ACTIVE"/>
    <m/>
    <m/>
    <m/>
    <m/>
  </r>
  <r>
    <n v="1042"/>
    <s v="Donor_091"/>
    <d v="2025-02-24T00:00:00"/>
    <s v="Central"/>
    <x v="1"/>
    <m/>
    <n v="2078"/>
    <s v="Credit Card"/>
    <s v="2025-02"/>
    <d v="2025-05-16T00:00:00"/>
    <s v="ACTIVE"/>
    <m/>
    <m/>
    <m/>
    <m/>
  </r>
  <r>
    <n v="870"/>
    <s v="Donor_067"/>
    <d v="2025-03-14T00:00:00"/>
    <s v="South"/>
    <x v="5"/>
    <m/>
    <n v="1179"/>
    <s v="Cash"/>
    <s v="2025-03"/>
    <d v="2025-06-15T00:00:00"/>
    <s v="ACTIVE"/>
    <m/>
    <m/>
    <m/>
    <m/>
  </r>
  <r>
    <n v="1090"/>
    <s v="Donor_010"/>
    <d v="2024-03-27T00:00:00"/>
    <s v="North"/>
    <x v="0"/>
    <m/>
    <n v="606"/>
    <s v="Cheque"/>
    <s v="2024-03"/>
    <d v="2025-06-01T00:00:00"/>
    <s v="ACTIVE"/>
    <m/>
    <m/>
    <m/>
    <m/>
  </r>
  <r>
    <n v="586"/>
    <s v="Donor_112"/>
    <d v="2025-02-26T00:00:00"/>
    <s v="South"/>
    <x v="1"/>
    <m/>
    <n v="1659"/>
    <s v="Cheque"/>
    <s v="2025-02"/>
    <d v="2025-05-26T00:00:00"/>
    <s v="ACTIVE"/>
    <m/>
    <m/>
    <m/>
    <m/>
  </r>
  <r>
    <n v="206"/>
    <s v="Donor_052"/>
    <d v="2024-02-15T00:00:00"/>
    <s v="West"/>
    <x v="4"/>
    <m/>
    <n v="8869"/>
    <s v="UPI"/>
    <s v="2024-02"/>
    <d v="2025-06-13T00:00:00"/>
    <s v="ACTIVE"/>
    <m/>
    <m/>
    <m/>
    <m/>
  </r>
  <r>
    <n v="4"/>
    <s v="Donor_109"/>
    <d v="2025-01-02T00:00:00"/>
    <s v="East"/>
    <x v="0"/>
    <m/>
    <n v="2807"/>
    <s v="Cash"/>
    <s v="2025-01"/>
    <d v="2025-06-22T00:00:00"/>
    <s v="ACTIVE"/>
    <m/>
    <m/>
    <m/>
    <m/>
  </r>
  <r>
    <n v="894"/>
    <s v="Donor_115"/>
    <d v="2024-12-21T00:00:00"/>
    <s v="East"/>
    <x v="1"/>
    <m/>
    <n v="1164"/>
    <s v="UPI"/>
    <s v="2024-12"/>
    <d v="2025-06-20T00:00:00"/>
    <s v="ACTIVE"/>
    <m/>
    <m/>
    <m/>
    <m/>
  </r>
  <r>
    <n v="733"/>
    <s v="Donor_072"/>
    <d v="2024-11-12T00:00:00"/>
    <s v="North"/>
    <x v="2"/>
    <m/>
    <n v="8341"/>
    <s v="Cheque"/>
    <s v="2024-11"/>
    <d v="2025-04-13T00:00:00"/>
    <s v="ACTIVE"/>
    <m/>
    <m/>
    <m/>
    <m/>
  </r>
  <r>
    <n v="1016"/>
    <s v="Donor_106"/>
    <d v="2024-09-23T00:00:00"/>
    <s v="Central"/>
    <x v="2"/>
    <m/>
    <n v="343"/>
    <s v="Cheque"/>
    <s v="2024-09"/>
    <d v="2025-06-11T00:00:00"/>
    <s v="ACTIVE"/>
    <m/>
    <m/>
    <m/>
    <m/>
  </r>
  <r>
    <n v="1665"/>
    <s v="Donor_115"/>
    <d v="2025-02-12T00:00:00"/>
    <s v="East"/>
    <x v="5"/>
    <m/>
    <n v="8553"/>
    <s v="UPI"/>
    <s v="2025-02"/>
    <d v="2025-06-20T00:00:00"/>
    <s v="ACTIVE"/>
    <m/>
    <m/>
    <m/>
    <m/>
  </r>
  <r>
    <n v="1726"/>
    <s v="Donor_079"/>
    <d v="2025-02-12T00:00:00"/>
    <s v="Central"/>
    <x v="5"/>
    <m/>
    <n v="245"/>
    <s v="Cheque"/>
    <s v="2025-02"/>
    <d v="2025-06-07T00:00:00"/>
    <s v="ACTIVE"/>
    <m/>
    <m/>
    <m/>
    <m/>
  </r>
  <r>
    <n v="694"/>
    <s v="Donor_053"/>
    <d v="2025-03-11T00:00:00"/>
    <s v="North"/>
    <x v="1"/>
    <m/>
    <n v="2355"/>
    <s v="Cheque"/>
    <s v="2025-03"/>
    <d v="2025-04-16T00:00:00"/>
    <s v="ACTIVE"/>
    <m/>
    <m/>
    <m/>
    <m/>
  </r>
  <r>
    <n v="1545"/>
    <s v="Donor_115"/>
    <d v="2024-11-07T00:00:00"/>
    <s v="Central"/>
    <x v="3"/>
    <m/>
    <n v="11941"/>
    <s v="Credit Card"/>
    <s v="2024-11"/>
    <d v="2025-06-20T00:00:00"/>
    <s v="ACTIVE"/>
    <m/>
    <m/>
    <m/>
    <m/>
  </r>
  <r>
    <n v="1496"/>
    <s v="Donor_079"/>
    <d v="2024-08-30T00:00:00"/>
    <s v="North"/>
    <x v="3"/>
    <m/>
    <n v="2791"/>
    <s v="Cheque"/>
    <s v="2024-08"/>
    <d v="2025-06-07T00:00:00"/>
    <s v="ACTIVE"/>
    <m/>
    <m/>
    <m/>
    <m/>
  </r>
  <r>
    <n v="1747"/>
    <s v="Donor_026"/>
    <d v="2025-04-30T00:00:00"/>
    <s v="East"/>
    <x v="0"/>
    <m/>
    <n v="885"/>
    <s v="UPI"/>
    <s v="2025-04"/>
    <d v="2025-05-28T00:00:00"/>
    <s v="ACTIVE"/>
    <m/>
    <m/>
    <m/>
    <m/>
  </r>
  <r>
    <n v="1371"/>
    <s v="Donor_080"/>
    <d v="2025-03-14T00:00:00"/>
    <s v="Central"/>
    <x v="1"/>
    <m/>
    <n v="536"/>
    <s v="UPI"/>
    <s v="2025-03"/>
    <d v="2025-05-11T00:00:00"/>
    <s v="ACTIVE"/>
    <m/>
    <m/>
    <m/>
    <m/>
  </r>
  <r>
    <n v="814"/>
    <s v="Donor_027"/>
    <d v="2024-05-24T00:00:00"/>
    <s v="South"/>
    <x v="3"/>
    <m/>
    <n v="1556"/>
    <s v="Credit Card"/>
    <s v="2024-05"/>
    <d v="2025-06-06T00:00:00"/>
    <s v="ACTIVE"/>
    <m/>
    <m/>
    <m/>
    <m/>
  </r>
  <r>
    <n v="1415"/>
    <s v="Donor_035"/>
    <d v="2024-04-13T00:00:00"/>
    <s v="South"/>
    <x v="0"/>
    <m/>
    <n v="1112"/>
    <s v="Cheque"/>
    <s v="2024-04"/>
    <d v="2025-06-15T00:00:00"/>
    <s v="ACTIVE"/>
    <m/>
    <m/>
    <m/>
    <m/>
  </r>
  <r>
    <n v="987"/>
    <s v="Donor_061"/>
    <d v="2024-01-30T00:00:00"/>
    <s v="Central"/>
    <x v="1"/>
    <m/>
    <n v="4531"/>
    <s v="Cheque"/>
    <s v="2024-01"/>
    <d v="2025-05-21T00:00:00"/>
    <s v="ACTIVE"/>
    <m/>
    <m/>
    <m/>
    <m/>
  </r>
  <r>
    <n v="1091"/>
    <s v="Donor_107"/>
    <d v="2024-07-17T00:00:00"/>
    <s v="Central"/>
    <x v="5"/>
    <m/>
    <n v="4850"/>
    <s v="UPI"/>
    <s v="2024-07"/>
    <d v="2025-03-18T00:00:00"/>
    <s v="LAPSED"/>
    <m/>
    <m/>
    <m/>
    <m/>
  </r>
  <r>
    <n v="1288"/>
    <s v="Donor_019"/>
    <d v="2024-02-09T00:00:00"/>
    <s v="North"/>
    <x v="2"/>
    <m/>
    <n v="1605"/>
    <s v="UPI"/>
    <s v="2024-02"/>
    <d v="2025-05-28T00:00:00"/>
    <s v="ACTIVE"/>
    <m/>
    <m/>
    <m/>
    <m/>
  </r>
  <r>
    <n v="158"/>
    <s v="Donor_084"/>
    <d v="2024-11-17T00:00:00"/>
    <s v="East"/>
    <x v="4"/>
    <m/>
    <n v="810"/>
    <s v="Credit Card"/>
    <s v="2024-11"/>
    <d v="2025-05-13T00:00:00"/>
    <s v="ACTIVE"/>
    <m/>
    <m/>
    <m/>
    <m/>
  </r>
  <r>
    <n v="880"/>
    <s v="Donor_014"/>
    <d v="2024-10-02T00:00:00"/>
    <s v="West"/>
    <x v="2"/>
    <m/>
    <n v="259"/>
    <s v="Bank Transfer"/>
    <s v="2024-10"/>
    <d v="2025-06-03T00:00:00"/>
    <s v="ACTIVE"/>
    <m/>
    <m/>
    <m/>
    <m/>
  </r>
  <r>
    <n v="971"/>
    <s v="Donor_010"/>
    <d v="2024-09-08T00:00:00"/>
    <s v="South"/>
    <x v="2"/>
    <m/>
    <n v="0"/>
    <s v="Bank Transfer"/>
    <s v="2024-09"/>
    <d v="2025-06-01T00:00:00"/>
    <s v="ACTIVE"/>
    <m/>
    <m/>
    <m/>
    <m/>
  </r>
  <r>
    <n v="463"/>
    <s v="Donor_009"/>
    <d v="2024-06-13T00:00:00"/>
    <s v="Central"/>
    <x v="4"/>
    <m/>
    <n v="275"/>
    <s v="Bank Transfer"/>
    <s v="2024-06"/>
    <d v="2025-05-15T00:00:00"/>
    <s v="ACTIVE"/>
    <m/>
    <m/>
    <m/>
    <m/>
  </r>
  <r>
    <n v="653"/>
    <s v="Donor_120"/>
    <d v="2024-10-01T00:00:00"/>
    <s v="Central"/>
    <x v="0"/>
    <m/>
    <n v="880"/>
    <s v="UPI"/>
    <s v="2024-10"/>
    <d v="2025-06-19T00:00:00"/>
    <s v="ACTIVE"/>
    <m/>
    <m/>
    <m/>
    <m/>
  </r>
  <r>
    <n v="161"/>
    <s v="Donor_102"/>
    <d v="2024-06-27T00:00:00"/>
    <s v="East"/>
    <x v="0"/>
    <m/>
    <n v="1697"/>
    <s v="Credit Card"/>
    <s v="2024-06"/>
    <d v="2025-04-29T00:00:00"/>
    <s v="ACTIVE"/>
    <m/>
    <m/>
    <m/>
    <m/>
  </r>
  <r>
    <n v="306"/>
    <s v="Donor_084"/>
    <d v="2025-05-13T00:00:00"/>
    <s v="East"/>
    <x v="4"/>
    <m/>
    <n v="10774"/>
    <s v="Cheque"/>
    <s v="2025-05"/>
    <d v="2025-05-13T00:00:00"/>
    <s v="ACTIVE"/>
    <m/>
    <m/>
    <m/>
    <m/>
  </r>
  <r>
    <n v="657"/>
    <s v="Donor_093"/>
    <d v="2024-02-13T00:00:00"/>
    <s v="West"/>
    <x v="3"/>
    <m/>
    <n v="572"/>
    <s v="UPI"/>
    <s v="2024-02"/>
    <d v="2025-03-24T00:00:00"/>
    <s v="LAPSED"/>
    <m/>
    <m/>
    <m/>
    <m/>
  </r>
  <r>
    <n v="548"/>
    <s v="Donor_005"/>
    <d v="2024-02-04T00:00:00"/>
    <s v="Central"/>
    <x v="1"/>
    <m/>
    <n v="4226"/>
    <s v="Cash"/>
    <s v="2024-02"/>
    <d v="2025-06-10T00:00:00"/>
    <s v="ACTIVE"/>
    <m/>
    <m/>
    <m/>
    <m/>
  </r>
  <r>
    <n v="714"/>
    <s v="Donor_101"/>
    <d v="2025-03-07T00:00:00"/>
    <s v="South"/>
    <x v="4"/>
    <m/>
    <n v="724"/>
    <s v="Cash"/>
    <s v="2025-03"/>
    <d v="2025-05-11T00:00:00"/>
    <s v="ACTIVE"/>
    <m/>
    <m/>
    <m/>
    <m/>
  </r>
  <r>
    <n v="396"/>
    <s v="Donor_036"/>
    <d v="2025-03-22T00:00:00"/>
    <s v="East"/>
    <x v="4"/>
    <m/>
    <n v="5756"/>
    <s v="Cash"/>
    <s v="2025-03"/>
    <d v="2025-06-07T00:00:00"/>
    <s v="ACTIVE"/>
    <m/>
    <m/>
    <m/>
    <m/>
  </r>
  <r>
    <n v="400"/>
    <s v="Donor_097"/>
    <d v="2024-06-18T00:00:00"/>
    <s v="Central"/>
    <x v="4"/>
    <m/>
    <n v="259"/>
    <s v="Cheque"/>
    <s v="2024-06"/>
    <d v="2025-06-04T00:00:00"/>
    <s v="ACTIVE"/>
    <m/>
    <m/>
    <m/>
    <m/>
  </r>
  <r>
    <n v="984"/>
    <s v="Donor_027"/>
    <d v="2024-12-14T00:00:00"/>
    <s v="Central"/>
    <x v="0"/>
    <m/>
    <n v="11434"/>
    <s v="Bank Transfer"/>
    <s v="2024-12"/>
    <d v="2025-06-06T00:00:00"/>
    <s v="ACTIVE"/>
    <m/>
    <m/>
    <m/>
    <m/>
  </r>
  <r>
    <n v="1391"/>
    <s v="Donor_118"/>
    <d v="2024-11-30T00:00:00"/>
    <s v="East"/>
    <x v="1"/>
    <m/>
    <n v="9951"/>
    <s v="Cheque"/>
    <s v="2024-11"/>
    <d v="2025-04-19T00:00:00"/>
    <s v="ACTIVE"/>
    <m/>
    <m/>
    <m/>
    <m/>
  </r>
  <r>
    <n v="859"/>
    <s v="Donor_067"/>
    <d v="2024-02-17T00:00:00"/>
    <s v="East"/>
    <x v="2"/>
    <m/>
    <n v="9780"/>
    <s v="Cheque"/>
    <s v="2024-02"/>
    <d v="2025-06-15T00:00:00"/>
    <s v="ACTIVE"/>
    <m/>
    <m/>
    <m/>
    <m/>
  </r>
  <r>
    <n v="1247"/>
    <s v="Donor_042"/>
    <d v="2024-06-21T00:00:00"/>
    <s v="North"/>
    <x v="3"/>
    <m/>
    <n v="2065"/>
    <s v="Cheque"/>
    <s v="2024-06"/>
    <d v="2025-02-10T00:00:00"/>
    <s v="LAPSED"/>
    <m/>
    <m/>
    <m/>
    <m/>
  </r>
  <r>
    <n v="1518"/>
    <s v="Donor_094"/>
    <d v="2025-01-19T00:00:00"/>
    <s v="North"/>
    <x v="0"/>
    <m/>
    <n v="525"/>
    <s v="UPI"/>
    <s v="2025-01"/>
    <d v="2025-06-19T00:00:00"/>
    <s v="ACTIVE"/>
    <m/>
    <m/>
    <m/>
    <m/>
  </r>
  <r>
    <n v="791"/>
    <s v="Donor_021"/>
    <d v="2025-02-04T00:00:00"/>
    <s v="North"/>
    <x v="4"/>
    <m/>
    <n v="9674"/>
    <s v="UPI"/>
    <s v="2025-02"/>
    <d v="2025-04-05T00:00:00"/>
    <s v="ACTIVE"/>
    <m/>
    <m/>
    <m/>
    <m/>
  </r>
  <r>
    <n v="460"/>
    <s v="Donor_083"/>
    <d v="2024-12-30T00:00:00"/>
    <s v="South"/>
    <x v="2"/>
    <m/>
    <n v="11166"/>
    <s v="Credit Card"/>
    <s v="2024-12"/>
    <d v="2025-06-21T00:00:00"/>
    <s v="ACTIVE"/>
    <m/>
    <m/>
    <m/>
    <m/>
  </r>
  <r>
    <n v="63"/>
    <s v="Donor_089"/>
    <d v="2024-09-03T00:00:00"/>
    <s v="West"/>
    <x v="2"/>
    <m/>
    <n v="294"/>
    <s v="UPI"/>
    <s v="2024-09"/>
    <d v="2025-05-16T00:00:00"/>
    <s v="ACTIVE"/>
    <m/>
    <m/>
    <m/>
    <m/>
  </r>
  <r>
    <n v="913"/>
    <s v="Donor_104"/>
    <d v="2024-09-28T00:00:00"/>
    <s v="North"/>
    <x v="3"/>
    <m/>
    <n v="1667"/>
    <s v="Credit Card"/>
    <s v="2024-09"/>
    <d v="2025-05-08T00:00:00"/>
    <s v="ACTIVE"/>
    <m/>
    <m/>
    <m/>
    <m/>
  </r>
  <r>
    <n v="780"/>
    <s v="Donor_048"/>
    <d v="2025-02-22T00:00:00"/>
    <s v="West"/>
    <x v="5"/>
    <m/>
    <n v="2382"/>
    <s v="Credit Card"/>
    <s v="2025-02"/>
    <d v="2025-06-08T00:00:00"/>
    <s v="ACTIVE"/>
    <m/>
    <m/>
    <m/>
    <m/>
  </r>
  <r>
    <n v="458"/>
    <s v="Donor_002"/>
    <d v="2024-11-28T00:00:00"/>
    <s v="South"/>
    <x v="5"/>
    <m/>
    <n v="958"/>
    <s v="Credit Card"/>
    <s v="2024-11"/>
    <d v="2025-04-12T00:00:00"/>
    <s v="ACTIVE"/>
    <m/>
    <m/>
    <m/>
    <m/>
  </r>
  <r>
    <n v="1612"/>
    <s v="Donor_080"/>
    <d v="2024-11-08T00:00:00"/>
    <s v="North"/>
    <x v="3"/>
    <m/>
    <n v="821"/>
    <s v="UPI"/>
    <s v="2024-11"/>
    <d v="2025-05-11T00:00:00"/>
    <s v="ACTIVE"/>
    <m/>
    <m/>
    <m/>
    <m/>
  </r>
  <r>
    <n v="479"/>
    <s v="Donor_082"/>
    <d v="2024-01-12T00:00:00"/>
    <s v="West"/>
    <x v="3"/>
    <m/>
    <n v="2524"/>
    <s v="Bank Transfer"/>
    <s v="2024-01"/>
    <d v="2025-06-02T00:00:00"/>
    <s v="ACTIVE"/>
    <m/>
    <m/>
    <m/>
    <m/>
  </r>
  <r>
    <n v="1369"/>
    <s v="Donor_070"/>
    <d v="2024-08-02T00:00:00"/>
    <s v="North"/>
    <x v="4"/>
    <m/>
    <n v="403"/>
    <s v="Bank Transfer"/>
    <s v="2024-08"/>
    <d v="2025-03-27T00:00:00"/>
    <s v="ACTIVE"/>
    <m/>
    <m/>
    <m/>
    <m/>
  </r>
  <r>
    <n v="1343"/>
    <s v="Donor_105"/>
    <d v="2024-04-01T00:00:00"/>
    <s v="South"/>
    <x v="1"/>
    <m/>
    <n v="1269"/>
    <s v="Bank Transfer"/>
    <s v="2024-04"/>
    <d v="2025-06-15T00:00:00"/>
    <s v="ACTIVE"/>
    <m/>
    <m/>
    <m/>
    <m/>
  </r>
  <r>
    <n v="618"/>
    <s v="Donor_004"/>
    <d v="2024-09-07T00:00:00"/>
    <s v="North"/>
    <x v="5"/>
    <m/>
    <n v="359"/>
    <s v="UPI"/>
    <s v="2024-09"/>
    <d v="2025-05-26T00:00:00"/>
    <s v="ACTIVE"/>
    <m/>
    <m/>
    <m/>
    <m/>
  </r>
  <r>
    <n v="1676"/>
    <s v="Donor_034"/>
    <d v="2024-05-20T00:00:00"/>
    <s v="West"/>
    <x v="1"/>
    <m/>
    <n v="1794"/>
    <s v="Cheque"/>
    <s v="2024-05"/>
    <d v="2025-06-21T00:00:00"/>
    <s v="ACTIVE"/>
    <m/>
    <m/>
    <m/>
    <m/>
  </r>
  <r>
    <n v="1197"/>
    <s v="Donor_024"/>
    <d v="2024-08-07T00:00:00"/>
    <s v="East"/>
    <x v="1"/>
    <m/>
    <n v="1969"/>
    <s v="Bank Transfer"/>
    <s v="2024-08"/>
    <d v="2025-06-07T00:00:00"/>
    <s v="ACTIVE"/>
    <m/>
    <m/>
    <m/>
    <m/>
  </r>
  <r>
    <n v="1289"/>
    <s v="Donor_098"/>
    <d v="2024-08-17T00:00:00"/>
    <s v="North"/>
    <x v="0"/>
    <m/>
    <n v="8296"/>
    <s v="Cash"/>
    <s v="2024-08"/>
    <d v="2025-06-20T00:00:00"/>
    <s v="ACTIVE"/>
    <m/>
    <m/>
    <m/>
    <m/>
  </r>
  <r>
    <n v="1470"/>
    <s v="Donor_105"/>
    <d v="2024-09-21T00:00:00"/>
    <s v="West"/>
    <x v="4"/>
    <m/>
    <n v="2340"/>
    <s v="Cash"/>
    <s v="2024-09"/>
    <d v="2025-06-15T00:00:00"/>
    <s v="ACTIVE"/>
    <m/>
    <m/>
    <m/>
    <m/>
  </r>
  <r>
    <n v="348"/>
    <s v="Donor_049"/>
    <d v="2024-02-08T00:00:00"/>
    <s v="East"/>
    <x v="0"/>
    <m/>
    <n v="0"/>
    <s v="UPI"/>
    <s v="2024-02"/>
    <d v="2025-06-19T00:00:00"/>
    <s v="ACTIVE"/>
    <m/>
    <m/>
    <m/>
    <m/>
  </r>
  <r>
    <n v="818"/>
    <s v="Donor_040"/>
    <d v="2025-04-19T00:00:00"/>
    <s v="West"/>
    <x v="5"/>
    <m/>
    <n v="769"/>
    <s v="Cash"/>
    <s v="2025-04"/>
    <d v="2025-05-15T00:00:00"/>
    <s v="ACTIVE"/>
    <m/>
    <m/>
    <m/>
    <m/>
  </r>
  <r>
    <n v="1088"/>
    <s v="Donor_097"/>
    <d v="2024-01-21T00:00:00"/>
    <s v="Central"/>
    <x v="3"/>
    <m/>
    <n v="9592"/>
    <s v="Cash"/>
    <s v="2024-01"/>
    <d v="2025-06-04T00:00:00"/>
    <s v="ACTIVE"/>
    <m/>
    <m/>
    <m/>
    <m/>
  </r>
  <r>
    <n v="766"/>
    <s v="Donor_082"/>
    <d v="2024-07-24T00:00:00"/>
    <s v="South"/>
    <x v="3"/>
    <m/>
    <n v="4379"/>
    <s v="Cash"/>
    <s v="2024-07"/>
    <d v="2025-06-02T00:00:00"/>
    <s v="ACTIVE"/>
    <m/>
    <m/>
    <m/>
    <m/>
  </r>
  <r>
    <n v="447"/>
    <s v="Donor_068"/>
    <d v="2025-03-21T00:00:00"/>
    <s v="Central"/>
    <x v="5"/>
    <m/>
    <n v="4963"/>
    <s v="Credit Card"/>
    <s v="2025-03"/>
    <d v="2025-05-16T00:00:00"/>
    <s v="ACTIVE"/>
    <m/>
    <m/>
    <m/>
    <m/>
  </r>
  <r>
    <n v="651"/>
    <s v="Donor_084"/>
    <d v="2024-03-19T00:00:00"/>
    <s v="East"/>
    <x v="0"/>
    <m/>
    <n v="2433"/>
    <s v="Cheque"/>
    <s v="2024-03"/>
    <d v="2025-05-13T00:00:00"/>
    <s v="ACTIVE"/>
    <m/>
    <m/>
    <m/>
    <m/>
  </r>
  <r>
    <n v="1123"/>
    <s v="Donor_034"/>
    <d v="2025-03-26T00:00:00"/>
    <s v="North"/>
    <x v="1"/>
    <m/>
    <n v="5157"/>
    <s v="Bank Transfer"/>
    <s v="2025-03"/>
    <d v="2025-06-21T00:00:00"/>
    <s v="ACTIVE"/>
    <m/>
    <m/>
    <m/>
    <m/>
  </r>
  <r>
    <n v="1624"/>
    <s v="Donor_020"/>
    <d v="2024-05-13T00:00:00"/>
    <s v="North"/>
    <x v="2"/>
    <m/>
    <n v="854"/>
    <s v="Bank Transfer"/>
    <s v="2024-05"/>
    <d v="2025-05-31T00:00:00"/>
    <s v="ACTIVE"/>
    <m/>
    <m/>
    <m/>
    <m/>
  </r>
  <r>
    <n v="380"/>
    <s v="Donor_077"/>
    <d v="2024-11-26T00:00:00"/>
    <s v="North"/>
    <x v="2"/>
    <m/>
    <n v="2491"/>
    <s v="Cheque"/>
    <s v="2024-11"/>
    <d v="2025-06-21T00:00:00"/>
    <s v="ACTIVE"/>
    <m/>
    <m/>
    <m/>
    <m/>
  </r>
  <r>
    <n v="565"/>
    <s v="Donor_063"/>
    <d v="2024-03-12T00:00:00"/>
    <s v="South"/>
    <x v="0"/>
    <m/>
    <n v="654"/>
    <s v="Cash"/>
    <s v="2024-03"/>
    <d v="2025-04-20T00:00:00"/>
    <s v="ACTIVE"/>
    <m/>
    <m/>
    <m/>
    <m/>
  </r>
  <r>
    <n v="1572"/>
    <s v="Donor_069"/>
    <d v="2025-04-26T00:00:00"/>
    <s v="NOT KNOWN"/>
    <x v="4"/>
    <m/>
    <n v="329"/>
    <s v="Cash"/>
    <s v="2025-04"/>
    <d v="2025-06-13T00:00:00"/>
    <s v="ACTIVE"/>
    <m/>
    <m/>
    <m/>
    <m/>
  </r>
  <r>
    <n v="1451"/>
    <s v="Donor_054"/>
    <d v="2024-07-03T00:00:00"/>
    <s v="North"/>
    <x v="3"/>
    <m/>
    <n v="5423"/>
    <s v="Cheque"/>
    <s v="2024-07"/>
    <d v="2025-06-18T00:00:00"/>
    <s v="ACTIVE"/>
    <m/>
    <m/>
    <m/>
    <m/>
  </r>
  <r>
    <n v="1730"/>
    <s v="Donor_003"/>
    <d v="2025-01-21T00:00:00"/>
    <s v="Central"/>
    <x v="4"/>
    <m/>
    <n v="1213"/>
    <s v="UPI"/>
    <s v="2025-01"/>
    <d v="2025-05-08T00:00:00"/>
    <s v="ACTIVE"/>
    <m/>
    <m/>
    <m/>
    <m/>
  </r>
  <r>
    <n v="1349"/>
    <s v="Donor_027"/>
    <d v="2025-02-19T00:00:00"/>
    <s v="South"/>
    <x v="3"/>
    <m/>
    <n v="477"/>
    <s v="UPI"/>
    <s v="2025-02"/>
    <d v="2025-06-06T00:00:00"/>
    <s v="ACTIVE"/>
    <m/>
    <m/>
    <m/>
    <m/>
  </r>
  <r>
    <n v="232"/>
    <s v="Donor_002"/>
    <d v="2025-01-29T00:00:00"/>
    <s v="East"/>
    <x v="1"/>
    <m/>
    <n v="834"/>
    <s v="Cheque"/>
    <s v="2025-01"/>
    <d v="2025-04-12T00:00:00"/>
    <s v="ACTIVE"/>
    <m/>
    <m/>
    <m/>
    <m/>
  </r>
  <r>
    <n v="1639"/>
    <s v="Donor_019"/>
    <d v="2024-05-01T00:00:00"/>
    <s v="East"/>
    <x v="4"/>
    <m/>
    <n v="881"/>
    <s v="Cheque"/>
    <s v="2024-05"/>
    <d v="2025-05-28T00:00:00"/>
    <s v="ACTIVE"/>
    <m/>
    <m/>
    <m/>
    <m/>
  </r>
  <r>
    <n v="383"/>
    <s v="Donor_031"/>
    <d v="2025-04-01T00:00:00"/>
    <s v="Central"/>
    <x v="0"/>
    <m/>
    <n v="2367"/>
    <s v="Bank Transfer"/>
    <s v="2025-04"/>
    <d v="2025-05-17T00:00:00"/>
    <s v="ACTIVE"/>
    <m/>
    <m/>
    <m/>
    <m/>
  </r>
  <r>
    <n v="1618"/>
    <s v="Donor_095"/>
    <d v="2024-08-07T00:00:00"/>
    <s v="West"/>
    <x v="4"/>
    <m/>
    <n v="1093"/>
    <s v="Bank Transfer"/>
    <s v="2024-08"/>
    <d v="2025-05-17T00:00:00"/>
    <s v="ACTIVE"/>
    <m/>
    <m/>
    <m/>
    <m/>
  </r>
  <r>
    <n v="1085"/>
    <s v="Donor_079"/>
    <d v="2024-04-22T00:00:00"/>
    <s v="Central"/>
    <x v="5"/>
    <m/>
    <n v="1563"/>
    <s v="UPI"/>
    <s v="2024-04"/>
    <d v="2025-06-07T00:00:00"/>
    <s v="ACTIVE"/>
    <m/>
    <m/>
    <m/>
    <m/>
  </r>
  <r>
    <n v="73"/>
    <s v="Donor_055"/>
    <d v="2024-07-21T00:00:00"/>
    <s v="North"/>
    <x v="0"/>
    <m/>
    <n v="2118"/>
    <s v="Bank Transfer"/>
    <s v="2024-07"/>
    <d v="2025-05-11T00:00:00"/>
    <s v="ACTIVE"/>
    <m/>
    <m/>
    <m/>
    <m/>
  </r>
  <r>
    <n v="71"/>
    <s v="Donor_081"/>
    <d v="2024-07-31T00:00:00"/>
    <s v="South"/>
    <x v="5"/>
    <m/>
    <n v="863"/>
    <s v="Credit Card"/>
    <s v="2024-07"/>
    <d v="2025-06-07T00:00:00"/>
    <s v="ACTIVE"/>
    <m/>
    <m/>
    <m/>
    <m/>
  </r>
  <r>
    <n v="978"/>
    <s v="Donor_004"/>
    <d v="2024-04-15T00:00:00"/>
    <s v="South"/>
    <x v="3"/>
    <m/>
    <n v="428"/>
    <s v="Bank Transfer"/>
    <s v="2024-04"/>
    <d v="2025-05-26T00:00:00"/>
    <s v="ACTIVE"/>
    <m/>
    <m/>
    <m/>
    <m/>
  </r>
  <r>
    <n v="834"/>
    <s v="Donor_085"/>
    <d v="2025-02-27T00:00:00"/>
    <s v="South"/>
    <x v="3"/>
    <m/>
    <n v="4033"/>
    <s v="Bank Transfer"/>
    <s v="2025-02"/>
    <d v="2025-06-22T00:00:00"/>
    <s v="ACTIVE"/>
    <m/>
    <m/>
    <m/>
    <m/>
  </r>
  <r>
    <n v="172"/>
    <s v="Donor_012"/>
    <d v="2024-01-24T00:00:00"/>
    <s v="West"/>
    <x v="0"/>
    <m/>
    <n v="356"/>
    <s v="Credit Card"/>
    <s v="2024-01"/>
    <d v="2025-06-23T00:00:00"/>
    <s v="ACTIVE"/>
    <m/>
    <m/>
    <m/>
    <m/>
  </r>
  <r>
    <n v="1057"/>
    <s v="Donor_104"/>
    <d v="2024-08-04T00:00:00"/>
    <s v="East"/>
    <x v="0"/>
    <m/>
    <n v="11134"/>
    <s v="Bank Transfer"/>
    <s v="2024-08"/>
    <d v="2025-05-08T00:00:00"/>
    <s v="ACTIVE"/>
    <m/>
    <m/>
    <m/>
    <m/>
  </r>
  <r>
    <n v="169"/>
    <s v="Donor_078"/>
    <d v="2024-12-14T00:00:00"/>
    <s v="South"/>
    <x v="5"/>
    <m/>
    <n v="5468"/>
    <s v="Bank Transfer"/>
    <s v="2024-12"/>
    <d v="2025-03-13T00:00:00"/>
    <s v="LAPSED"/>
    <m/>
    <m/>
    <m/>
    <m/>
  </r>
  <r>
    <n v="494"/>
    <s v="Donor_075"/>
    <d v="2024-05-21T00:00:00"/>
    <s v="Central"/>
    <x v="2"/>
    <m/>
    <n v="2290"/>
    <s v="Bank Transfer"/>
    <s v="2024-05"/>
    <d v="2025-04-29T00:00:00"/>
    <s v="ACTIVE"/>
    <m/>
    <m/>
    <m/>
    <m/>
  </r>
  <r>
    <n v="1426"/>
    <s v="Donor_096"/>
    <d v="2024-05-29T00:00:00"/>
    <s v="Central"/>
    <x v="5"/>
    <m/>
    <n v="405"/>
    <s v="Credit Card"/>
    <s v="2024-05"/>
    <d v="2025-06-04T00:00:00"/>
    <s v="ACTIVE"/>
    <m/>
    <m/>
    <m/>
    <m/>
  </r>
  <r>
    <n v="1418"/>
    <s v="Donor_091"/>
    <d v="2024-06-28T00:00:00"/>
    <s v="NOT KNOWN"/>
    <x v="2"/>
    <m/>
    <n v="1730"/>
    <s v="Cheque"/>
    <s v="2024-06"/>
    <d v="2025-05-16T00:00:00"/>
    <s v="ACTIVE"/>
    <m/>
    <m/>
    <m/>
    <m/>
  </r>
  <r>
    <n v="1584"/>
    <s v="Donor_089"/>
    <d v="2024-02-06T00:00:00"/>
    <s v="West"/>
    <x v="3"/>
    <m/>
    <n v="5847"/>
    <s v="Credit Card"/>
    <s v="2024-02"/>
    <d v="2025-05-16T00:00:00"/>
    <s v="ACTIVE"/>
    <m/>
    <m/>
    <m/>
    <m/>
  </r>
  <r>
    <n v="273"/>
    <s v="Donor_017"/>
    <d v="2024-11-20T00:00:00"/>
    <s v="NOT KNOWN"/>
    <x v="0"/>
    <m/>
    <n v="710"/>
    <s v="Credit Card"/>
    <s v="2024-11"/>
    <d v="2025-02-02T00:00:00"/>
    <s v="LAPSED"/>
    <m/>
    <m/>
    <m/>
    <m/>
  </r>
  <r>
    <n v="1749"/>
    <s v="Donor_098"/>
    <d v="2025-06-20T00:00:00"/>
    <s v="South"/>
    <x v="5"/>
    <m/>
    <n v="1452"/>
    <s v="UPI"/>
    <s v="2025-06"/>
    <d v="2025-06-20T00:00:00"/>
    <s v="ACTIVE"/>
    <m/>
    <m/>
    <m/>
    <m/>
  </r>
  <r>
    <n v="421"/>
    <s v="Donor_082"/>
    <d v="2024-06-28T00:00:00"/>
    <s v="West"/>
    <x v="1"/>
    <m/>
    <n v="440"/>
    <s v="Cheque"/>
    <s v="2024-06"/>
    <d v="2025-06-02T00:00:00"/>
    <s v="ACTIVE"/>
    <m/>
    <m/>
    <m/>
    <m/>
  </r>
  <r>
    <n v="95"/>
    <s v="Donor_080"/>
    <d v="2024-07-13T00:00:00"/>
    <s v="East"/>
    <x v="2"/>
    <m/>
    <n v="1577"/>
    <s v="UPI"/>
    <s v="2024-07"/>
    <d v="2025-05-11T00:00:00"/>
    <s v="ACTIVE"/>
    <m/>
    <m/>
    <m/>
    <m/>
  </r>
  <r>
    <n v="1241"/>
    <s v="Donor_110"/>
    <d v="2025-03-26T00:00:00"/>
    <s v="West"/>
    <x v="0"/>
    <m/>
    <n v="8149"/>
    <s v="Cash"/>
    <s v="2025-03"/>
    <d v="2025-06-04T00:00:00"/>
    <s v="ACTIVE"/>
    <m/>
    <m/>
    <m/>
    <m/>
  </r>
  <r>
    <n v="1430"/>
    <s v="Donor_054"/>
    <d v="2024-07-18T00:00:00"/>
    <s v="Central"/>
    <x v="4"/>
    <m/>
    <n v="840"/>
    <s v="Credit Card"/>
    <s v="2024-07"/>
    <d v="2025-06-18T00:00:00"/>
    <s v="ACTIVE"/>
    <m/>
    <m/>
    <m/>
    <m/>
  </r>
  <r>
    <n v="1544"/>
    <s v="Donor_055"/>
    <d v="2025-05-11T00:00:00"/>
    <s v="Central"/>
    <x v="2"/>
    <m/>
    <n v="1573"/>
    <s v="Cheque"/>
    <s v="2025-05"/>
    <d v="2025-05-11T00:00:00"/>
    <s v="ACTIVE"/>
    <m/>
    <m/>
    <m/>
    <m/>
  </r>
  <r>
    <n v="43"/>
    <s v="Donor_102"/>
    <d v="2025-04-29T00:00:00"/>
    <s v="South"/>
    <x v="2"/>
    <m/>
    <n v="914"/>
    <s v="Cheque"/>
    <s v="2025-04"/>
    <d v="2025-04-29T00:00:00"/>
    <s v="ACTIVE"/>
    <m/>
    <m/>
    <m/>
    <m/>
  </r>
  <r>
    <n v="57"/>
    <s v="Donor_074"/>
    <d v="2024-11-15T00:00:00"/>
    <s v="West"/>
    <x v="1"/>
    <m/>
    <n v="1661"/>
    <s v="Credit Card"/>
    <s v="2024-11"/>
    <d v="2025-06-18T00:00:00"/>
    <s v="ACTIVE"/>
    <m/>
    <m/>
    <m/>
    <m/>
  </r>
  <r>
    <n v="1447"/>
    <s v="Donor_056"/>
    <d v="2025-05-08T00:00:00"/>
    <s v="West"/>
    <x v="3"/>
    <m/>
    <n v="10918"/>
    <s v="Bank Transfer"/>
    <s v="2025-05"/>
    <d v="2025-05-08T00:00:00"/>
    <s v="ACTIVE"/>
    <m/>
    <m/>
    <m/>
    <m/>
  </r>
  <r>
    <n v="985"/>
    <s v="Donor_029"/>
    <d v="2024-05-13T00:00:00"/>
    <s v="East"/>
    <x v="1"/>
    <m/>
    <n v="344"/>
    <s v="Cheque"/>
    <s v="2024-05"/>
    <d v="2025-06-05T00:00:00"/>
    <s v="ACTIVE"/>
    <m/>
    <m/>
    <m/>
    <m/>
  </r>
  <r>
    <n v="1170"/>
    <s v="Donor_097"/>
    <d v="2025-05-18T00:00:00"/>
    <s v="South"/>
    <x v="5"/>
    <m/>
    <n v="4591"/>
    <s v="Cash"/>
    <s v="2025-05"/>
    <d v="2025-06-04T00:00:00"/>
    <s v="ACTIVE"/>
    <m/>
    <m/>
    <m/>
    <m/>
  </r>
  <r>
    <n v="1704"/>
    <s v="Donor_112"/>
    <d v="2024-05-29T00:00:00"/>
    <s v="South"/>
    <x v="3"/>
    <m/>
    <n v="856"/>
    <s v="Credit Card"/>
    <s v="2024-05"/>
    <d v="2025-05-26T00:00:00"/>
    <s v="ACTIVE"/>
    <m/>
    <m/>
    <m/>
    <m/>
  </r>
  <r>
    <n v="39"/>
    <s v="Donor_033"/>
    <d v="2024-07-13T00:00:00"/>
    <s v="North"/>
    <x v="2"/>
    <m/>
    <n v="601"/>
    <s v="Cheque"/>
    <s v="2024-07"/>
    <d v="2025-06-21T00:00:00"/>
    <s v="ACTIVE"/>
    <m/>
    <m/>
    <m/>
    <m/>
  </r>
  <r>
    <n v="307"/>
    <s v="Donor_094"/>
    <d v="2024-11-10T00:00:00"/>
    <s v="East"/>
    <x v="4"/>
    <m/>
    <n v="1637"/>
    <s v="Cheque"/>
    <s v="2024-11"/>
    <d v="2025-06-19T00:00:00"/>
    <s v="ACTIVE"/>
    <m/>
    <m/>
    <m/>
    <m/>
  </r>
  <r>
    <n v="825"/>
    <s v="Donor_014"/>
    <d v="2024-04-01T00:00:00"/>
    <s v="Central"/>
    <x v="5"/>
    <m/>
    <n v="1361"/>
    <s v="Credit Card"/>
    <s v="2024-04"/>
    <d v="2025-06-03T00:00:00"/>
    <s v="ACTIVE"/>
    <m/>
    <m/>
    <m/>
    <m/>
  </r>
  <r>
    <n v="955"/>
    <s v="Donor_105"/>
    <d v="2025-06-15T00:00:00"/>
    <s v="Central"/>
    <x v="5"/>
    <m/>
    <n v="4341"/>
    <s v="Cheque"/>
    <s v="2025-06"/>
    <d v="2025-06-15T00:00:00"/>
    <s v="ACTIVE"/>
    <m/>
    <m/>
    <m/>
    <m/>
  </r>
  <r>
    <n v="893"/>
    <s v="Donor_039"/>
    <d v="2024-12-17T00:00:00"/>
    <s v="West"/>
    <x v="4"/>
    <m/>
    <n v="10883"/>
    <s v="UPI"/>
    <s v="2024-12"/>
    <d v="2025-04-25T00:00:00"/>
    <s v="ACTIVE"/>
    <m/>
    <m/>
    <m/>
    <m/>
  </r>
  <r>
    <n v="783"/>
    <s v="Donor_002"/>
    <d v="2024-09-24T00:00:00"/>
    <s v="NOT KNOWN"/>
    <x v="5"/>
    <m/>
    <n v="5566"/>
    <s v="Cash"/>
    <s v="2024-09"/>
    <d v="2025-04-12T00:00:00"/>
    <s v="ACTIVE"/>
    <m/>
    <m/>
    <m/>
    <m/>
  </r>
  <r>
    <n v="409"/>
    <s v="Donor_028"/>
    <d v="2024-03-28T00:00:00"/>
    <s v="West"/>
    <x v="0"/>
    <m/>
    <n v="344"/>
    <s v="Credit Card"/>
    <s v="2024-03"/>
    <d v="2025-03-09T00:00:00"/>
    <s v="LAPSED"/>
    <m/>
    <m/>
    <m/>
    <m/>
  </r>
  <r>
    <n v="1125"/>
    <s v="Donor_027"/>
    <d v="2024-10-22T00:00:00"/>
    <s v="East"/>
    <x v="2"/>
    <m/>
    <n v="10206"/>
    <s v="Bank Transfer"/>
    <s v="2024-10"/>
    <d v="2025-06-06T00:00:00"/>
    <s v="ACTIVE"/>
    <m/>
    <m/>
    <m/>
    <m/>
  </r>
  <r>
    <n v="782"/>
    <s v="Donor_043"/>
    <d v="2024-07-24T00:00:00"/>
    <s v="South"/>
    <x v="2"/>
    <m/>
    <n v="4500"/>
    <s v="Bank Transfer"/>
    <s v="2024-07"/>
    <d v="2025-06-13T00:00:00"/>
    <s v="ACTIVE"/>
    <m/>
    <m/>
    <m/>
    <m/>
  </r>
  <r>
    <n v="167"/>
    <s v="Donor_006"/>
    <d v="2024-03-24T00:00:00"/>
    <s v="Central"/>
    <x v="5"/>
    <m/>
    <n v="2214"/>
    <s v="Cash"/>
    <s v="2024-03"/>
    <d v="2025-06-06T00:00:00"/>
    <s v="ACTIVE"/>
    <m/>
    <m/>
    <m/>
    <m/>
  </r>
  <r>
    <n v="535"/>
    <s v="Donor_015"/>
    <d v="2025-05-01T00:00:00"/>
    <s v="East"/>
    <x v="1"/>
    <m/>
    <n v="341"/>
    <s v="Bank Transfer"/>
    <s v="2025-05"/>
    <d v="2025-05-02T00:00:00"/>
    <s v="ACTIVE"/>
    <m/>
    <m/>
    <m/>
    <m/>
  </r>
  <r>
    <n v="584"/>
    <s v="Donor_006"/>
    <d v="2025-04-09T00:00:00"/>
    <s v="North"/>
    <x v="2"/>
    <m/>
    <n v="585"/>
    <s v="Credit Card"/>
    <s v="2025-04"/>
    <d v="2025-06-06T00:00:00"/>
    <s v="ACTIVE"/>
    <m/>
    <m/>
    <m/>
    <m/>
  </r>
  <r>
    <n v="1356"/>
    <s v="Donor_016"/>
    <d v="2024-07-28T00:00:00"/>
    <s v="North"/>
    <x v="1"/>
    <m/>
    <n v="1209"/>
    <s v="UPI"/>
    <s v="2024-07"/>
    <d v="2025-06-17T00:00:00"/>
    <s v="ACTIVE"/>
    <m/>
    <m/>
    <m/>
    <m/>
  </r>
  <r>
    <n v="1720"/>
    <s v="Donor_092"/>
    <d v="2025-05-07T00:00:00"/>
    <s v="West"/>
    <x v="3"/>
    <m/>
    <n v="510"/>
    <s v="Bank Transfer"/>
    <s v="2025-05"/>
    <d v="2025-05-07T00:00:00"/>
    <s v="ACTIVE"/>
    <m/>
    <m/>
    <m/>
    <m/>
  </r>
  <r>
    <n v="1295"/>
    <s v="Donor_116"/>
    <d v="2025-01-07T00:00:00"/>
    <s v="West"/>
    <x v="0"/>
    <m/>
    <n v="712"/>
    <s v="Bank Transfer"/>
    <s v="2025-01"/>
    <d v="2025-06-11T00:00:00"/>
    <s v="ACTIVE"/>
    <m/>
    <m/>
    <m/>
    <m/>
  </r>
  <r>
    <n v="1147"/>
    <s v="Donor_059"/>
    <d v="2024-12-19T00:00:00"/>
    <s v="Central"/>
    <x v="4"/>
    <m/>
    <n v="10276"/>
    <s v="UPI"/>
    <s v="2024-12"/>
    <d v="2025-06-16T00:00:00"/>
    <s v="ACTIVE"/>
    <m/>
    <m/>
    <m/>
    <m/>
  </r>
  <r>
    <n v="1710"/>
    <s v="Donor_066"/>
    <d v="2024-10-20T00:00:00"/>
    <s v="North"/>
    <x v="1"/>
    <m/>
    <n v="5978"/>
    <s v="Bank Transfer"/>
    <s v="2024-10"/>
    <d v="2025-03-22T00:00:00"/>
    <s v="LAPSED"/>
    <m/>
    <m/>
    <m/>
    <m/>
  </r>
  <r>
    <n v="1003"/>
    <s v="Donor_040"/>
    <d v="2025-05-15T00:00:00"/>
    <s v="North"/>
    <x v="1"/>
    <m/>
    <n v="5321"/>
    <s v="UPI"/>
    <s v="2025-05"/>
    <d v="2025-05-15T00:00:00"/>
    <s v="ACTIVE"/>
    <m/>
    <m/>
    <m/>
    <m/>
  </r>
  <r>
    <n v="1096"/>
    <s v="Donor_008"/>
    <d v="2024-08-26T00:00:00"/>
    <s v="West"/>
    <x v="5"/>
    <m/>
    <n v="693"/>
    <s v="Bank Transfer"/>
    <s v="2024-08"/>
    <d v="2025-06-07T00:00:00"/>
    <s v="ACTIVE"/>
    <m/>
    <m/>
    <m/>
    <m/>
  </r>
  <r>
    <n v="317"/>
    <s v="Donor_024"/>
    <d v="2025-01-13T00:00:00"/>
    <s v="West"/>
    <x v="3"/>
    <m/>
    <n v="2440"/>
    <s v="Bank Transfer"/>
    <s v="2025-01"/>
    <d v="2025-06-07T00:00:00"/>
    <s v="ACTIVE"/>
    <m/>
    <m/>
    <m/>
    <m/>
  </r>
  <r>
    <n v="1169"/>
    <s v="Donor_053"/>
    <d v="2025-01-10T00:00:00"/>
    <s v="East"/>
    <x v="4"/>
    <m/>
    <n v="2236"/>
    <s v="Credit Card"/>
    <s v="2025-01"/>
    <d v="2025-04-16T00:00:00"/>
    <s v="ACTIVE"/>
    <m/>
    <m/>
    <m/>
    <m/>
  </r>
  <r>
    <n v="1560"/>
    <s v="Donor_009"/>
    <d v="2025-02-02T00:00:00"/>
    <s v="North"/>
    <x v="3"/>
    <m/>
    <n v="751"/>
    <s v="UPI"/>
    <s v="2025-02"/>
    <d v="2025-05-15T00:00:00"/>
    <s v="ACTIVE"/>
    <m/>
    <m/>
    <m/>
    <m/>
  </r>
  <r>
    <n v="517"/>
    <s v="Donor_103"/>
    <d v="2024-07-31T00:00:00"/>
    <s v="Central"/>
    <x v="1"/>
    <m/>
    <n v="0"/>
    <s v="Bank Transfer"/>
    <s v="2024-07"/>
    <d v="2025-02-25T00:00:00"/>
    <s v="LAPSED"/>
    <m/>
    <m/>
    <m/>
    <m/>
  </r>
  <r>
    <n v="1408"/>
    <s v="Donor_022"/>
    <d v="2025-01-21T00:00:00"/>
    <s v="West"/>
    <x v="4"/>
    <m/>
    <n v="1851"/>
    <s v="Cash"/>
    <s v="2025-01"/>
    <d v="2025-06-21T00:00:00"/>
    <s v="ACTIVE"/>
    <m/>
    <m/>
    <m/>
    <m/>
  </r>
  <r>
    <n v="1516"/>
    <s v="Donor_114"/>
    <d v="2024-09-24T00:00:00"/>
    <s v="South"/>
    <x v="1"/>
    <m/>
    <n v="5273"/>
    <s v="UPI"/>
    <s v="2024-09"/>
    <d v="2025-04-04T00:00:00"/>
    <s v="ACTIVE"/>
    <m/>
    <m/>
    <m/>
    <m/>
  </r>
  <r>
    <n v="1337"/>
    <s v="Donor_100"/>
    <d v="2025-04-21T00:00:00"/>
    <s v="South"/>
    <x v="1"/>
    <m/>
    <n v="767"/>
    <s v="Cheque"/>
    <s v="2025-04"/>
    <d v="2025-06-14T00:00:00"/>
    <s v="ACTIVE"/>
    <m/>
    <m/>
    <m/>
    <m/>
  </r>
  <r>
    <n v="534"/>
    <s v="Donor_117"/>
    <d v="2024-09-21T00:00:00"/>
    <s v="East"/>
    <x v="1"/>
    <m/>
    <n v="1620"/>
    <s v="Bank Transfer"/>
    <s v="2024-09"/>
    <d v="2025-04-05T00:00:00"/>
    <s v="ACTIVE"/>
    <m/>
    <m/>
    <m/>
    <m/>
  </r>
  <r>
    <n v="1617"/>
    <s v="Donor_119"/>
    <d v="2024-08-10T00:00:00"/>
    <s v="Central"/>
    <x v="2"/>
    <m/>
    <n v="1774"/>
    <s v="UPI"/>
    <s v="2024-08"/>
    <d v="2025-05-18T00:00:00"/>
    <s v="ACTIVE"/>
    <m/>
    <m/>
    <m/>
    <m/>
  </r>
  <r>
    <n v="272"/>
    <s v="Donor_064"/>
    <d v="2024-09-02T00:00:00"/>
    <s v="West"/>
    <x v="3"/>
    <m/>
    <n v="0"/>
    <s v="Cheque"/>
    <s v="2024-09"/>
    <d v="2025-06-20T00:00:00"/>
    <s v="ACTIVE"/>
    <m/>
    <m/>
    <m/>
    <m/>
  </r>
  <r>
    <n v="549"/>
    <s v="Donor_060"/>
    <d v="2024-10-13T00:00:00"/>
    <s v="Central"/>
    <x v="3"/>
    <m/>
    <n v="11560"/>
    <s v="UPI"/>
    <s v="2024-10"/>
    <d v="2025-05-20T00:00:00"/>
    <s v="ACTIVE"/>
    <m/>
    <m/>
    <m/>
    <m/>
  </r>
  <r>
    <n v="669"/>
    <s v="Donor_023"/>
    <d v="2024-09-23T00:00:00"/>
    <s v="Central"/>
    <x v="5"/>
    <m/>
    <n v="2199"/>
    <s v="Cash"/>
    <s v="2024-09"/>
    <d v="2025-05-24T00:00:00"/>
    <s v="ACTIVE"/>
    <m/>
    <m/>
    <m/>
    <m/>
  </r>
  <r>
    <n v="1485"/>
    <s v="Donor_096"/>
    <d v="2024-03-02T00:00:00"/>
    <s v="West"/>
    <x v="0"/>
    <m/>
    <n v="2204"/>
    <s v="UPI"/>
    <s v="2024-03"/>
    <d v="2025-06-04T00:00:00"/>
    <s v="ACTIVE"/>
    <m/>
    <m/>
    <m/>
    <m/>
  </r>
  <r>
    <n v="454"/>
    <s v="Donor_048"/>
    <d v="2025-05-25T00:00:00"/>
    <s v="West"/>
    <x v="2"/>
    <m/>
    <n v="466"/>
    <s v="Credit Card"/>
    <s v="2025-05"/>
    <d v="2025-06-08T00:00:00"/>
    <s v="ACTIVE"/>
    <m/>
    <m/>
    <m/>
    <m/>
  </r>
  <r>
    <n v="607"/>
    <s v="Donor_086"/>
    <d v="2024-02-05T00:00:00"/>
    <s v="East"/>
    <x v="5"/>
    <m/>
    <n v="1424"/>
    <s v="Cheque"/>
    <s v="2024-02"/>
    <d v="2025-05-29T00:00:00"/>
    <s v="ACTIVE"/>
    <m/>
    <m/>
    <m/>
    <m/>
  </r>
  <r>
    <n v="1539"/>
    <s v="Donor_054"/>
    <d v="2024-12-11T00:00:00"/>
    <s v="North"/>
    <x v="3"/>
    <m/>
    <n v="2934"/>
    <s v="Bank Transfer"/>
    <s v="2024-12"/>
    <d v="2025-06-18T00:00:00"/>
    <s v="ACTIVE"/>
    <m/>
    <m/>
    <m/>
    <m/>
  </r>
  <r>
    <n v="1478"/>
    <s v="Donor_071"/>
    <d v="2025-05-19T00:00:00"/>
    <s v="South"/>
    <x v="3"/>
    <m/>
    <n v="663"/>
    <s v="Cash"/>
    <s v="2025-05"/>
    <d v="2025-06-08T00:00:00"/>
    <s v="ACTIVE"/>
    <m/>
    <m/>
    <m/>
    <m/>
  </r>
  <r>
    <n v="805"/>
    <s v="Donor_080"/>
    <d v="2024-07-13T00:00:00"/>
    <s v="NOT KNOWN"/>
    <x v="0"/>
    <m/>
    <n v="882"/>
    <s v="UPI"/>
    <s v="2024-07"/>
    <d v="2025-05-11T00:00:00"/>
    <s v="ACTIVE"/>
    <m/>
    <m/>
    <m/>
    <m/>
  </r>
  <r>
    <n v="599"/>
    <s v="Donor_009"/>
    <d v="2024-02-25T00:00:00"/>
    <s v="East"/>
    <x v="5"/>
    <m/>
    <n v="298"/>
    <s v="Cheque"/>
    <s v="2024-02"/>
    <d v="2025-05-15T00:00:00"/>
    <s v="ACTIVE"/>
    <m/>
    <m/>
    <m/>
    <m/>
  </r>
  <r>
    <n v="1428"/>
    <s v="Donor_005"/>
    <d v="2025-06-10T00:00:00"/>
    <s v="Central"/>
    <x v="2"/>
    <m/>
    <n v="8269"/>
    <s v="Credit Card"/>
    <s v="2025-06"/>
    <d v="2025-06-10T00:00:00"/>
    <s v="ACTIVE"/>
    <m/>
    <m/>
    <m/>
    <m/>
  </r>
  <r>
    <n v="936"/>
    <s v="Donor_073"/>
    <d v="2024-05-06T00:00:00"/>
    <s v="West"/>
    <x v="3"/>
    <m/>
    <n v="5718"/>
    <s v="Cash"/>
    <s v="2024-05"/>
    <d v="2025-06-23T00:00:00"/>
    <s v="ACTIVE"/>
    <m/>
    <m/>
    <m/>
    <m/>
  </r>
  <r>
    <n v="752"/>
    <s v="Donor_085"/>
    <d v="2024-07-17T00:00:00"/>
    <s v="Central"/>
    <x v="2"/>
    <m/>
    <n v="1239"/>
    <s v="Credit Card"/>
    <s v="2024-07"/>
    <d v="2025-06-22T00:00:00"/>
    <s v="ACTIVE"/>
    <m/>
    <m/>
    <m/>
    <m/>
  </r>
  <r>
    <n v="571"/>
    <s v="Donor_063"/>
    <d v="2025-01-02T00:00:00"/>
    <s v="North"/>
    <x v="2"/>
    <m/>
    <n v="328"/>
    <s v="Credit Card"/>
    <s v="2025-01"/>
    <d v="2025-04-20T00:00:00"/>
    <s v="ACTIVE"/>
    <m/>
    <m/>
    <m/>
    <m/>
  </r>
  <r>
    <n v="944"/>
    <s v="Donor_024"/>
    <d v="2024-09-22T00:00:00"/>
    <s v="North"/>
    <x v="3"/>
    <m/>
    <n v="703"/>
    <s v="Bank Transfer"/>
    <s v="2024-09"/>
    <d v="2025-06-07T00:00:00"/>
    <s v="ACTIVE"/>
    <m/>
    <m/>
    <m/>
    <m/>
  </r>
  <r>
    <n v="62"/>
    <s v="Donor_036"/>
    <d v="2024-12-14T00:00:00"/>
    <s v="Central"/>
    <x v="2"/>
    <m/>
    <n v="2556"/>
    <s v="Cheque"/>
    <s v="2024-12"/>
    <d v="2025-06-07T00:00:00"/>
    <s v="ACTIVE"/>
    <m/>
    <m/>
    <m/>
    <m/>
  </r>
  <r>
    <n v="1254"/>
    <s v="Donor_102"/>
    <d v="2024-09-09T00:00:00"/>
    <s v="Central"/>
    <x v="0"/>
    <m/>
    <n v="1258"/>
    <s v="Cheque"/>
    <s v="2024-09"/>
    <d v="2025-04-29T00:00:00"/>
    <s v="ACTIVE"/>
    <m/>
    <m/>
    <m/>
    <m/>
  </r>
  <r>
    <n v="537"/>
    <s v="Donor_062"/>
    <d v="2024-06-11T00:00:00"/>
    <s v="West"/>
    <x v="3"/>
    <m/>
    <n v="4416"/>
    <s v="Cheque"/>
    <s v="2024-06"/>
    <d v="2025-05-17T00:00:00"/>
    <s v="ACTIVE"/>
    <m/>
    <m/>
    <m/>
    <m/>
  </r>
  <r>
    <n v="1794"/>
    <s v="Donor_075"/>
    <d v="2024-11-06T00:00:00"/>
    <s v="East"/>
    <x v="5"/>
    <m/>
    <n v="2656"/>
    <s v="Cash"/>
    <s v="2024-11"/>
    <d v="2025-04-29T00:00:00"/>
    <s v="ACTIVE"/>
    <m/>
    <m/>
    <m/>
    <m/>
  </r>
  <r>
    <n v="1700"/>
    <s v="Donor_110"/>
    <d v="2024-09-26T00:00:00"/>
    <s v="South"/>
    <x v="2"/>
    <m/>
    <n v="623"/>
    <s v="UPI"/>
    <s v="2024-09"/>
    <d v="2025-06-04T00:00:00"/>
    <s v="ACTIVE"/>
    <m/>
    <m/>
    <m/>
    <m/>
  </r>
  <r>
    <n v="1234"/>
    <s v="Donor_068"/>
    <d v="2024-11-14T00:00:00"/>
    <s v="North"/>
    <x v="2"/>
    <m/>
    <n v="268"/>
    <s v="Cash"/>
    <s v="2024-11"/>
    <d v="2025-05-16T00:00:00"/>
    <s v="ACTIVE"/>
    <m/>
    <m/>
    <m/>
    <m/>
  </r>
  <r>
    <n v="245"/>
    <s v="Donor_067"/>
    <d v="2024-09-06T00:00:00"/>
    <s v="South"/>
    <x v="0"/>
    <m/>
    <n v="1399"/>
    <s v="Cash"/>
    <s v="2024-09"/>
    <d v="2025-06-15T00:00:00"/>
    <s v="ACTIVE"/>
    <m/>
    <m/>
    <m/>
    <m/>
  </r>
  <r>
    <n v="26"/>
    <s v="Donor_080"/>
    <d v="2024-02-10T00:00:00"/>
    <s v="North"/>
    <x v="1"/>
    <m/>
    <n v="9265"/>
    <s v="Bank Transfer"/>
    <s v="2024-02"/>
    <d v="2025-05-11T00:00:00"/>
    <s v="ACTIVE"/>
    <m/>
    <m/>
    <m/>
    <m/>
  </r>
  <r>
    <n v="1514"/>
    <s v="Donor_011"/>
    <d v="2024-06-12T00:00:00"/>
    <s v="Central"/>
    <x v="4"/>
    <m/>
    <n v="9907"/>
    <s v="Cash"/>
    <s v="2024-06"/>
    <d v="2025-06-04T00:00:00"/>
    <s v="ACTIVE"/>
    <m/>
    <m/>
    <m/>
    <m/>
  </r>
  <r>
    <n v="223"/>
    <s v="Donor_012"/>
    <d v="2024-02-02T00:00:00"/>
    <s v="West"/>
    <x v="1"/>
    <m/>
    <n v="766"/>
    <s v="UPI"/>
    <s v="2024-02"/>
    <d v="2025-06-23T00:00:00"/>
    <s v="ACTIVE"/>
    <m/>
    <m/>
    <m/>
    <m/>
  </r>
  <r>
    <n v="1310"/>
    <s v="Donor_017"/>
    <d v="2024-12-16T00:00:00"/>
    <s v="East"/>
    <x v="2"/>
    <m/>
    <n v="2552"/>
    <s v="Cash"/>
    <s v="2024-12"/>
    <d v="2025-02-02T00:00:00"/>
    <s v="LAPSED"/>
    <m/>
    <m/>
    <m/>
    <m/>
  </r>
  <r>
    <n v="106"/>
    <s v="Donor_017"/>
    <d v="2024-05-28T00:00:00"/>
    <s v="Central"/>
    <x v="5"/>
    <m/>
    <n v="1266"/>
    <s v="UPI"/>
    <s v="2024-05"/>
    <d v="2025-02-02T00:00:00"/>
    <s v="LAPSED"/>
    <m/>
    <m/>
    <m/>
    <m/>
  </r>
  <r>
    <n v="674"/>
    <s v="Donor_038"/>
    <d v="2024-01-30T00:00:00"/>
    <s v="East"/>
    <x v="4"/>
    <m/>
    <n v="349"/>
    <s v="Bank Transfer"/>
    <s v="2024-01"/>
    <d v="2025-04-26T00:00:00"/>
    <s v="ACTIVE"/>
    <m/>
    <m/>
    <m/>
    <m/>
  </r>
  <r>
    <n v="643"/>
    <s v="Donor_061"/>
    <d v="2025-04-26T00:00:00"/>
    <s v="Central"/>
    <x v="4"/>
    <m/>
    <n v="8223"/>
    <s v="Bank Transfer"/>
    <s v="2025-04"/>
    <d v="2025-05-21T00:00:00"/>
    <s v="ACTIVE"/>
    <m/>
    <m/>
    <m/>
    <m/>
  </r>
  <r>
    <n v="1153"/>
    <s v="Donor_076"/>
    <d v="2025-04-16T00:00:00"/>
    <s v="West"/>
    <x v="2"/>
    <m/>
    <n v="5083"/>
    <s v="Cash"/>
    <s v="2025-04"/>
    <d v="2025-06-08T00:00:00"/>
    <s v="ACTIVE"/>
    <m/>
    <m/>
    <m/>
    <m/>
  </r>
  <r>
    <n v="666"/>
    <s v="Donor_106"/>
    <d v="2024-04-12T00:00:00"/>
    <s v="South"/>
    <x v="2"/>
    <m/>
    <n v="2506"/>
    <s v="Bank Transfer"/>
    <s v="2024-04"/>
    <d v="2025-06-11T00:00:00"/>
    <s v="ACTIVE"/>
    <m/>
    <m/>
    <m/>
    <m/>
  </r>
  <r>
    <n v="510"/>
    <s v="Donor_007"/>
    <d v="2024-07-31T00:00:00"/>
    <s v="South"/>
    <x v="4"/>
    <m/>
    <n v="531"/>
    <s v="UPI"/>
    <s v="2024-07"/>
    <d v="2025-06-21T00:00:00"/>
    <s v="ACTIVE"/>
    <m/>
    <m/>
    <m/>
    <m/>
  </r>
  <r>
    <n v="132"/>
    <s v="Donor_047"/>
    <d v="2024-06-11T00:00:00"/>
    <s v="East"/>
    <x v="5"/>
    <m/>
    <n v="723"/>
    <s v="Bank Transfer"/>
    <s v="2024-06"/>
    <d v="2025-05-04T00:00:00"/>
    <s v="ACTIVE"/>
    <m/>
    <m/>
    <m/>
    <m/>
  </r>
  <r>
    <n v="1277"/>
    <s v="Donor_001"/>
    <d v="2024-10-24T00:00:00"/>
    <s v="South"/>
    <x v="2"/>
    <m/>
    <n v="5969"/>
    <s v="Cash"/>
    <s v="2024-10"/>
    <d v="2025-05-18T00:00:00"/>
    <s v="ACTIVE"/>
    <m/>
    <m/>
    <m/>
    <m/>
  </r>
  <r>
    <n v="445"/>
    <s v="Donor_057"/>
    <d v="2024-10-17T00:00:00"/>
    <s v="South"/>
    <x v="4"/>
    <m/>
    <n v="11354"/>
    <s v="UPI"/>
    <s v="2024-10"/>
    <d v="2025-03-30T00:00:00"/>
    <s v="ACTIVE"/>
    <m/>
    <m/>
    <m/>
    <m/>
  </r>
  <r>
    <n v="1521"/>
    <s v="Donor_064"/>
    <d v="2025-04-30T00:00:00"/>
    <s v="South"/>
    <x v="0"/>
    <m/>
    <n v="1902"/>
    <s v="Credit Card"/>
    <s v="2025-04"/>
    <d v="2025-06-20T00:00:00"/>
    <s v="ACTIVE"/>
    <m/>
    <m/>
    <m/>
    <m/>
  </r>
  <r>
    <n v="509"/>
    <s v="Donor_059"/>
    <d v="2025-05-02T00:00:00"/>
    <s v="West"/>
    <x v="1"/>
    <m/>
    <n v="1040"/>
    <s v="UPI"/>
    <s v="2025-05"/>
    <d v="2025-06-16T00:00:00"/>
    <s v="ACTIVE"/>
    <m/>
    <m/>
    <m/>
    <m/>
  </r>
  <r>
    <n v="1216"/>
    <s v="Donor_022"/>
    <d v="2025-06-21T00:00:00"/>
    <s v="South"/>
    <x v="3"/>
    <m/>
    <n v="470"/>
    <s v="Credit Card"/>
    <s v="2025-06"/>
    <d v="2025-06-21T00:00:00"/>
    <s v="ACTIVE"/>
    <m/>
    <m/>
    <m/>
    <m/>
  </r>
  <r>
    <n v="1589"/>
    <s v="Donor_088"/>
    <d v="2024-12-05T00:00:00"/>
    <s v="West"/>
    <x v="0"/>
    <m/>
    <n v="406"/>
    <s v="UPI"/>
    <s v="2024-12"/>
    <d v="2025-05-21T00:00:00"/>
    <s v="ACTIVE"/>
    <m/>
    <m/>
    <m/>
    <m/>
  </r>
  <r>
    <n v="882"/>
    <s v="Donor_016"/>
    <d v="2024-09-29T00:00:00"/>
    <s v="West"/>
    <x v="1"/>
    <m/>
    <n v="9982"/>
    <s v="Credit Card"/>
    <s v="2024-09"/>
    <d v="2025-06-17T00:00:00"/>
    <s v="ACTIVE"/>
    <m/>
    <m/>
    <m/>
    <m/>
  </r>
  <r>
    <n v="76"/>
    <s v="Donor_074"/>
    <d v="2024-10-02T00:00:00"/>
    <s v="North"/>
    <x v="4"/>
    <m/>
    <n v="302"/>
    <s v="Cash"/>
    <s v="2024-10"/>
    <d v="2025-06-18T00:00:00"/>
    <s v="ACTIVE"/>
    <m/>
    <m/>
    <m/>
    <m/>
  </r>
  <r>
    <n v="37"/>
    <s v="Donor_083"/>
    <d v="2024-12-25T00:00:00"/>
    <s v="Central"/>
    <x v="1"/>
    <m/>
    <n v="9325"/>
    <s v="UPI"/>
    <s v="2024-12"/>
    <d v="2025-06-21T00:00:00"/>
    <s v="ACTIVE"/>
    <m/>
    <m/>
    <m/>
    <m/>
  </r>
  <r>
    <n v="1605"/>
    <s v="Donor_023"/>
    <d v="2024-10-21T00:00:00"/>
    <s v="Central"/>
    <x v="4"/>
    <m/>
    <n v="2958"/>
    <s v="UPI"/>
    <s v="2024-10"/>
    <d v="2025-05-24T00:00:00"/>
    <s v="ACTIVE"/>
    <m/>
    <m/>
    <m/>
    <m/>
  </r>
  <r>
    <n v="58"/>
    <s v="Donor_102"/>
    <d v="2024-05-03T00:00:00"/>
    <s v="Central"/>
    <x v="3"/>
    <m/>
    <n v="0"/>
    <s v="Bank Transfer"/>
    <s v="2024-05"/>
    <d v="2025-04-29T00:00:00"/>
    <s v="ACTIVE"/>
    <m/>
    <m/>
    <m/>
    <m/>
  </r>
  <r>
    <n v="197"/>
    <s v="Donor_058"/>
    <d v="2025-06-22T00:00:00"/>
    <s v="Central"/>
    <x v="2"/>
    <m/>
    <n v="4156"/>
    <s v="Cheque"/>
    <s v="2025-06"/>
    <d v="2025-06-22T00:00:00"/>
    <s v="ACTIVE"/>
    <m/>
    <m/>
    <m/>
    <m/>
  </r>
  <r>
    <n v="1501"/>
    <s v="Donor_081"/>
    <d v="2025-01-10T00:00:00"/>
    <s v="East"/>
    <x v="2"/>
    <m/>
    <n v="646"/>
    <s v="UPI"/>
    <s v="2025-01"/>
    <d v="2025-06-07T00:00:00"/>
    <s v="ACTIVE"/>
    <m/>
    <m/>
    <m/>
    <m/>
  </r>
  <r>
    <n v="904"/>
    <s v="Donor_073"/>
    <d v="2024-07-12T00:00:00"/>
    <s v="West"/>
    <x v="2"/>
    <m/>
    <n v="1589"/>
    <s v="UPI"/>
    <s v="2024-07"/>
    <d v="2025-06-23T00:00:00"/>
    <s v="ACTIVE"/>
    <m/>
    <m/>
    <m/>
    <m/>
  </r>
  <r>
    <n v="1040"/>
    <s v="Donor_010"/>
    <d v="2024-03-19T00:00:00"/>
    <s v="East"/>
    <x v="0"/>
    <m/>
    <n v="1996"/>
    <s v="Bank Transfer"/>
    <s v="2024-03"/>
    <d v="2025-06-01T00:00:00"/>
    <s v="ACTIVE"/>
    <m/>
    <m/>
    <m/>
    <m/>
  </r>
  <r>
    <n v="322"/>
    <s v="Donor_059"/>
    <d v="2025-06-16T00:00:00"/>
    <s v="North"/>
    <x v="2"/>
    <m/>
    <n v="11127"/>
    <s v="UPI"/>
    <s v="2025-06"/>
    <d v="2025-06-16T00:00:00"/>
    <s v="ACTIVE"/>
    <m/>
    <m/>
    <m/>
    <m/>
  </r>
  <r>
    <n v="1659"/>
    <s v="Donor_013"/>
    <d v="2025-01-26T00:00:00"/>
    <s v="South"/>
    <x v="4"/>
    <m/>
    <n v="274"/>
    <s v="UPI"/>
    <s v="2025-01"/>
    <d v="2025-04-28T00:00:00"/>
    <s v="ACTIVE"/>
    <m/>
    <m/>
    <m/>
    <m/>
  </r>
  <r>
    <n v="968"/>
    <s v="Donor_102"/>
    <d v="2024-06-18T00:00:00"/>
    <s v="South"/>
    <x v="2"/>
    <m/>
    <n v="292"/>
    <s v="Cash"/>
    <s v="2024-06"/>
    <d v="2025-04-29T00:00:00"/>
    <s v="ACTIVE"/>
    <m/>
    <m/>
    <m/>
    <m/>
  </r>
  <r>
    <n v="478"/>
    <s v="Donor_011"/>
    <d v="2025-01-25T00:00:00"/>
    <s v="North"/>
    <x v="5"/>
    <m/>
    <n v="5760"/>
    <s v="Cash"/>
    <s v="2025-01"/>
    <d v="2025-06-04T00:00:00"/>
    <s v="ACTIVE"/>
    <m/>
    <m/>
    <m/>
    <m/>
  </r>
  <r>
    <n v="87"/>
    <s v="Donor_002"/>
    <d v="2025-04-12T00:00:00"/>
    <s v="South"/>
    <x v="1"/>
    <m/>
    <n v="1245"/>
    <s v="Bank Transfer"/>
    <s v="2025-04"/>
    <d v="2025-04-12T00:00:00"/>
    <s v="ACTIVE"/>
    <m/>
    <m/>
    <m/>
    <m/>
  </r>
  <r>
    <n v="1672"/>
    <s v="Donor_024"/>
    <d v="2025-02-11T00:00:00"/>
    <s v="East"/>
    <x v="2"/>
    <m/>
    <n v="577"/>
    <s v="Cash"/>
    <s v="2025-02"/>
    <d v="2025-06-07T00:00:00"/>
    <s v="ACTIVE"/>
    <m/>
    <m/>
    <m/>
    <m/>
  </r>
  <r>
    <n v="562"/>
    <s v="Donor_091"/>
    <d v="2024-05-04T00:00:00"/>
    <s v="North"/>
    <x v="3"/>
    <m/>
    <n v="1426"/>
    <s v="Cheque"/>
    <s v="2024-05"/>
    <d v="2025-05-16T00:00:00"/>
    <s v="ACTIVE"/>
    <m/>
    <m/>
    <m/>
    <m/>
  </r>
  <r>
    <n v="772"/>
    <s v="Donor_120"/>
    <d v="2024-12-12T00:00:00"/>
    <s v="South"/>
    <x v="5"/>
    <m/>
    <n v="269"/>
    <s v="Bank Transfer"/>
    <s v="2024-12"/>
    <d v="2025-06-19T00:00:00"/>
    <s v="ACTIVE"/>
    <m/>
    <m/>
    <m/>
    <m/>
  </r>
  <r>
    <n v="335"/>
    <s v="Donor_034"/>
    <d v="2024-10-10T00:00:00"/>
    <s v="East"/>
    <x v="4"/>
    <m/>
    <n v="1510"/>
    <s v="Credit Card"/>
    <s v="2024-10"/>
    <d v="2025-06-21T00:00:00"/>
    <s v="ACTIVE"/>
    <m/>
    <m/>
    <m/>
    <m/>
  </r>
  <r>
    <n v="1118"/>
    <s v="Donor_019"/>
    <d v="2025-05-28T00:00:00"/>
    <s v="East"/>
    <x v="3"/>
    <m/>
    <n v="1466"/>
    <s v="Bank Transfer"/>
    <s v="2025-05"/>
    <d v="2025-05-28T00:00:00"/>
    <s v="ACTIVE"/>
    <m/>
    <m/>
    <m/>
    <m/>
  </r>
  <r>
    <n v="1253"/>
    <s v="Donor_091"/>
    <d v="2024-09-24T00:00:00"/>
    <s v="East"/>
    <x v="5"/>
    <m/>
    <n v="711"/>
    <s v="Credit Card"/>
    <s v="2024-09"/>
    <d v="2025-05-16T00:00:00"/>
    <s v="ACTIVE"/>
    <m/>
    <m/>
    <m/>
    <m/>
  </r>
  <r>
    <n v="1645"/>
    <s v="Donor_048"/>
    <d v="2024-12-22T00:00:00"/>
    <s v="East"/>
    <x v="1"/>
    <m/>
    <n v="1767"/>
    <s v="Bank Transfer"/>
    <s v="2024-12"/>
    <d v="2025-06-08T00:00:00"/>
    <s v="ACTIVE"/>
    <m/>
    <m/>
    <m/>
    <m/>
  </r>
  <r>
    <n v="1098"/>
    <s v="Donor_118"/>
    <d v="2024-03-24T00:00:00"/>
    <s v="North"/>
    <x v="1"/>
    <m/>
    <n v="950"/>
    <s v="UPI"/>
    <s v="2024-03"/>
    <d v="2025-04-19T00:00:00"/>
    <s v="ACTIVE"/>
    <m/>
    <m/>
    <m/>
    <m/>
  </r>
  <r>
    <n v="709"/>
    <s v="Donor_101"/>
    <d v="2024-12-14T00:00:00"/>
    <s v="East"/>
    <x v="3"/>
    <m/>
    <n v="9070"/>
    <s v="Credit Card"/>
    <s v="2024-12"/>
    <d v="2025-05-11T00:00:00"/>
    <s v="ACTIVE"/>
    <m/>
    <m/>
    <m/>
    <m/>
  </r>
  <r>
    <n v="1166"/>
    <s v="Donor_111"/>
    <d v="2025-04-26T00:00:00"/>
    <s v="West"/>
    <x v="3"/>
    <m/>
    <n v="887"/>
    <s v="Cheque"/>
    <s v="2025-04"/>
    <d v="2025-04-26T00:00:00"/>
    <s v="ACTIVE"/>
    <m/>
    <m/>
    <m/>
    <m/>
  </r>
  <r>
    <n v="1406"/>
    <s v="Donor_109"/>
    <d v="2025-01-28T00:00:00"/>
    <s v="Central"/>
    <x v="1"/>
    <m/>
    <n v="508"/>
    <s v="Bank Transfer"/>
    <s v="2025-01"/>
    <d v="2025-06-22T00:00:00"/>
    <s v="ACTIVE"/>
    <m/>
    <m/>
    <m/>
    <m/>
  </r>
  <r>
    <n v="191"/>
    <s v="Donor_064"/>
    <d v="2025-06-20T00:00:00"/>
    <s v="South"/>
    <x v="0"/>
    <m/>
    <n v="273"/>
    <s v="UPI"/>
    <s v="2025-06"/>
    <d v="2025-06-20T00:00:00"/>
    <s v="ACTIVE"/>
    <m/>
    <m/>
    <m/>
    <m/>
  </r>
  <r>
    <n v="1217"/>
    <s v="Donor_110"/>
    <d v="2025-03-01T00:00:00"/>
    <s v="Central"/>
    <x v="1"/>
    <m/>
    <n v="1714"/>
    <s v="UPI"/>
    <s v="2025-03"/>
    <d v="2025-06-04T00:00:00"/>
    <s v="ACTIVE"/>
    <m/>
    <m/>
    <m/>
    <m/>
  </r>
  <r>
    <n v="1480"/>
    <s v="Donor_052"/>
    <d v="2024-04-27T00:00:00"/>
    <s v="Central"/>
    <x v="4"/>
    <m/>
    <n v="2691"/>
    <s v="Cheque"/>
    <s v="2024-04"/>
    <d v="2025-06-13T00:00:00"/>
    <s v="ACTIVE"/>
    <m/>
    <m/>
    <m/>
    <m/>
  </r>
  <r>
    <n v="539"/>
    <s v="Donor_009"/>
    <d v="2025-02-19T00:00:00"/>
    <s v="Central"/>
    <x v="3"/>
    <m/>
    <n v="698"/>
    <s v="UPI"/>
    <s v="2025-02"/>
    <d v="2025-05-15T00:00:00"/>
    <s v="ACTIVE"/>
    <m/>
    <m/>
    <m/>
    <m/>
  </r>
  <r>
    <n v="1071"/>
    <s v="Donor_037"/>
    <d v="2024-12-21T00:00:00"/>
    <s v="South"/>
    <x v="3"/>
    <m/>
    <n v="2274"/>
    <s v="Cash"/>
    <s v="2024-12"/>
    <d v="2025-05-23T00:00:00"/>
    <s v="ACTIVE"/>
    <m/>
    <m/>
    <m/>
    <m/>
  </r>
  <r>
    <n v="1302"/>
    <s v="Donor_090"/>
    <d v="2025-04-25T00:00:00"/>
    <s v="East"/>
    <x v="2"/>
    <m/>
    <n v="2381"/>
    <s v="Credit Card"/>
    <s v="2025-04"/>
    <d v="2025-04-25T00:00:00"/>
    <s v="ACTIVE"/>
    <m/>
    <m/>
    <m/>
    <m/>
  </r>
  <r>
    <n v="1068"/>
    <s v="Donor_115"/>
    <d v="2024-06-04T00:00:00"/>
    <s v="North"/>
    <x v="0"/>
    <m/>
    <n v="5348"/>
    <s v="Cash"/>
    <s v="2024-06"/>
    <d v="2025-06-20T00:00:00"/>
    <s v="ACTIVE"/>
    <m/>
    <m/>
    <m/>
    <m/>
  </r>
  <r>
    <n v="1402"/>
    <s v="Donor_119"/>
    <d v="2024-09-30T00:00:00"/>
    <s v="Central"/>
    <x v="5"/>
    <m/>
    <n v="1721"/>
    <s v="Cheque"/>
    <s v="2024-09"/>
    <d v="2025-05-18T00:00:00"/>
    <s v="ACTIVE"/>
    <m/>
    <m/>
    <m/>
    <m/>
  </r>
  <r>
    <n v="916"/>
    <s v="Donor_050"/>
    <d v="2024-09-08T00:00:00"/>
    <s v="West"/>
    <x v="0"/>
    <m/>
    <n v="305"/>
    <s v="Cash"/>
    <s v="2024-09"/>
    <d v="2025-06-18T00:00:00"/>
    <s v="ACTIVE"/>
    <m/>
    <m/>
    <m/>
    <m/>
  </r>
  <r>
    <n v="419"/>
    <s v="Donor_021"/>
    <d v="2024-02-23T00:00:00"/>
    <s v="West"/>
    <x v="2"/>
    <m/>
    <n v="561"/>
    <s v="Credit Card"/>
    <s v="2024-02"/>
    <d v="2025-04-05T00:00:00"/>
    <s v="ACTIVE"/>
    <m/>
    <m/>
    <m/>
    <m/>
  </r>
  <r>
    <n v="1195"/>
    <s v="Donor_076"/>
    <d v="2024-06-03T00:00:00"/>
    <s v="East"/>
    <x v="0"/>
    <m/>
    <n v="2049"/>
    <s v="Cash"/>
    <s v="2024-06"/>
    <d v="2025-06-08T00:00:00"/>
    <s v="ACTIVE"/>
    <m/>
    <m/>
    <m/>
    <m/>
  </r>
  <r>
    <n v="1694"/>
    <s v="Donor_110"/>
    <d v="2024-05-13T00:00:00"/>
    <s v="South"/>
    <x v="1"/>
    <m/>
    <n v="5401"/>
    <s v="UPI"/>
    <s v="2024-05"/>
    <d v="2025-06-04T00:00:00"/>
    <s v="ACTIVE"/>
    <m/>
    <m/>
    <m/>
    <m/>
  </r>
  <r>
    <n v="1667"/>
    <s v="Donor_061"/>
    <d v="2025-03-04T00:00:00"/>
    <s v="East"/>
    <x v="1"/>
    <m/>
    <n v="1132"/>
    <s v="Credit Card"/>
    <s v="2025-03"/>
    <d v="2025-05-21T00:00:00"/>
    <s v="ACTIVE"/>
    <m/>
    <m/>
    <m/>
    <m/>
  </r>
  <r>
    <n v="574"/>
    <s v="Donor_063"/>
    <d v="2024-05-24T00:00:00"/>
    <s v="North"/>
    <x v="1"/>
    <m/>
    <n v="449"/>
    <s v="Credit Card"/>
    <s v="2024-05"/>
    <d v="2025-04-20T00:00:00"/>
    <s v="ACTIVE"/>
    <m/>
    <m/>
    <m/>
    <m/>
  </r>
  <r>
    <n v="921"/>
    <s v="Donor_011"/>
    <d v="2024-05-24T00:00:00"/>
    <s v="South"/>
    <x v="3"/>
    <m/>
    <n v="514"/>
    <s v="Cash"/>
    <s v="2024-05"/>
    <d v="2025-06-04T00:00:00"/>
    <s v="ACTIVE"/>
    <m/>
    <m/>
    <m/>
    <m/>
  </r>
  <r>
    <n v="1540"/>
    <s v="Donor_081"/>
    <d v="2025-01-10T00:00:00"/>
    <s v="North"/>
    <x v="5"/>
    <m/>
    <n v="1994"/>
    <s v="Cash"/>
    <s v="2025-01"/>
    <d v="2025-06-07T00:00:00"/>
    <s v="ACTIVE"/>
    <m/>
    <m/>
    <m/>
    <m/>
  </r>
  <r>
    <n v="333"/>
    <s v="Donor_055"/>
    <d v="2024-10-08T00:00:00"/>
    <s v="West"/>
    <x v="5"/>
    <m/>
    <n v="270"/>
    <s v="Cash"/>
    <s v="2024-10"/>
    <d v="2025-05-11T00:00:00"/>
    <s v="ACTIVE"/>
    <m/>
    <m/>
    <m/>
    <m/>
  </r>
  <r>
    <n v="852"/>
    <s v="Donor_031"/>
    <d v="2024-05-01T00:00:00"/>
    <s v="West"/>
    <x v="1"/>
    <m/>
    <n v="2688"/>
    <s v="Credit Card"/>
    <s v="2024-05"/>
    <d v="2025-05-17T00:00:00"/>
    <s v="ACTIVE"/>
    <m/>
    <m/>
    <m/>
    <m/>
  </r>
  <r>
    <n v="811"/>
    <s v="Donor_119"/>
    <d v="2024-08-31T00:00:00"/>
    <s v="Central"/>
    <x v="1"/>
    <m/>
    <n v="4269"/>
    <s v="Bank Transfer"/>
    <s v="2024-08"/>
    <d v="2025-05-18T00:00:00"/>
    <s v="ACTIVE"/>
    <m/>
    <m/>
    <m/>
    <m/>
  </r>
  <r>
    <n v="736"/>
    <s v="Donor_111"/>
    <d v="2024-01-25T00:00:00"/>
    <s v="Central"/>
    <x v="5"/>
    <m/>
    <n v="677"/>
    <s v="UPI"/>
    <s v="2024-01"/>
    <d v="2025-04-26T00:00:00"/>
    <s v="ACTIVE"/>
    <m/>
    <m/>
    <m/>
    <m/>
  </r>
  <r>
    <n v="902"/>
    <s v="Donor_093"/>
    <d v="2024-04-18T00:00:00"/>
    <s v="West"/>
    <x v="2"/>
    <m/>
    <n v="2870"/>
    <s v="Cheque"/>
    <s v="2024-04"/>
    <d v="2025-03-24T00:00:00"/>
    <s v="LAPSED"/>
    <m/>
    <m/>
    <m/>
    <m/>
  </r>
  <r>
    <n v="1631"/>
    <s v="Donor_019"/>
    <d v="2024-04-27T00:00:00"/>
    <s v="West"/>
    <x v="3"/>
    <m/>
    <n v="1639"/>
    <s v="UPI"/>
    <s v="2024-04"/>
    <d v="2025-05-28T00:00:00"/>
    <s v="ACTIVE"/>
    <m/>
    <m/>
    <m/>
    <m/>
  </r>
  <r>
    <n v="575"/>
    <s v="Donor_059"/>
    <d v="2024-04-09T00:00:00"/>
    <s v="Central"/>
    <x v="4"/>
    <m/>
    <n v="1127"/>
    <s v="UPI"/>
    <s v="2024-04"/>
    <d v="2025-06-16T00:00:00"/>
    <s v="ACTIVE"/>
    <m/>
    <m/>
    <m/>
    <m/>
  </r>
  <r>
    <n v="1558"/>
    <s v="Donor_100"/>
    <d v="2024-07-15T00:00:00"/>
    <s v="East"/>
    <x v="1"/>
    <m/>
    <n v="8596"/>
    <s v="Cheque"/>
    <s v="2024-07"/>
    <d v="2025-06-14T00:00:00"/>
    <s v="ACTIVE"/>
    <m/>
    <m/>
    <m/>
    <m/>
  </r>
  <r>
    <n v="1329"/>
    <s v="Donor_104"/>
    <d v="2025-01-17T00:00:00"/>
    <s v="South"/>
    <x v="5"/>
    <m/>
    <n v="248"/>
    <s v="Cash"/>
    <s v="2025-01"/>
    <d v="2025-05-08T00:00:00"/>
    <s v="ACTIVE"/>
    <m/>
    <m/>
    <m/>
    <m/>
  </r>
  <r>
    <n v="1585"/>
    <s v="Donor_004"/>
    <d v="2024-07-10T00:00:00"/>
    <s v="Central"/>
    <x v="1"/>
    <m/>
    <n v="2380"/>
    <s v="UPI"/>
    <s v="2024-07"/>
    <d v="2025-05-26T00:00:00"/>
    <s v="ACTIVE"/>
    <m/>
    <m/>
    <m/>
    <m/>
  </r>
  <r>
    <n v="1652"/>
    <s v="Donor_026"/>
    <d v="2024-12-07T00:00:00"/>
    <s v="South"/>
    <x v="0"/>
    <m/>
    <n v="647"/>
    <s v="Cash"/>
    <s v="2024-12"/>
    <d v="2025-05-28T00:00:00"/>
    <s v="ACTIVE"/>
    <m/>
    <m/>
    <m/>
    <m/>
  </r>
  <r>
    <n v="1464"/>
    <s v="Donor_119"/>
    <d v="2025-05-05T00:00:00"/>
    <s v="East"/>
    <x v="3"/>
    <m/>
    <n v="5707"/>
    <s v="Cash"/>
    <s v="2025-05"/>
    <d v="2025-05-18T00:00:00"/>
    <s v="ACTIVE"/>
    <m/>
    <m/>
    <m/>
    <m/>
  </r>
  <r>
    <n v="1045"/>
    <s v="Donor_049"/>
    <d v="2024-07-29T00:00:00"/>
    <s v="South"/>
    <x v="2"/>
    <m/>
    <n v="760"/>
    <s v="Bank Transfer"/>
    <s v="2024-07"/>
    <d v="2025-06-19T00:00:00"/>
    <s v="ACTIVE"/>
    <m/>
    <m/>
    <m/>
    <m/>
  </r>
  <r>
    <n v="1601"/>
    <s v="Donor_090"/>
    <d v="2024-05-04T00:00:00"/>
    <s v="Central"/>
    <x v="0"/>
    <m/>
    <n v="307"/>
    <s v="Cheque"/>
    <s v="2024-05"/>
    <d v="2025-04-25T00:00:00"/>
    <s v="ACTIVE"/>
    <m/>
    <m/>
    <m/>
    <m/>
  </r>
  <r>
    <n v="1419"/>
    <s v="Donor_068"/>
    <d v="2025-04-16T00:00:00"/>
    <s v="West"/>
    <x v="2"/>
    <m/>
    <n v="765"/>
    <s v="Cash"/>
    <s v="2025-04"/>
    <d v="2025-05-16T00:00:00"/>
    <s v="ACTIVE"/>
    <m/>
    <m/>
    <m/>
    <m/>
  </r>
  <r>
    <n v="9"/>
    <s v="Donor_019"/>
    <d v="2025-04-14T00:00:00"/>
    <s v="East"/>
    <x v="4"/>
    <m/>
    <n v="2196"/>
    <s v="Cheque"/>
    <s v="2025-04"/>
    <d v="2025-05-28T00:00:00"/>
    <s v="ACTIVE"/>
    <m/>
    <m/>
    <m/>
    <m/>
  </r>
  <r>
    <n v="1035"/>
    <s v="Donor_029"/>
    <d v="2025-06-03T00:00:00"/>
    <s v="East"/>
    <x v="1"/>
    <m/>
    <n v="276"/>
    <s v="Credit Card"/>
    <s v="2025-06"/>
    <d v="2025-06-05T00:00:00"/>
    <s v="ACTIVE"/>
    <m/>
    <m/>
    <m/>
    <m/>
  </r>
  <r>
    <n v="1677"/>
    <s v="Donor_012"/>
    <d v="2024-03-05T00:00:00"/>
    <s v="East"/>
    <x v="3"/>
    <m/>
    <n v="2399"/>
    <s v="UPI"/>
    <s v="2024-03"/>
    <d v="2025-06-23T00:00:00"/>
    <s v="ACTIVE"/>
    <m/>
    <m/>
    <m/>
    <m/>
  </r>
  <r>
    <n v="1561"/>
    <s v="Donor_007"/>
    <d v="2024-01-27T00:00:00"/>
    <s v="North"/>
    <x v="1"/>
    <m/>
    <n v="8224"/>
    <s v="Bank Transfer"/>
    <s v="2024-01"/>
    <d v="2025-06-21T00:00:00"/>
    <s v="ACTIVE"/>
    <m/>
    <m/>
    <m/>
    <m/>
  </r>
  <r>
    <n v="1222"/>
    <s v="Donor_042"/>
    <d v="2025-02-10T00:00:00"/>
    <s v="North"/>
    <x v="0"/>
    <m/>
    <n v="298"/>
    <s v="Bank Transfer"/>
    <s v="2025-02"/>
    <d v="2025-02-10T00:00:00"/>
    <s v="LAPSED"/>
    <m/>
    <m/>
    <m/>
    <m/>
  </r>
  <r>
    <n v="1622"/>
    <s v="Donor_024"/>
    <d v="2024-04-29T00:00:00"/>
    <s v="West"/>
    <x v="0"/>
    <m/>
    <n v="240"/>
    <s v="Cheque"/>
    <s v="2024-04"/>
    <d v="2025-06-07T00:00:00"/>
    <s v="ACTIVE"/>
    <m/>
    <m/>
    <m/>
    <m/>
  </r>
  <r>
    <n v="305"/>
    <s v="Donor_010"/>
    <d v="2025-01-08T00:00:00"/>
    <s v="East"/>
    <x v="2"/>
    <m/>
    <n v="776"/>
    <s v="Bank Transfer"/>
    <s v="2025-01"/>
    <d v="2025-06-01T00:00:00"/>
    <s v="ACTIVE"/>
    <m/>
    <m/>
    <m/>
    <m/>
  </r>
  <r>
    <n v="1368"/>
    <s v="Donor_092"/>
    <d v="2024-07-11T00:00:00"/>
    <s v="North"/>
    <x v="0"/>
    <m/>
    <n v="998"/>
    <s v="UPI"/>
    <s v="2024-07"/>
    <d v="2025-05-07T00:00:00"/>
    <s v="ACTIVE"/>
    <m/>
    <m/>
    <m/>
    <m/>
  </r>
  <r>
    <n v="1571"/>
    <s v="Donor_006"/>
    <d v="2025-06-06T00:00:00"/>
    <s v="North"/>
    <x v="1"/>
    <m/>
    <n v="2285"/>
    <s v="UPI"/>
    <s v="2025-06"/>
    <d v="2025-06-06T00:00:00"/>
    <s v="ACTIVE"/>
    <m/>
    <m/>
    <m/>
    <m/>
  </r>
  <r>
    <n v="75"/>
    <s v="Donor_095"/>
    <d v="2025-03-18T00:00:00"/>
    <s v="East"/>
    <x v="0"/>
    <m/>
    <n v="2026"/>
    <s v="Credit Card"/>
    <s v="2025-03"/>
    <d v="2025-05-17T00:00:00"/>
    <s v="ACTIVE"/>
    <m/>
    <m/>
    <m/>
    <m/>
  </r>
  <r>
    <n v="1548"/>
    <s v="Donor_092"/>
    <d v="2024-01-17T00:00:00"/>
    <s v="West"/>
    <x v="5"/>
    <m/>
    <n v="1442"/>
    <s v="Cheque"/>
    <s v="2024-01"/>
    <d v="2025-05-07T00:00:00"/>
    <s v="ACTIVE"/>
    <m/>
    <m/>
    <m/>
    <m/>
  </r>
  <r>
    <n v="523"/>
    <s v="Donor_091"/>
    <d v="2024-11-11T00:00:00"/>
    <s v="East"/>
    <x v="2"/>
    <m/>
    <n v="454"/>
    <s v="UPI"/>
    <s v="2024-11"/>
    <d v="2025-05-16T00:00:00"/>
    <s v="ACTIVE"/>
    <m/>
    <m/>
    <m/>
    <m/>
  </r>
  <r>
    <n v="336"/>
    <s v="Donor_088"/>
    <d v="2024-11-23T00:00:00"/>
    <s v="South"/>
    <x v="2"/>
    <m/>
    <n v="531"/>
    <s v="Bank Transfer"/>
    <s v="2024-11"/>
    <d v="2025-05-21T00:00:00"/>
    <s v="ACTIVE"/>
    <m/>
    <m/>
    <m/>
    <m/>
  </r>
  <r>
    <n v="570"/>
    <s v="Donor_083"/>
    <d v="2024-10-23T00:00:00"/>
    <s v="South"/>
    <x v="4"/>
    <m/>
    <n v="8157"/>
    <s v="Cash"/>
    <s v="2024-10"/>
    <d v="2025-06-21T00:00:00"/>
    <s v="ACTIVE"/>
    <m/>
    <m/>
    <m/>
    <m/>
  </r>
  <r>
    <n v="591"/>
    <s v="Donor_054"/>
    <d v="2024-01-06T00:00:00"/>
    <s v="North"/>
    <x v="3"/>
    <m/>
    <n v="328"/>
    <s v="Cheque"/>
    <s v="2024-01"/>
    <d v="2025-06-18T00:00:00"/>
    <s v="ACTIVE"/>
    <m/>
    <m/>
    <m/>
    <m/>
  </r>
  <r>
    <n v="89"/>
    <s v="Donor_013"/>
    <d v="2025-03-20T00:00:00"/>
    <s v="North"/>
    <x v="1"/>
    <m/>
    <n v="1616"/>
    <s v="UPI"/>
    <s v="2025-03"/>
    <d v="2025-04-28T00:00:00"/>
    <s v="ACTIVE"/>
    <m/>
    <m/>
    <m/>
    <m/>
  </r>
  <r>
    <n v="875"/>
    <s v="Donor_064"/>
    <d v="2025-03-08T00:00:00"/>
    <s v="West"/>
    <x v="4"/>
    <m/>
    <n v="5939"/>
    <s v="Bank Transfer"/>
    <s v="2025-03"/>
    <d v="2025-06-20T00:00:00"/>
    <s v="ACTIVE"/>
    <m/>
    <m/>
    <m/>
    <m/>
  </r>
  <r>
    <n v="810"/>
    <s v="Donor_097"/>
    <d v="2025-03-14T00:00:00"/>
    <s v="South"/>
    <x v="0"/>
    <m/>
    <n v="824"/>
    <s v="Bank Transfer"/>
    <s v="2025-03"/>
    <d v="2025-06-04T00:00:00"/>
    <s v="ACTIVE"/>
    <m/>
    <m/>
    <m/>
    <m/>
  </r>
  <r>
    <n v="1362"/>
    <s v="Donor_053"/>
    <d v="2024-12-21T00:00:00"/>
    <s v="South"/>
    <x v="0"/>
    <m/>
    <n v="712"/>
    <s v="Bank Transfer"/>
    <s v="2024-12"/>
    <d v="2025-04-16T00:00:00"/>
    <s v="ACTIVE"/>
    <m/>
    <m/>
    <m/>
    <m/>
  </r>
  <r>
    <n v="218"/>
    <s v="Donor_068"/>
    <d v="2024-03-01T00:00:00"/>
    <s v="North"/>
    <x v="3"/>
    <m/>
    <n v="553"/>
    <s v="Cash"/>
    <s v="2024-03"/>
    <d v="2025-05-16T00:00:00"/>
    <s v="ACTIVE"/>
    <m/>
    <m/>
    <m/>
    <m/>
  </r>
  <r>
    <n v="889"/>
    <s v="Donor_092"/>
    <d v="2024-12-25T00:00:00"/>
    <s v="West"/>
    <x v="4"/>
    <m/>
    <n v="5790"/>
    <s v="Credit Card"/>
    <s v="2024-12"/>
    <d v="2025-05-07T00:00:00"/>
    <s v="ACTIVE"/>
    <m/>
    <m/>
    <m/>
    <m/>
  </r>
  <r>
    <n v="713"/>
    <s v="Donor_044"/>
    <d v="2025-04-30T00:00:00"/>
    <s v="East"/>
    <x v="0"/>
    <m/>
    <n v="1251"/>
    <s v="Bank Transfer"/>
    <s v="2025-04"/>
    <d v="2025-05-05T00:00:00"/>
    <s v="ACTIVE"/>
    <m/>
    <m/>
    <m/>
    <m/>
  </r>
  <r>
    <n v="1245"/>
    <s v="Donor_079"/>
    <d v="2024-12-26T00:00:00"/>
    <s v="Central"/>
    <x v="2"/>
    <m/>
    <n v="1853"/>
    <s v="Bank Transfer"/>
    <s v="2024-12"/>
    <d v="2025-06-07T00:00:00"/>
    <s v="ACTIVE"/>
    <m/>
    <m/>
    <m/>
    <m/>
  </r>
  <r>
    <n v="857"/>
    <s v="Donor_001"/>
    <d v="2024-07-03T00:00:00"/>
    <s v="Central"/>
    <x v="1"/>
    <m/>
    <n v="4246"/>
    <s v="Credit Card"/>
    <s v="2024-07"/>
    <d v="2025-05-18T00:00:00"/>
    <s v="ACTIVE"/>
    <m/>
    <m/>
    <m/>
    <m/>
  </r>
  <r>
    <n v="174"/>
    <s v="Donor_047"/>
    <d v="2024-07-18T00:00:00"/>
    <s v="Central"/>
    <x v="5"/>
    <m/>
    <n v="955"/>
    <s v="Cash"/>
    <s v="2024-07"/>
    <d v="2025-05-04T00:00:00"/>
    <s v="ACTIVE"/>
    <m/>
    <m/>
    <m/>
    <m/>
  </r>
  <r>
    <n v="1669"/>
    <s v="Donor_020"/>
    <d v="2025-05-31T00:00:00"/>
    <s v="West"/>
    <x v="2"/>
    <m/>
    <n v="774"/>
    <s v="Cash"/>
    <s v="2025-05"/>
    <d v="2025-05-31T00:00:00"/>
    <s v="ACTIVE"/>
    <m/>
    <m/>
    <m/>
    <m/>
  </r>
  <r>
    <n v="1252"/>
    <s v="Donor_072"/>
    <d v="2025-02-28T00:00:00"/>
    <s v="Central"/>
    <x v="0"/>
    <m/>
    <n v="1930"/>
    <s v="Cheque"/>
    <s v="2025-02"/>
    <d v="2025-04-13T00:00:00"/>
    <s v="ACTIVE"/>
    <m/>
    <m/>
    <m/>
    <m/>
  </r>
  <r>
    <n v="222"/>
    <s v="Donor_052"/>
    <d v="2025-01-17T00:00:00"/>
    <s v="West"/>
    <x v="0"/>
    <m/>
    <n v="2392"/>
    <s v="Credit Card"/>
    <s v="2025-01"/>
    <d v="2025-06-13T00:00:00"/>
    <s v="ACTIVE"/>
    <m/>
    <m/>
    <m/>
    <m/>
  </r>
  <r>
    <n v="320"/>
    <s v="Donor_016"/>
    <d v="2024-05-30T00:00:00"/>
    <s v="West"/>
    <x v="4"/>
    <m/>
    <n v="1783"/>
    <s v="Credit Card"/>
    <s v="2024-05"/>
    <d v="2025-06-17T00:00:00"/>
    <s v="ACTIVE"/>
    <m/>
    <m/>
    <m/>
    <m/>
  </r>
  <r>
    <n v="1583"/>
    <s v="Donor_071"/>
    <d v="2025-06-08T00:00:00"/>
    <s v="North"/>
    <x v="2"/>
    <m/>
    <n v="913"/>
    <s v="Cash"/>
    <s v="2025-06"/>
    <d v="2025-06-08T00:00:00"/>
    <s v="ACTIVE"/>
    <m/>
    <m/>
    <m/>
    <m/>
  </r>
  <r>
    <n v="1606"/>
    <s v="Donor_120"/>
    <d v="2024-05-19T00:00:00"/>
    <s v="North"/>
    <x v="3"/>
    <m/>
    <n v="431"/>
    <s v="Bank Transfer"/>
    <s v="2024-05"/>
    <d v="2025-06-19T00:00:00"/>
    <s v="ACTIVE"/>
    <m/>
    <m/>
    <m/>
    <m/>
  </r>
  <r>
    <n v="879"/>
    <s v="Donor_001"/>
    <d v="2025-05-14T00:00:00"/>
    <s v="South"/>
    <x v="2"/>
    <m/>
    <n v="2226"/>
    <s v="Cash"/>
    <s v="2025-05"/>
    <d v="2025-05-18T00:00:00"/>
    <s v="ACTIVE"/>
    <m/>
    <m/>
    <m/>
    <m/>
  </r>
  <r>
    <n v="1627"/>
    <s v="Donor_026"/>
    <d v="2024-02-11T00:00:00"/>
    <s v="North"/>
    <x v="5"/>
    <m/>
    <n v="2236"/>
    <s v="Cash"/>
    <s v="2024-02"/>
    <d v="2025-05-28T00:00:00"/>
    <s v="ACTIVE"/>
    <m/>
    <m/>
    <m/>
    <m/>
  </r>
  <r>
    <n v="1059"/>
    <s v="Donor_078"/>
    <d v="2024-02-22T00:00:00"/>
    <s v="West"/>
    <x v="2"/>
    <m/>
    <n v="10081"/>
    <s v="Bank Transfer"/>
    <s v="2024-02"/>
    <d v="2025-03-13T00:00:00"/>
    <s v="LAPSED"/>
    <m/>
    <m/>
    <m/>
    <m/>
  </r>
  <r>
    <n v="826"/>
    <s v="Donor_001"/>
    <d v="2025-05-18T00:00:00"/>
    <s v="North"/>
    <x v="3"/>
    <m/>
    <n v="757"/>
    <s v="Bank Transfer"/>
    <s v="2025-05"/>
    <d v="2025-05-18T00:00:00"/>
    <s v="ACTIVE"/>
    <m/>
    <m/>
    <m/>
    <m/>
  </r>
  <r>
    <n v="1333"/>
    <s v="Donor_058"/>
    <d v="2024-03-09T00:00:00"/>
    <s v="West"/>
    <x v="4"/>
    <m/>
    <n v="2712"/>
    <s v="Bank Transfer"/>
    <s v="2024-03"/>
    <d v="2025-06-22T00:00:00"/>
    <s v="ACTIVE"/>
    <m/>
    <m/>
    <m/>
    <m/>
  </r>
  <r>
    <n v="267"/>
    <s v="Donor_012"/>
    <d v="2025-01-27T00:00:00"/>
    <s v="North"/>
    <x v="3"/>
    <m/>
    <n v="4735"/>
    <s v="Bank Transfer"/>
    <s v="2025-01"/>
    <d v="2025-06-23T00:00:00"/>
    <s v="ACTIVE"/>
    <m/>
    <m/>
    <m/>
    <m/>
  </r>
  <r>
    <n v="7"/>
    <s v="Donor_069"/>
    <d v="2024-06-24T00:00:00"/>
    <s v="South"/>
    <x v="4"/>
    <m/>
    <n v="286"/>
    <s v="Cheque"/>
    <s v="2024-06"/>
    <d v="2025-06-13T00:00:00"/>
    <s v="ACTIVE"/>
    <m/>
    <m/>
    <m/>
    <m/>
  </r>
  <r>
    <n v="1023"/>
    <s v="Donor_006"/>
    <d v="2024-03-10T00:00:00"/>
    <s v="North"/>
    <x v="2"/>
    <m/>
    <n v="1339"/>
    <s v="UPI"/>
    <s v="2024-03"/>
    <d v="2025-06-06T00:00:00"/>
    <s v="ACTIVE"/>
    <m/>
    <m/>
    <m/>
    <m/>
  </r>
  <r>
    <n v="1795"/>
    <s v="Donor_092"/>
    <d v="2024-07-12T00:00:00"/>
    <s v="South"/>
    <x v="0"/>
    <m/>
    <n v="703"/>
    <s v="Bank Transfer"/>
    <s v="2024-07"/>
    <d v="2025-05-07T00:00:00"/>
    <s v="ACTIVE"/>
    <m/>
    <m/>
    <m/>
    <m/>
  </r>
  <r>
    <n v="739"/>
    <s v="Donor_097"/>
    <d v="2025-06-04T00:00:00"/>
    <s v="Central"/>
    <x v="1"/>
    <m/>
    <n v="908"/>
    <s v="Bank Transfer"/>
    <s v="2025-06"/>
    <d v="2025-06-04T00:00:00"/>
    <s v="ACTIVE"/>
    <m/>
    <m/>
    <m/>
    <m/>
  </r>
  <r>
    <n v="139"/>
    <s v="Donor_104"/>
    <d v="2024-11-12T00:00:00"/>
    <s v="West"/>
    <x v="4"/>
    <m/>
    <n v="5357"/>
    <s v="Cheque"/>
    <s v="2024-11"/>
    <d v="2025-05-08T00:00:00"/>
    <s v="ACTIVE"/>
    <m/>
    <m/>
    <m/>
    <m/>
  </r>
  <r>
    <n v="164"/>
    <s v="Donor_099"/>
    <d v="2024-07-05T00:00:00"/>
    <s v="South"/>
    <x v="1"/>
    <m/>
    <n v="11643"/>
    <s v="UPI"/>
    <s v="2024-07"/>
    <d v="2025-05-30T00:00:00"/>
    <s v="ACTIVE"/>
    <m/>
    <m/>
    <m/>
    <m/>
  </r>
  <r>
    <n v="1494"/>
    <s v="Donor_060"/>
    <d v="2024-07-28T00:00:00"/>
    <s v="West"/>
    <x v="0"/>
    <m/>
    <n v="841"/>
    <s v="Cheque"/>
    <s v="2024-07"/>
    <d v="2025-05-20T00:00:00"/>
    <s v="ACTIVE"/>
    <m/>
    <m/>
    <m/>
    <m/>
  </r>
  <r>
    <n v="595"/>
    <s v="Donor_115"/>
    <d v="2025-01-29T00:00:00"/>
    <s v="East"/>
    <x v="0"/>
    <m/>
    <n v="459"/>
    <s v="Bank Transfer"/>
    <s v="2025-01"/>
    <d v="2025-06-20T00:00:00"/>
    <s v="ACTIVE"/>
    <m/>
    <m/>
    <m/>
    <m/>
  </r>
  <r>
    <n v="1712"/>
    <s v="Donor_002"/>
    <d v="2024-04-19T00:00:00"/>
    <s v="East"/>
    <x v="4"/>
    <m/>
    <n v="859"/>
    <s v="Cash"/>
    <s v="2024-04"/>
    <d v="2025-04-12T00:00:00"/>
    <s v="ACTIVE"/>
    <m/>
    <m/>
    <m/>
    <m/>
  </r>
  <r>
    <n v="1757"/>
    <s v="Donor_001"/>
    <d v="2024-06-30T00:00:00"/>
    <s v="North"/>
    <x v="2"/>
    <m/>
    <n v="1309"/>
    <s v="Bank Transfer"/>
    <s v="2024-06"/>
    <d v="2025-05-18T00:00:00"/>
    <s v="ACTIVE"/>
    <m/>
    <m/>
    <m/>
    <m/>
  </r>
  <r>
    <n v="1319"/>
    <s v="Donor_037"/>
    <d v="2024-09-14T00:00:00"/>
    <s v="South"/>
    <x v="3"/>
    <m/>
    <n v="413"/>
    <s v="Bank Transfer"/>
    <s v="2024-09"/>
    <d v="2025-05-23T00:00:00"/>
    <s v="ACTIVE"/>
    <m/>
    <m/>
    <m/>
    <m/>
  </r>
  <r>
    <n v="1146"/>
    <s v="Donor_069"/>
    <d v="2024-02-07T00:00:00"/>
    <s v="West"/>
    <x v="4"/>
    <m/>
    <n v="1250"/>
    <s v="UPI"/>
    <s v="2024-02"/>
    <d v="2025-06-13T00:00:00"/>
    <s v="ACTIVE"/>
    <m/>
    <m/>
    <m/>
    <m/>
  </r>
  <r>
    <n v="1724"/>
    <s v="Donor_043"/>
    <d v="2024-03-17T00:00:00"/>
    <s v="North"/>
    <x v="2"/>
    <m/>
    <n v="0"/>
    <s v="Cash"/>
    <s v="2024-03"/>
    <d v="2025-06-13T00:00:00"/>
    <s v="ACTIVE"/>
    <m/>
    <m/>
    <m/>
    <m/>
  </r>
  <r>
    <n v="961"/>
    <s v="Donor_119"/>
    <d v="2025-04-15T00:00:00"/>
    <s v="Central"/>
    <x v="3"/>
    <m/>
    <n v="857"/>
    <s v="Bank Transfer"/>
    <s v="2025-04"/>
    <d v="2025-05-18T00:00:00"/>
    <s v="ACTIVE"/>
    <m/>
    <m/>
    <m/>
    <m/>
  </r>
  <r>
    <n v="1304"/>
    <s v="Donor_086"/>
    <d v="2025-05-18T00:00:00"/>
    <s v="Central"/>
    <x v="5"/>
    <m/>
    <n v="5976"/>
    <s v="Bank Transfer"/>
    <s v="2025-05"/>
    <d v="2025-05-29T00:00:00"/>
    <s v="ACTIVE"/>
    <m/>
    <m/>
    <m/>
    <m/>
  </r>
  <r>
    <n v="1674"/>
    <s v="Donor_014"/>
    <d v="2024-12-12T00:00:00"/>
    <s v="West"/>
    <x v="4"/>
    <m/>
    <n v="1789"/>
    <s v="Bank Transfer"/>
    <s v="2024-12"/>
    <d v="2025-06-03T00:00:00"/>
    <s v="ACTIVE"/>
    <m/>
    <m/>
    <m/>
    <m/>
  </r>
  <r>
    <n v="524"/>
    <s v="Donor_068"/>
    <d v="2024-08-09T00:00:00"/>
    <s v="East"/>
    <x v="4"/>
    <m/>
    <n v="950"/>
    <s v="UPI"/>
    <s v="2024-08"/>
    <d v="2025-05-16T00:00:00"/>
    <s v="ACTIVE"/>
    <m/>
    <m/>
    <m/>
    <m/>
  </r>
  <r>
    <n v="1129"/>
    <s v="Donor_094"/>
    <d v="2025-03-21T00:00:00"/>
    <s v="West"/>
    <x v="1"/>
    <m/>
    <n v="1802"/>
    <s v="Bank Transfer"/>
    <s v="2025-03"/>
    <d v="2025-06-19T00:00:00"/>
    <s v="ACTIVE"/>
    <m/>
    <m/>
    <m/>
    <m/>
  </r>
  <r>
    <n v="807"/>
    <s v="Donor_099"/>
    <d v="2024-11-04T00:00:00"/>
    <s v="Central"/>
    <x v="1"/>
    <m/>
    <n v="1085"/>
    <s v="Cheque"/>
    <s v="2024-11"/>
    <d v="2025-05-30T00:00:00"/>
    <s v="ACTIVE"/>
    <m/>
    <m/>
    <m/>
    <m/>
  </r>
  <r>
    <n v="745"/>
    <s v="Donor_113"/>
    <d v="2024-10-13T00:00:00"/>
    <s v="West"/>
    <x v="4"/>
    <m/>
    <n v="11830"/>
    <s v="Bank Transfer"/>
    <s v="2024-10"/>
    <d v="2025-04-17T00:00:00"/>
    <s v="ACTIVE"/>
    <m/>
    <m/>
    <m/>
    <m/>
  </r>
  <r>
    <n v="1103"/>
    <s v="Donor_026"/>
    <d v="2024-07-11T00:00:00"/>
    <s v="North"/>
    <x v="0"/>
    <m/>
    <n v="280"/>
    <s v="UPI"/>
    <s v="2024-07"/>
    <d v="2025-05-28T00:00:00"/>
    <s v="ACTIVE"/>
    <m/>
    <m/>
    <m/>
    <m/>
  </r>
  <r>
    <n v="579"/>
    <s v="Donor_023"/>
    <d v="2024-01-08T00:00:00"/>
    <s v="North"/>
    <x v="2"/>
    <m/>
    <n v="2416"/>
    <s v="Cash"/>
    <s v="2024-01"/>
    <d v="2025-05-24T00:00:00"/>
    <s v="ACTIVE"/>
    <m/>
    <m/>
    <m/>
    <m/>
  </r>
  <r>
    <n v="846"/>
    <s v="Donor_090"/>
    <d v="2024-08-18T00:00:00"/>
    <s v="North"/>
    <x v="4"/>
    <m/>
    <n v="327"/>
    <s v="Bank Transfer"/>
    <s v="2024-08"/>
    <d v="2025-04-25T00:00:00"/>
    <s v="ACTIVE"/>
    <m/>
    <m/>
    <m/>
    <m/>
  </r>
  <r>
    <n v="1213"/>
    <s v="Donor_048"/>
    <d v="2024-10-27T00:00:00"/>
    <s v="Central"/>
    <x v="1"/>
    <m/>
    <n v="1452"/>
    <s v="Credit Card"/>
    <s v="2024-10"/>
    <d v="2025-06-08T00:00:00"/>
    <s v="ACTIVE"/>
    <m/>
    <m/>
    <m/>
    <m/>
  </r>
  <r>
    <n v="20"/>
    <s v="Donor_008"/>
    <d v="2024-04-10T00:00:00"/>
    <s v="West"/>
    <x v="2"/>
    <m/>
    <n v="5601"/>
    <s v="UPI"/>
    <s v="2024-04"/>
    <d v="2025-06-07T00:00:00"/>
    <s v="ACTIVE"/>
    <m/>
    <m/>
    <m/>
    <m/>
  </r>
  <r>
    <n v="1179"/>
    <s v="Donor_089"/>
    <d v="2024-08-21T00:00:00"/>
    <s v="West"/>
    <x v="4"/>
    <m/>
    <n v="596"/>
    <s v="Bank Transfer"/>
    <s v="2024-08"/>
    <d v="2025-05-16T00:00:00"/>
    <s v="ACTIVE"/>
    <m/>
    <m/>
    <m/>
    <m/>
  </r>
  <r>
    <n v="1723"/>
    <s v="Donor_059"/>
    <d v="2024-01-18T00:00:00"/>
    <s v="West"/>
    <x v="4"/>
    <m/>
    <n v="474"/>
    <s v="Bank Transfer"/>
    <s v="2024-01"/>
    <d v="2025-06-16T00:00:00"/>
    <s v="ACTIVE"/>
    <m/>
    <m/>
    <m/>
    <m/>
  </r>
  <r>
    <n v="634"/>
    <s v="Donor_088"/>
    <d v="2024-11-15T00:00:00"/>
    <s v="West"/>
    <x v="4"/>
    <m/>
    <n v="9629"/>
    <s v="Cash"/>
    <s v="2024-11"/>
    <d v="2025-05-21T00:00:00"/>
    <s v="ACTIVE"/>
    <m/>
    <m/>
    <m/>
    <m/>
  </r>
  <r>
    <n v="1422"/>
    <s v="Donor_058"/>
    <d v="2024-05-30T00:00:00"/>
    <s v="Central"/>
    <x v="2"/>
    <m/>
    <n v="1589"/>
    <s v="Bank Transfer"/>
    <s v="2024-05"/>
    <d v="2025-06-22T00:00:00"/>
    <s v="ACTIVE"/>
    <m/>
    <m/>
    <m/>
    <m/>
  </r>
  <r>
    <n v="619"/>
    <s v="Donor_081"/>
    <d v="2024-09-21T00:00:00"/>
    <s v="West"/>
    <x v="2"/>
    <m/>
    <n v="949"/>
    <s v="Cheque"/>
    <s v="2024-09"/>
    <d v="2025-06-07T00:00:00"/>
    <s v="ACTIVE"/>
    <m/>
    <m/>
    <m/>
    <m/>
  </r>
  <r>
    <n v="1076"/>
    <s v="Donor_087"/>
    <d v="2025-06-09T00:00:00"/>
    <s v="North"/>
    <x v="2"/>
    <m/>
    <n v="5785"/>
    <s v="UPI"/>
    <s v="2025-06"/>
    <d v="2025-06-09T00:00:00"/>
    <s v="ACTIVE"/>
    <m/>
    <m/>
    <m/>
    <m/>
  </r>
  <r>
    <n v="656"/>
    <s v="Donor_055"/>
    <d v="2025-03-22T00:00:00"/>
    <s v="North"/>
    <x v="4"/>
    <m/>
    <n v="1364"/>
    <s v="UPI"/>
    <s v="2025-03"/>
    <d v="2025-05-11T00:00:00"/>
    <s v="ACTIVE"/>
    <m/>
    <m/>
    <m/>
    <m/>
  </r>
  <r>
    <n v="17"/>
    <s v="Donor_032"/>
    <d v="2024-05-03T00:00:00"/>
    <s v="South"/>
    <x v="3"/>
    <m/>
    <n v="4042"/>
    <s v="Cheque"/>
    <s v="2024-05"/>
    <d v="2025-04-29T00:00:00"/>
    <s v="ACTIVE"/>
    <m/>
    <m/>
    <m/>
    <m/>
  </r>
  <r>
    <n v="1577"/>
    <s v="Donor_116"/>
    <d v="2024-08-29T00:00:00"/>
    <s v="West"/>
    <x v="0"/>
    <m/>
    <n v="1716"/>
    <s v="UPI"/>
    <s v="2024-08"/>
    <d v="2025-06-11T00:00:00"/>
    <s v="ACTIVE"/>
    <m/>
    <m/>
    <m/>
    <m/>
  </r>
  <r>
    <n v="1074"/>
    <s v="Donor_067"/>
    <d v="2025-03-31T00:00:00"/>
    <s v="South"/>
    <x v="1"/>
    <m/>
    <n v="2918"/>
    <s v="UPI"/>
    <s v="2025-03"/>
    <d v="2025-06-15T00:00:00"/>
    <s v="ACTIVE"/>
    <m/>
    <m/>
    <m/>
    <m/>
  </r>
  <r>
    <n v="138"/>
    <s v="Donor_006"/>
    <d v="2025-03-24T00:00:00"/>
    <s v="West"/>
    <x v="5"/>
    <m/>
    <n v="2376"/>
    <s v="Cheque"/>
    <s v="2025-03"/>
    <d v="2025-06-06T00:00:00"/>
    <s v="ACTIVE"/>
    <m/>
    <m/>
    <m/>
    <m/>
  </r>
  <r>
    <n v="1321"/>
    <s v="Donor_046"/>
    <d v="2025-04-06T00:00:00"/>
    <s v="West"/>
    <x v="5"/>
    <m/>
    <n v="276"/>
    <s v="Cash"/>
    <s v="2025-04"/>
    <d v="2025-05-10T00:00:00"/>
    <s v="ACTIVE"/>
    <m/>
    <m/>
    <m/>
    <m/>
  </r>
  <r>
    <n v="1372"/>
    <s v="Donor_097"/>
    <d v="2025-01-27T00:00:00"/>
    <s v="Central"/>
    <x v="3"/>
    <m/>
    <n v="807"/>
    <s v="Cheque"/>
    <s v="2025-01"/>
    <d v="2025-06-04T00:00:00"/>
    <s v="ACTIVE"/>
    <m/>
    <m/>
    <m/>
    <m/>
  </r>
  <r>
    <n v="558"/>
    <s v="Donor_013"/>
    <d v="2024-02-12T00:00:00"/>
    <s v="Central"/>
    <x v="2"/>
    <m/>
    <n v="5912"/>
    <s v="Cash"/>
    <s v="2024-02"/>
    <d v="2025-04-28T00:00:00"/>
    <s v="ACTIVE"/>
    <m/>
    <m/>
    <m/>
    <m/>
  </r>
  <r>
    <n v="698"/>
    <s v="Donor_089"/>
    <d v="2025-01-04T00:00:00"/>
    <s v="West"/>
    <x v="5"/>
    <m/>
    <n v="850"/>
    <s v="UPI"/>
    <s v="2025-01"/>
    <d v="2025-05-16T00:00:00"/>
    <s v="ACTIVE"/>
    <m/>
    <m/>
    <m/>
    <m/>
  </r>
  <r>
    <n v="1774"/>
    <s v="Donor_012"/>
    <d v="2024-07-09T00:00:00"/>
    <s v="South"/>
    <x v="0"/>
    <m/>
    <n v="694"/>
    <s v="Cash"/>
    <s v="2024-07"/>
    <d v="2025-06-23T00:00:00"/>
    <s v="ACTIVE"/>
    <m/>
    <m/>
    <m/>
    <m/>
  </r>
  <r>
    <n v="862"/>
    <s v="Donor_059"/>
    <d v="2025-02-13T00:00:00"/>
    <s v="North"/>
    <x v="5"/>
    <m/>
    <n v="882"/>
    <s v="Credit Card"/>
    <s v="2025-02"/>
    <d v="2025-06-16T00:00:00"/>
    <s v="ACTIVE"/>
    <m/>
    <m/>
    <m/>
    <m/>
  </r>
  <r>
    <n v="1460"/>
    <s v="Donor_047"/>
    <d v="2024-06-16T00:00:00"/>
    <s v="North"/>
    <x v="5"/>
    <m/>
    <n v="2998"/>
    <s v="Cheque"/>
    <s v="2024-06"/>
    <d v="2025-05-04T00:00:00"/>
    <s v="ACTIVE"/>
    <m/>
    <m/>
    <m/>
    <m/>
  </r>
  <r>
    <n v="449"/>
    <s v="Donor_002"/>
    <d v="2024-11-02T00:00:00"/>
    <s v="West"/>
    <x v="5"/>
    <m/>
    <n v="2237"/>
    <s v="Cheque"/>
    <s v="2024-11"/>
    <d v="2025-04-12T00:00:00"/>
    <s v="ACTIVE"/>
    <m/>
    <m/>
    <m/>
    <m/>
  </r>
  <r>
    <n v="369"/>
    <s v="Donor_018"/>
    <d v="2025-05-31T00:00:00"/>
    <s v="West"/>
    <x v="3"/>
    <m/>
    <n v="10945"/>
    <s v="Cheque"/>
    <s v="2025-05"/>
    <d v="2025-06-16T00:00:00"/>
    <s v="ACTIVE"/>
    <m/>
    <m/>
    <m/>
    <m/>
  </r>
  <r>
    <n v="1707"/>
    <s v="Donor_092"/>
    <d v="2024-12-28T00:00:00"/>
    <s v="North"/>
    <x v="2"/>
    <m/>
    <n v="8243"/>
    <s v="UPI"/>
    <s v="2024-12"/>
    <d v="2025-05-07T00:00:00"/>
    <s v="ACTIVE"/>
    <m/>
    <m/>
    <m/>
    <m/>
  </r>
  <r>
    <n v="1075"/>
    <s v="Donor_094"/>
    <d v="2024-10-12T00:00:00"/>
    <s v="North"/>
    <x v="5"/>
    <m/>
    <n v="1098"/>
    <s v="Credit Card"/>
    <s v="2024-10"/>
    <d v="2025-06-19T00:00:00"/>
    <s v="ACTIVE"/>
    <m/>
    <m/>
    <m/>
    <m/>
  </r>
  <r>
    <n v="328"/>
    <s v="Donor_052"/>
    <d v="2025-06-02T00:00:00"/>
    <s v="South"/>
    <x v="0"/>
    <m/>
    <n v="435"/>
    <s v="Credit Card"/>
    <s v="2025-06"/>
    <d v="2025-06-13T00:00:00"/>
    <s v="ACTIVE"/>
    <m/>
    <m/>
    <m/>
    <m/>
  </r>
  <r>
    <n v="318"/>
    <s v="Donor_011"/>
    <d v="2024-04-09T00:00:00"/>
    <s v="East"/>
    <x v="0"/>
    <m/>
    <n v="891"/>
    <s v="Cheque"/>
    <s v="2024-04"/>
    <d v="2025-06-04T00:00:00"/>
    <s v="ACTIVE"/>
    <m/>
    <m/>
    <m/>
    <m/>
  </r>
  <r>
    <n v="1378"/>
    <s v="Donor_006"/>
    <d v="2025-01-20T00:00:00"/>
    <s v="East"/>
    <x v="4"/>
    <m/>
    <n v="1872"/>
    <s v="Cheque"/>
    <s v="2025-01"/>
    <d v="2025-06-06T00:00:00"/>
    <s v="ACTIVE"/>
    <m/>
    <m/>
    <m/>
    <m/>
  </r>
  <r>
    <n v="1339"/>
    <s v="Donor_048"/>
    <d v="2025-05-03T00:00:00"/>
    <s v="South"/>
    <x v="5"/>
    <m/>
    <n v="765"/>
    <s v="Cash"/>
    <s v="2025-05"/>
    <d v="2025-06-08T00:00:00"/>
    <s v="ACTIVE"/>
    <m/>
    <m/>
    <m/>
    <m/>
  </r>
  <r>
    <n v="529"/>
    <s v="Donor_036"/>
    <d v="2024-06-10T00:00:00"/>
    <s v="North"/>
    <x v="3"/>
    <m/>
    <n v="10056"/>
    <s v="Credit Card"/>
    <s v="2024-06"/>
    <d v="2025-06-07T00:00:00"/>
    <s v="ACTIVE"/>
    <m/>
    <m/>
    <m/>
    <m/>
  </r>
  <r>
    <n v="527"/>
    <s v="Donor_088"/>
    <d v="2024-02-15T00:00:00"/>
    <s v="Central"/>
    <x v="3"/>
    <m/>
    <n v="4934"/>
    <s v="UPI"/>
    <s v="2024-02"/>
    <d v="2025-05-21T00:00:00"/>
    <s v="ACTIVE"/>
    <m/>
    <m/>
    <m/>
    <m/>
  </r>
  <r>
    <n v="88"/>
    <s v="Donor_041"/>
    <d v="2025-01-24T00:00:00"/>
    <s v="West"/>
    <x v="0"/>
    <m/>
    <n v="523"/>
    <s v="Credit Card"/>
    <s v="2025-01"/>
    <d v="2025-06-13T00:00:00"/>
    <s v="ACTIVE"/>
    <m/>
    <m/>
    <m/>
    <m/>
  </r>
  <r>
    <n v="480"/>
    <s v="Donor_087"/>
    <d v="2024-02-21T00:00:00"/>
    <s v="West"/>
    <x v="1"/>
    <m/>
    <n v="8360"/>
    <s v="Cash"/>
    <s v="2024-02"/>
    <d v="2025-06-09T00:00:00"/>
    <s v="ACTIVE"/>
    <m/>
    <m/>
    <m/>
    <m/>
  </r>
  <r>
    <n v="339"/>
    <s v="Donor_029"/>
    <d v="2024-04-01T00:00:00"/>
    <s v="East"/>
    <x v="4"/>
    <m/>
    <n v="2420"/>
    <s v="Bank Transfer"/>
    <s v="2024-04"/>
    <d v="2025-06-05T00:00:00"/>
    <s v="ACTIVE"/>
    <m/>
    <m/>
    <m/>
    <m/>
  </r>
  <r>
    <n v="1762"/>
    <s v="Donor_027"/>
    <d v="2024-01-13T00:00:00"/>
    <s v="Central"/>
    <x v="3"/>
    <m/>
    <n v="455"/>
    <s v="Credit Card"/>
    <s v="2024-01"/>
    <d v="2025-06-06T00:00:00"/>
    <s v="ACTIVE"/>
    <m/>
    <m/>
    <m/>
    <m/>
  </r>
  <r>
    <n v="1190"/>
    <s v="Donor_001"/>
    <d v="2025-03-03T00:00:00"/>
    <s v="West"/>
    <x v="3"/>
    <m/>
    <n v="0"/>
    <s v="Credit Card"/>
    <s v="2025-03"/>
    <d v="2025-05-18T00:00:00"/>
    <s v="ACTIVE"/>
    <m/>
    <m/>
    <m/>
    <m/>
  </r>
  <r>
    <n v="658"/>
    <s v="Donor_086"/>
    <d v="2025-01-07T00:00:00"/>
    <s v="North"/>
    <x v="1"/>
    <m/>
    <n v="1342"/>
    <s v="Cheque"/>
    <s v="2025-01"/>
    <d v="2025-05-29T00:00:00"/>
    <s v="ACTIVE"/>
    <m/>
    <m/>
    <m/>
    <m/>
  </r>
  <r>
    <n v="149"/>
    <s v="Donor_018"/>
    <d v="2024-12-06T00:00:00"/>
    <s v="North"/>
    <x v="5"/>
    <m/>
    <n v="9354"/>
    <s v="Credit Card"/>
    <s v="2024-12"/>
    <d v="2025-06-16T00:00:00"/>
    <s v="ACTIVE"/>
    <m/>
    <m/>
    <m/>
    <m/>
  </r>
  <r>
    <n v="1467"/>
    <s v="Donor_084"/>
    <d v="2025-01-16T00:00:00"/>
    <s v="East"/>
    <x v="1"/>
    <m/>
    <n v="594"/>
    <s v="Cash"/>
    <s v="2025-01"/>
    <d v="2025-05-13T00:00:00"/>
    <s v="ACTIVE"/>
    <m/>
    <m/>
    <m/>
    <m/>
  </r>
  <r>
    <n v="1675"/>
    <s v="Donor_001"/>
    <d v="2024-05-08T00:00:00"/>
    <s v="Central"/>
    <x v="0"/>
    <m/>
    <n v="1813"/>
    <s v="Cash"/>
    <s v="2024-05"/>
    <d v="2025-05-18T00:00:00"/>
    <s v="ACTIVE"/>
    <m/>
    <m/>
    <m/>
    <m/>
  </r>
  <r>
    <n v="1429"/>
    <s v="Donor_019"/>
    <d v="2024-09-30T00:00:00"/>
    <s v="South"/>
    <x v="4"/>
    <m/>
    <n v="1047"/>
    <s v="Bank Transfer"/>
    <s v="2024-09"/>
    <d v="2025-05-28T00:00:00"/>
    <s v="ACTIVE"/>
    <m/>
    <m/>
    <m/>
    <m/>
  </r>
  <r>
    <n v="29"/>
    <s v="Donor_086"/>
    <d v="2024-01-09T00:00:00"/>
    <s v="Central"/>
    <x v="5"/>
    <m/>
    <n v="1176"/>
    <s v="Credit Card"/>
    <s v="2024-01"/>
    <d v="2025-05-29T00:00:00"/>
    <s v="ACTIVE"/>
    <m/>
    <m/>
    <m/>
    <m/>
  </r>
  <r>
    <n v="247"/>
    <s v="Donor_074"/>
    <d v="2024-03-05T00:00:00"/>
    <s v="North"/>
    <x v="0"/>
    <m/>
    <n v="1419"/>
    <s v="Credit Card"/>
    <s v="2024-03"/>
    <d v="2025-06-18T00:00:00"/>
    <s v="ACTIVE"/>
    <m/>
    <m/>
    <m/>
    <m/>
  </r>
  <r>
    <n v="366"/>
    <s v="Donor_098"/>
    <d v="2024-04-09T00:00:00"/>
    <s v="South"/>
    <x v="3"/>
    <m/>
    <n v="4710"/>
    <s v="Bank Transfer"/>
    <s v="2024-04"/>
    <d v="2025-06-20T00:00:00"/>
    <s v="ACTIVE"/>
    <m/>
    <m/>
    <m/>
    <m/>
  </r>
  <r>
    <n v="590"/>
    <s v="Donor_002"/>
    <d v="2024-10-12T00:00:00"/>
    <s v="West"/>
    <x v="2"/>
    <m/>
    <n v="1798"/>
    <s v="Cash"/>
    <s v="2024-10"/>
    <d v="2025-04-12T00:00:00"/>
    <s v="ACTIVE"/>
    <m/>
    <m/>
    <m/>
    <m/>
  </r>
  <r>
    <n v="1202"/>
    <s v="Donor_024"/>
    <d v="2024-03-15T00:00:00"/>
    <s v="Central"/>
    <x v="5"/>
    <m/>
    <n v="303"/>
    <s v="Cash"/>
    <s v="2024-03"/>
    <d v="2025-06-07T00:00:00"/>
    <s v="ACTIVE"/>
    <m/>
    <m/>
    <m/>
    <m/>
  </r>
  <r>
    <n v="1497"/>
    <s v="Donor_070"/>
    <d v="2024-10-10T00:00:00"/>
    <s v="South"/>
    <x v="2"/>
    <m/>
    <n v="585"/>
    <s v="Cash"/>
    <s v="2024-10"/>
    <d v="2025-03-27T00:00:00"/>
    <s v="ACTIVE"/>
    <m/>
    <m/>
    <m/>
    <m/>
  </r>
  <r>
    <n v="1364"/>
    <s v="Donor_114"/>
    <d v="2024-06-17T00:00:00"/>
    <s v="North"/>
    <x v="5"/>
    <m/>
    <n v="11673"/>
    <s v="Credit Card"/>
    <s v="2024-06"/>
    <d v="2025-04-04T00:00:00"/>
    <s v="ACTIVE"/>
    <m/>
    <m/>
    <m/>
    <m/>
  </r>
  <r>
    <n v="199"/>
    <s v="Donor_059"/>
    <d v="2024-02-26T00:00:00"/>
    <s v="South"/>
    <x v="0"/>
    <m/>
    <n v="737"/>
    <s v="UPI"/>
    <s v="2024-02"/>
    <d v="2025-06-16T00:00:00"/>
    <s v="ACTIVE"/>
    <m/>
    <m/>
    <m/>
    <m/>
  </r>
  <r>
    <n v="1708"/>
    <s v="Donor_092"/>
    <d v="2024-12-02T00:00:00"/>
    <s v="South"/>
    <x v="3"/>
    <m/>
    <n v="783"/>
    <s v="Credit Card"/>
    <s v="2024-12"/>
    <d v="2025-05-07T00:00:00"/>
    <s v="ACTIVE"/>
    <m/>
    <m/>
    <m/>
    <m/>
  </r>
  <r>
    <n v="193"/>
    <s v="Donor_018"/>
    <d v="2024-07-08T00:00:00"/>
    <s v="West"/>
    <x v="5"/>
    <m/>
    <n v="1605"/>
    <s v="Cash"/>
    <s v="2024-07"/>
    <d v="2025-06-16T00:00:00"/>
    <s v="ACTIVE"/>
    <m/>
    <m/>
    <m/>
    <m/>
  </r>
  <r>
    <n v="405"/>
    <s v="Donor_057"/>
    <d v="2024-05-22T00:00:00"/>
    <s v="South"/>
    <x v="4"/>
    <m/>
    <n v="1006"/>
    <s v="Bank Transfer"/>
    <s v="2024-05"/>
    <d v="2025-03-30T00:00:00"/>
    <s v="ACTIVE"/>
    <m/>
    <m/>
    <m/>
    <m/>
  </r>
  <r>
    <n v="1421"/>
    <s v="Donor_015"/>
    <d v="2024-11-01T00:00:00"/>
    <s v="Central"/>
    <x v="1"/>
    <m/>
    <n v="713"/>
    <s v="Bank Transfer"/>
    <s v="2024-11"/>
    <d v="2025-05-02T00:00:00"/>
    <s v="ACTIVE"/>
    <m/>
    <m/>
    <m/>
    <m/>
  </r>
  <r>
    <n v="1789"/>
    <s v="Donor_088"/>
    <d v="2024-03-13T00:00:00"/>
    <s v="North"/>
    <x v="2"/>
    <m/>
    <n v="1794"/>
    <s v="UPI"/>
    <s v="2024-03"/>
    <d v="2025-05-21T00:00:00"/>
    <s v="ACTIVE"/>
    <m/>
    <m/>
    <m/>
    <m/>
  </r>
  <r>
    <n v="484"/>
    <s v="Donor_079"/>
    <d v="2024-12-24T00:00:00"/>
    <s v="West"/>
    <x v="0"/>
    <m/>
    <n v="1464"/>
    <s v="Credit Card"/>
    <s v="2024-12"/>
    <d v="2025-06-07T00:00:00"/>
    <s v="ACTIVE"/>
    <m/>
    <m/>
    <m/>
    <m/>
  </r>
  <r>
    <n v="1320"/>
    <s v="Donor_002"/>
    <d v="2025-04-01T00:00:00"/>
    <s v="North"/>
    <x v="5"/>
    <m/>
    <n v="5396"/>
    <s v="Cheque"/>
    <s v="2025-04"/>
    <d v="2025-04-12T00:00:00"/>
    <s v="ACTIVE"/>
    <m/>
    <m/>
    <m/>
    <m/>
  </r>
  <r>
    <n v="792"/>
    <s v="Donor_056"/>
    <d v="2024-11-13T00:00:00"/>
    <s v="West"/>
    <x v="4"/>
    <m/>
    <n v="2587"/>
    <s v="Cheque"/>
    <s v="2024-11"/>
    <d v="2025-05-08T00:00:00"/>
    <s v="ACTIVE"/>
    <m/>
    <m/>
    <m/>
    <m/>
  </r>
  <r>
    <n v="800"/>
    <s v="Donor_022"/>
    <d v="2024-06-14T00:00:00"/>
    <s v="North"/>
    <x v="0"/>
    <m/>
    <n v="871"/>
    <s v="UPI"/>
    <s v="2024-06"/>
    <d v="2025-06-21T00:00:00"/>
    <s v="ACTIVE"/>
    <m/>
    <m/>
    <m/>
    <m/>
  </r>
  <r>
    <n v="385"/>
    <s v="Donor_013"/>
    <d v="2024-03-25T00:00:00"/>
    <s v="South"/>
    <x v="0"/>
    <m/>
    <n v="8029"/>
    <s v="UPI"/>
    <s v="2024-03"/>
    <d v="2025-04-28T00:00:00"/>
    <s v="ACTIVE"/>
    <m/>
    <m/>
    <m/>
    <m/>
  </r>
  <r>
    <n v="751"/>
    <s v="Donor_036"/>
    <d v="2024-02-07T00:00:00"/>
    <s v="West"/>
    <x v="2"/>
    <m/>
    <n v="1606"/>
    <s v="Cash"/>
    <s v="2024-02"/>
    <d v="2025-06-07T00:00:00"/>
    <s v="ACTIVE"/>
    <m/>
    <m/>
    <m/>
    <m/>
  </r>
  <r>
    <n v="423"/>
    <s v="Donor_052"/>
    <d v="2025-02-08T00:00:00"/>
    <s v="Central"/>
    <x v="4"/>
    <m/>
    <n v="8061"/>
    <s v="UPI"/>
    <s v="2025-02"/>
    <d v="2025-06-13T00:00:00"/>
    <s v="ACTIVE"/>
    <m/>
    <m/>
    <m/>
    <m/>
  </r>
  <r>
    <n v="315"/>
    <s v="Donor_012"/>
    <d v="2025-03-13T00:00:00"/>
    <s v="East"/>
    <x v="2"/>
    <m/>
    <n v="264"/>
    <s v="UPI"/>
    <s v="2025-03"/>
    <d v="2025-06-23T00:00:00"/>
    <s v="ACTIVE"/>
    <m/>
    <m/>
    <m/>
    <m/>
  </r>
  <r>
    <n v="1022"/>
    <s v="Donor_074"/>
    <d v="2024-07-03T00:00:00"/>
    <s v="Central"/>
    <x v="2"/>
    <m/>
    <n v="9037"/>
    <s v="Bank Transfer"/>
    <s v="2024-07"/>
    <d v="2025-06-18T00:00:00"/>
    <s v="ACTIVE"/>
    <m/>
    <m/>
    <m/>
    <m/>
  </r>
  <r>
    <n v="544"/>
    <s v="Donor_085"/>
    <d v="2024-08-04T00:00:00"/>
    <s v="South"/>
    <x v="1"/>
    <m/>
    <n v="1313"/>
    <s v="Cash"/>
    <s v="2024-08"/>
    <d v="2025-06-22T00:00:00"/>
    <s v="ACTIVE"/>
    <m/>
    <m/>
    <m/>
    <m/>
  </r>
  <r>
    <n v="914"/>
    <s v="Donor_105"/>
    <d v="2025-05-04T00:00:00"/>
    <s v="North"/>
    <x v="3"/>
    <m/>
    <n v="888"/>
    <s v="Bank Transfer"/>
    <s v="2025-05"/>
    <d v="2025-06-15T00:00:00"/>
    <s v="ACTIVE"/>
    <m/>
    <m/>
    <m/>
    <m/>
  </r>
  <r>
    <n v="663"/>
    <s v="Donor_089"/>
    <d v="2024-02-25T00:00:00"/>
    <s v="South"/>
    <x v="5"/>
    <m/>
    <n v="9539"/>
    <s v="Bank Transfer"/>
    <s v="2024-02"/>
    <d v="2025-05-16T00:00:00"/>
    <s v="ACTIVE"/>
    <m/>
    <m/>
    <m/>
    <m/>
  </r>
  <r>
    <n v="903"/>
    <s v="Donor_020"/>
    <d v="2025-02-08T00:00:00"/>
    <s v="West"/>
    <x v="4"/>
    <m/>
    <n v="711"/>
    <s v="Cash"/>
    <s v="2025-02"/>
    <d v="2025-05-31T00:00:00"/>
    <s v="ACTIVE"/>
    <m/>
    <m/>
    <m/>
    <m/>
  </r>
  <r>
    <n v="1268"/>
    <s v="Donor_076"/>
    <d v="2024-07-03T00:00:00"/>
    <s v="Central"/>
    <x v="4"/>
    <m/>
    <n v="999"/>
    <s v="Cheque"/>
    <s v="2024-07"/>
    <d v="2025-06-08T00:00:00"/>
    <s v="ACTIVE"/>
    <m/>
    <m/>
    <m/>
    <m/>
  </r>
  <r>
    <n v="686"/>
    <s v="Donor_077"/>
    <d v="2024-10-02T00:00:00"/>
    <s v="North"/>
    <x v="5"/>
    <m/>
    <n v="531"/>
    <s v="Cash"/>
    <s v="2024-10"/>
    <d v="2025-06-21T00:00:00"/>
    <s v="ACTIVE"/>
    <m/>
    <m/>
    <m/>
    <m/>
  </r>
  <r>
    <n v="1519"/>
    <s v="Donor_080"/>
    <d v="2025-04-16T00:00:00"/>
    <s v="East"/>
    <x v="3"/>
    <m/>
    <n v="8739"/>
    <s v="UPI"/>
    <s v="2025-04"/>
    <d v="2025-05-11T00:00:00"/>
    <s v="ACTIVE"/>
    <m/>
    <m/>
    <m/>
    <m/>
  </r>
  <r>
    <n v="160"/>
    <s v="Donor_012"/>
    <d v="2025-03-31T00:00:00"/>
    <s v="East"/>
    <x v="2"/>
    <m/>
    <n v="5419"/>
    <s v="Cheque"/>
    <s v="2025-03"/>
    <d v="2025-06-23T00:00:00"/>
    <s v="ACTIVE"/>
    <m/>
    <m/>
    <m/>
    <m/>
  </r>
  <r>
    <n v="1000"/>
    <s v="Donor_025"/>
    <d v="2024-11-12T00:00:00"/>
    <s v="North"/>
    <x v="0"/>
    <m/>
    <n v="10807"/>
    <s v="Cheque"/>
    <s v="2024-11"/>
    <d v="2025-06-07T00:00:00"/>
    <s v="ACTIVE"/>
    <m/>
    <m/>
    <m/>
    <m/>
  </r>
  <r>
    <n v="1180"/>
    <s v="Donor_116"/>
    <d v="2024-03-06T00:00:00"/>
    <s v="South"/>
    <x v="0"/>
    <m/>
    <n v="2061"/>
    <s v="Credit Card"/>
    <s v="2024-03"/>
    <d v="2025-06-11T00:00:00"/>
    <s v="ACTIVE"/>
    <m/>
    <m/>
    <m/>
    <m/>
  </r>
  <r>
    <n v="1731"/>
    <s v="Donor_074"/>
    <d v="2025-06-18T00:00:00"/>
    <s v="Central"/>
    <x v="4"/>
    <m/>
    <n v="604"/>
    <s v="UPI"/>
    <s v="2025-06"/>
    <d v="2025-06-18T00:00:00"/>
    <s v="ACTIVE"/>
    <m/>
    <m/>
    <m/>
    <m/>
  </r>
  <r>
    <n v="203"/>
    <s v="Donor_068"/>
    <d v="2025-02-06T00:00:00"/>
    <s v="South"/>
    <x v="2"/>
    <m/>
    <n v="2268"/>
    <s v="UPI"/>
    <s v="2025-02"/>
    <d v="2025-05-16T00:00:00"/>
    <s v="ACTIVE"/>
    <m/>
    <m/>
    <m/>
    <m/>
  </r>
  <r>
    <n v="1024"/>
    <s v="Donor_014"/>
    <d v="2024-08-30T00:00:00"/>
    <s v="South"/>
    <x v="2"/>
    <m/>
    <n v="827"/>
    <s v="Cash"/>
    <s v="2024-08"/>
    <d v="2025-06-03T00:00:00"/>
    <s v="ACTIVE"/>
    <m/>
    <m/>
    <m/>
    <m/>
  </r>
  <r>
    <n v="1382"/>
    <s v="Donor_012"/>
    <d v="2024-06-14T00:00:00"/>
    <s v="Central"/>
    <x v="4"/>
    <m/>
    <n v="1957"/>
    <s v="Cheque"/>
    <s v="2024-06"/>
    <d v="2025-06-23T00:00:00"/>
    <s v="ACTIVE"/>
    <m/>
    <m/>
    <m/>
    <m/>
  </r>
  <r>
    <n v="1154"/>
    <s v="Donor_020"/>
    <d v="2025-03-31T00:00:00"/>
    <s v="West"/>
    <x v="2"/>
    <m/>
    <n v="265"/>
    <s v="Credit Card"/>
    <s v="2025-03"/>
    <d v="2025-05-31T00:00:00"/>
    <s v="ACTIVE"/>
    <m/>
    <m/>
    <m/>
    <m/>
  </r>
  <r>
    <n v="113"/>
    <s v="Donor_076"/>
    <d v="2024-03-02T00:00:00"/>
    <s v="Central"/>
    <x v="0"/>
    <m/>
    <n v="5340"/>
    <s v="Cash"/>
    <s v="2024-03"/>
    <d v="2025-06-08T00:00:00"/>
    <s v="ACTIVE"/>
    <m/>
    <m/>
    <m/>
    <m/>
  </r>
  <r>
    <n v="1633"/>
    <s v="Donor_017"/>
    <d v="2024-04-17T00:00:00"/>
    <s v="South"/>
    <x v="3"/>
    <m/>
    <n v="1047"/>
    <s v="UPI"/>
    <s v="2024-04"/>
    <d v="2025-02-02T00:00:00"/>
    <s v="LAPSED"/>
    <m/>
    <m/>
    <m/>
    <m/>
  </r>
  <r>
    <n v="981"/>
    <s v="Donor_082"/>
    <d v="2025-02-27T00:00:00"/>
    <s v="West"/>
    <x v="2"/>
    <m/>
    <n v="1009"/>
    <s v="Credit Card"/>
    <s v="2025-02"/>
    <d v="2025-06-02T00:00:00"/>
    <s v="ACTIVE"/>
    <m/>
    <m/>
    <m/>
    <m/>
  </r>
  <r>
    <n v="923"/>
    <s v="Donor_065"/>
    <d v="2024-06-26T00:00:00"/>
    <s v="South"/>
    <x v="3"/>
    <m/>
    <n v="850"/>
    <s v="Cash"/>
    <s v="2024-06"/>
    <d v="2025-05-02T00:00:00"/>
    <s v="ACTIVE"/>
    <m/>
    <m/>
    <m/>
    <m/>
  </r>
  <r>
    <n v="1751"/>
    <s v="Donor_041"/>
    <d v="2024-06-30T00:00:00"/>
    <s v="South"/>
    <x v="1"/>
    <m/>
    <n v="2406"/>
    <s v="Credit Card"/>
    <s v="2024-06"/>
    <d v="2025-06-13T00:00:00"/>
    <s v="ACTIVE"/>
    <m/>
    <m/>
    <m/>
    <m/>
  </r>
  <r>
    <n v="1532"/>
    <s v="Donor_113"/>
    <d v="2024-02-10T00:00:00"/>
    <s v="West"/>
    <x v="3"/>
    <m/>
    <n v="1182"/>
    <s v="Cheque"/>
    <s v="2024-02"/>
    <d v="2025-04-17T00:00:00"/>
    <s v="ACTIVE"/>
    <m/>
    <m/>
    <m/>
    <m/>
  </r>
  <r>
    <n v="1287"/>
    <s v="Donor_008"/>
    <d v="2024-11-21T00:00:00"/>
    <s v="North"/>
    <x v="2"/>
    <m/>
    <n v="964"/>
    <s v="Cheque"/>
    <s v="2024-11"/>
    <d v="2025-06-07T00:00:00"/>
    <s v="ACTIVE"/>
    <m/>
    <m/>
    <m/>
    <m/>
  </r>
  <r>
    <n v="1128"/>
    <s v="Donor_117"/>
    <d v="2024-07-10T00:00:00"/>
    <s v="East"/>
    <x v="5"/>
    <m/>
    <n v="1480"/>
    <s v="Credit Card"/>
    <s v="2024-07"/>
    <d v="2025-04-05T00:00:00"/>
    <s v="ACTIVE"/>
    <m/>
    <m/>
    <m/>
    <m/>
  </r>
  <r>
    <n v="816"/>
    <s v="Donor_047"/>
    <d v="2024-03-22T00:00:00"/>
    <s v="West"/>
    <x v="1"/>
    <m/>
    <n v="1482"/>
    <s v="Cash"/>
    <s v="2024-03"/>
    <d v="2025-05-04T00:00:00"/>
    <s v="ACTIVE"/>
    <m/>
    <m/>
    <m/>
    <m/>
  </r>
  <r>
    <n v="1317"/>
    <s v="Donor_090"/>
    <d v="2024-05-06T00:00:00"/>
    <s v="North"/>
    <x v="4"/>
    <m/>
    <n v="1709"/>
    <s v="Credit Card"/>
    <s v="2024-05"/>
    <d v="2025-04-25T00:00:00"/>
    <s v="ACTIVE"/>
    <m/>
    <m/>
    <m/>
    <m/>
  </r>
  <r>
    <n v="1172"/>
    <s v="Donor_073"/>
    <d v="2024-06-11T00:00:00"/>
    <s v="East"/>
    <x v="1"/>
    <m/>
    <n v="321"/>
    <s v="Credit Card"/>
    <s v="2024-06"/>
    <d v="2025-06-23T00:00:00"/>
    <s v="ACTIVE"/>
    <m/>
    <m/>
    <m/>
    <m/>
  </r>
  <r>
    <n v="81"/>
    <s v="Donor_040"/>
    <d v="2024-06-11T00:00:00"/>
    <s v="Central"/>
    <x v="3"/>
    <m/>
    <n v="9632"/>
    <s v="Credit Card"/>
    <s v="2024-06"/>
    <d v="2025-05-15T00:00:00"/>
    <s v="ACTIVE"/>
    <m/>
    <m/>
    <m/>
    <m/>
  </r>
  <r>
    <n v="1588"/>
    <s v="Donor_088"/>
    <d v="2024-07-09T00:00:00"/>
    <s v="South"/>
    <x v="5"/>
    <m/>
    <n v="539"/>
    <s v="UPI"/>
    <s v="2024-07"/>
    <d v="2025-05-21T00:00:00"/>
    <s v="ACTIVE"/>
    <m/>
    <m/>
    <m/>
    <m/>
  </r>
  <r>
    <n v="1380"/>
    <s v="Donor_091"/>
    <d v="2024-01-22T00:00:00"/>
    <s v="Central"/>
    <x v="2"/>
    <m/>
    <n v="5270"/>
    <s v="UPI"/>
    <s v="2024-01"/>
    <d v="2025-05-16T00:00:00"/>
    <s v="ACTIVE"/>
    <m/>
    <m/>
    <m/>
    <m/>
  </r>
  <r>
    <n v="1381"/>
    <s v="Donor_009"/>
    <d v="2024-03-09T00:00:00"/>
    <s v="North"/>
    <x v="5"/>
    <m/>
    <n v="4949"/>
    <s v="Cheque"/>
    <s v="2024-03"/>
    <d v="2025-05-15T00:00:00"/>
    <s v="ACTIVE"/>
    <m/>
    <m/>
    <m/>
    <m/>
  </r>
  <r>
    <n v="753"/>
    <s v="Donor_094"/>
    <d v="2025-06-19T00:00:00"/>
    <s v="NOT KNOWN"/>
    <x v="4"/>
    <m/>
    <n v="598"/>
    <s v="Cheque"/>
    <s v="2025-06"/>
    <d v="2025-06-19T00:00:00"/>
    <s v="ACTIVE"/>
    <m/>
    <m/>
    <m/>
    <m/>
  </r>
  <r>
    <n v="1351"/>
    <s v="Donor_066"/>
    <d v="2024-08-10T00:00:00"/>
    <s v="North"/>
    <x v="5"/>
    <m/>
    <n v="443"/>
    <s v="Credit Card"/>
    <s v="2024-08"/>
    <d v="2025-03-22T00:00:00"/>
    <s v="LAPSED"/>
    <m/>
    <m/>
    <m/>
    <m/>
  </r>
  <r>
    <n v="1055"/>
    <s v="Donor_107"/>
    <d v="2025-01-15T00:00:00"/>
    <s v="West"/>
    <x v="3"/>
    <m/>
    <n v="863"/>
    <s v="Credit Card"/>
    <s v="2025-01"/>
    <d v="2025-03-18T00:00:00"/>
    <s v="LAPSED"/>
    <m/>
    <m/>
    <m/>
    <m/>
  </r>
  <r>
    <n v="243"/>
    <s v="Donor_054"/>
    <d v="2024-10-29T00:00:00"/>
    <s v="North"/>
    <x v="3"/>
    <m/>
    <n v="1409"/>
    <s v="Bank Transfer"/>
    <s v="2024-10"/>
    <d v="2025-06-18T00:00:00"/>
    <s v="ACTIVE"/>
    <m/>
    <m/>
    <m/>
    <m/>
  </r>
  <r>
    <n v="1239"/>
    <s v="Donor_100"/>
    <d v="2024-04-16T00:00:00"/>
    <s v="West"/>
    <x v="0"/>
    <m/>
    <n v="782"/>
    <s v="Cash"/>
    <s v="2024-04"/>
    <d v="2025-06-14T00:00:00"/>
    <s v="ACTIVE"/>
    <m/>
    <m/>
    <m/>
    <m/>
  </r>
  <r>
    <n v="642"/>
    <s v="Donor_114"/>
    <d v="2024-11-06T00:00:00"/>
    <s v="South"/>
    <x v="1"/>
    <m/>
    <n v="640"/>
    <s v="Cash"/>
    <s v="2024-11"/>
    <d v="2025-04-04T00:00:00"/>
    <s v="ACTIVE"/>
    <m/>
    <m/>
    <m/>
    <m/>
  </r>
  <r>
    <n v="697"/>
    <s v="Donor_015"/>
    <d v="2025-02-08T00:00:00"/>
    <s v="North"/>
    <x v="4"/>
    <m/>
    <n v="295"/>
    <s v="Cash"/>
    <s v="2025-02"/>
    <d v="2025-05-02T00:00:00"/>
    <s v="ACTIVE"/>
    <m/>
    <m/>
    <m/>
    <m/>
  </r>
  <r>
    <n v="210"/>
    <s v="Donor_118"/>
    <d v="2025-04-19T00:00:00"/>
    <s v="North"/>
    <x v="0"/>
    <m/>
    <n v="890"/>
    <s v="Cheque"/>
    <s v="2025-04"/>
    <d v="2025-04-19T00:00:00"/>
    <s v="ACTIVE"/>
    <m/>
    <m/>
    <m/>
    <m/>
  </r>
  <r>
    <n v="771"/>
    <s v="Donor_026"/>
    <d v="2024-07-01T00:00:00"/>
    <s v="North"/>
    <x v="4"/>
    <m/>
    <n v="2911"/>
    <s v="UPI"/>
    <s v="2024-07"/>
    <d v="2025-05-28T00:00:00"/>
    <s v="ACTIVE"/>
    <m/>
    <m/>
    <m/>
    <m/>
  </r>
  <r>
    <n v="1582"/>
    <s v="Donor_085"/>
    <d v="2024-08-23T00:00:00"/>
    <s v="Central"/>
    <x v="1"/>
    <m/>
    <n v="2507"/>
    <s v="Bank Transfer"/>
    <s v="2024-08"/>
    <d v="2025-06-22T00:00:00"/>
    <s v="ACTIVE"/>
    <m/>
    <m/>
    <m/>
    <m/>
  </r>
  <r>
    <n v="436"/>
    <s v="Donor_072"/>
    <d v="2024-08-29T00:00:00"/>
    <s v="West"/>
    <x v="1"/>
    <m/>
    <n v="1717"/>
    <s v="Credit Card"/>
    <s v="2024-08"/>
    <d v="2025-04-13T00:00:00"/>
    <s v="ACTIVE"/>
    <m/>
    <m/>
    <m/>
    <m/>
  </r>
  <r>
    <n v="1064"/>
    <s v="Donor_098"/>
    <d v="2024-09-26T00:00:00"/>
    <s v="Central"/>
    <x v="2"/>
    <m/>
    <n v="329"/>
    <s v="Credit Card"/>
    <s v="2024-09"/>
    <d v="2025-06-20T00:00:00"/>
    <s v="ACTIVE"/>
    <m/>
    <m/>
    <m/>
    <m/>
  </r>
  <r>
    <n v="975"/>
    <s v="Donor_117"/>
    <d v="2024-01-05T00:00:00"/>
    <s v="West"/>
    <x v="5"/>
    <m/>
    <n v="1705"/>
    <s v="Cash"/>
    <s v="2024-01"/>
    <d v="2025-04-05T00:00:00"/>
    <s v="ACTIVE"/>
    <m/>
    <m/>
    <m/>
    <m/>
  </r>
  <r>
    <n v="552"/>
    <s v="Donor_075"/>
    <d v="2025-04-29T00:00:00"/>
    <s v="South"/>
    <x v="0"/>
    <m/>
    <n v="531"/>
    <s v="Bank Transfer"/>
    <s v="2025-04"/>
    <d v="2025-04-29T00:00:00"/>
    <s v="ACTIVE"/>
    <m/>
    <m/>
    <m/>
    <m/>
  </r>
  <r>
    <n v="1332"/>
    <s v="Donor_050"/>
    <d v="2024-04-07T00:00:00"/>
    <s v="South"/>
    <x v="0"/>
    <m/>
    <n v="4163"/>
    <s v="Cash"/>
    <s v="2024-04"/>
    <d v="2025-06-18T00:00:00"/>
    <s v="ACTIVE"/>
    <m/>
    <m/>
    <m/>
    <m/>
  </r>
  <r>
    <n v="1274"/>
    <s v="Donor_083"/>
    <d v="2024-06-26T00:00:00"/>
    <s v="East"/>
    <x v="2"/>
    <m/>
    <n v="507"/>
    <s v="UPI"/>
    <s v="2024-06"/>
    <d v="2025-06-21T00:00:00"/>
    <s v="ACTIVE"/>
    <m/>
    <m/>
    <m/>
    <m/>
  </r>
  <r>
    <n v="1014"/>
    <s v="Donor_080"/>
    <d v="2025-05-11T00:00:00"/>
    <s v="South"/>
    <x v="3"/>
    <m/>
    <n v="800"/>
    <s v="Cheque"/>
    <s v="2025-05"/>
    <d v="2025-05-11T00:00:00"/>
    <s v="ACTIVE"/>
    <m/>
    <m/>
    <m/>
    <m/>
  </r>
  <r>
    <n v="1701"/>
    <s v="Donor_044"/>
    <d v="2025-05-05T00:00:00"/>
    <s v="South"/>
    <x v="1"/>
    <m/>
    <n v="5393"/>
    <s v="Cash"/>
    <s v="2025-05"/>
    <d v="2025-05-05T00:00:00"/>
    <s v="ACTIVE"/>
    <m/>
    <m/>
    <m/>
    <m/>
  </r>
  <r>
    <n v="467"/>
    <s v="Donor_068"/>
    <d v="2025-05-16T00:00:00"/>
    <s v="Central"/>
    <x v="2"/>
    <m/>
    <n v="2049"/>
    <s v="Credit Card"/>
    <s v="2025-05"/>
    <d v="2025-05-16T00:00:00"/>
    <s v="ACTIVE"/>
    <m/>
    <m/>
    <m/>
    <m/>
  </r>
  <r>
    <n v="1334"/>
    <s v="Donor_046"/>
    <d v="2024-12-01T00:00:00"/>
    <s v="Central"/>
    <x v="1"/>
    <m/>
    <n v="8584"/>
    <s v="Bank Transfer"/>
    <s v="2024-12"/>
    <d v="2025-05-10T00:00:00"/>
    <s v="ACTIVE"/>
    <m/>
    <m/>
    <m/>
    <m/>
  </r>
  <r>
    <n v="1420"/>
    <s v="Donor_097"/>
    <d v="2025-02-18T00:00:00"/>
    <s v="East"/>
    <x v="0"/>
    <m/>
    <n v="650"/>
    <s v="Cash"/>
    <s v="2025-02"/>
    <d v="2025-06-04T00:00:00"/>
    <s v="ACTIVE"/>
    <m/>
    <m/>
    <m/>
    <m/>
  </r>
  <r>
    <n v="278"/>
    <s v="Donor_067"/>
    <d v="2024-12-21T00:00:00"/>
    <s v="Central"/>
    <x v="2"/>
    <m/>
    <n v="2167"/>
    <s v="Credit Card"/>
    <s v="2024-12"/>
    <d v="2025-06-15T00:00:00"/>
    <s v="ACTIVE"/>
    <m/>
    <m/>
    <m/>
    <m/>
  </r>
  <r>
    <n v="1070"/>
    <s v="Donor_050"/>
    <d v="2024-11-26T00:00:00"/>
    <s v="East"/>
    <x v="4"/>
    <m/>
    <n v="1225"/>
    <s v="Credit Card"/>
    <s v="2024-11"/>
    <d v="2025-06-18T00:00:00"/>
    <s v="ACTIVE"/>
    <m/>
    <m/>
    <m/>
    <m/>
  </r>
  <r>
    <n v="1018"/>
    <s v="Donor_051"/>
    <d v="2024-10-08T00:00:00"/>
    <s v="West"/>
    <x v="2"/>
    <m/>
    <n v="986"/>
    <s v="Cash"/>
    <s v="2024-10"/>
    <d v="2025-06-11T00:00:00"/>
    <s v="ACTIVE"/>
    <m/>
    <m/>
    <m/>
    <m/>
  </r>
  <r>
    <n v="1200"/>
    <s v="Donor_073"/>
    <d v="2024-03-18T00:00:00"/>
    <s v="North"/>
    <x v="0"/>
    <m/>
    <n v="1013"/>
    <s v="Cheque"/>
    <s v="2024-03"/>
    <d v="2025-06-23T00:00:00"/>
    <s v="ACTIVE"/>
    <m/>
    <m/>
    <m/>
    <m/>
  </r>
  <r>
    <n v="723"/>
    <s v="Donor_045"/>
    <d v="2024-08-27T00:00:00"/>
    <s v="East"/>
    <x v="5"/>
    <m/>
    <n v="1629"/>
    <s v="Cheque"/>
    <s v="2024-08"/>
    <d v="2025-05-11T00:00:00"/>
    <s v="ACTIVE"/>
    <m/>
    <m/>
    <m/>
    <m/>
  </r>
  <r>
    <n v="1760"/>
    <s v="Donor_098"/>
    <d v="2024-04-12T00:00:00"/>
    <s v="West"/>
    <x v="2"/>
    <m/>
    <n v="2276"/>
    <s v="Cash"/>
    <s v="2024-04"/>
    <d v="2025-06-20T00:00:00"/>
    <s v="ACTIVE"/>
    <m/>
    <m/>
    <m/>
    <m/>
  </r>
  <r>
    <n v="787"/>
    <s v="Donor_042"/>
    <d v="2024-11-02T00:00:00"/>
    <s v="Central"/>
    <x v="3"/>
    <m/>
    <n v="584"/>
    <s v="Credit Card"/>
    <s v="2024-11"/>
    <d v="2025-02-10T00:00:00"/>
    <s v="LAPSED"/>
    <m/>
    <m/>
    <m/>
    <m/>
  </r>
  <r>
    <n v="1393"/>
    <s v="Donor_112"/>
    <d v="2024-10-04T00:00:00"/>
    <s v="East"/>
    <x v="0"/>
    <m/>
    <n v="8911"/>
    <s v="Bank Transfer"/>
    <s v="2024-10"/>
    <d v="2025-05-26T00:00:00"/>
    <s v="ACTIVE"/>
    <m/>
    <m/>
    <m/>
    <m/>
  </r>
  <r>
    <n v="1188"/>
    <s v="Donor_079"/>
    <d v="2024-06-10T00:00:00"/>
    <s v="South"/>
    <x v="5"/>
    <m/>
    <n v="11925"/>
    <s v="Cheque"/>
    <s v="2024-06"/>
    <d v="2025-06-07T00:00:00"/>
    <s v="ACTIVE"/>
    <m/>
    <m/>
    <m/>
    <m/>
  </r>
  <r>
    <n v="1242"/>
    <s v="Donor_028"/>
    <d v="2024-01-27T00:00:00"/>
    <s v="Central"/>
    <x v="4"/>
    <m/>
    <n v="526"/>
    <s v="Bank Transfer"/>
    <s v="2024-01"/>
    <d v="2025-03-09T00:00:00"/>
    <s v="LAPSED"/>
    <m/>
    <m/>
    <m/>
    <m/>
  </r>
  <r>
    <n v="1769"/>
    <s v="Donor_010"/>
    <d v="2024-01-12T00:00:00"/>
    <s v="West"/>
    <x v="4"/>
    <m/>
    <n v="694"/>
    <s v="Credit Card"/>
    <s v="2024-01"/>
    <d v="2025-06-01T00:00:00"/>
    <s v="ACTIVE"/>
    <m/>
    <m/>
    <m/>
    <m/>
  </r>
  <r>
    <n v="907"/>
    <s v="Donor_102"/>
    <d v="2024-01-14T00:00:00"/>
    <s v="North"/>
    <x v="3"/>
    <m/>
    <n v="10945"/>
    <s v="Bank Transfer"/>
    <s v="2024-01"/>
    <d v="2025-04-29T00:00:00"/>
    <s v="ACTIVE"/>
    <m/>
    <m/>
    <m/>
    <m/>
  </r>
  <r>
    <n v="564"/>
    <s v="Donor_021"/>
    <d v="2024-09-20T00:00:00"/>
    <s v="North"/>
    <x v="5"/>
    <m/>
    <n v="477"/>
    <s v="Bank Transfer"/>
    <s v="2024-09"/>
    <d v="2025-04-05T00:00:00"/>
    <s v="ACTIVE"/>
    <m/>
    <m/>
    <m/>
    <m/>
  </r>
  <r>
    <n v="389"/>
    <s v="Donor_090"/>
    <d v="2024-02-16T00:00:00"/>
    <s v="North"/>
    <x v="5"/>
    <m/>
    <n v="8425"/>
    <s v="Bank Transfer"/>
    <s v="2024-02"/>
    <d v="2025-04-25T00:00:00"/>
    <s v="ACTIVE"/>
    <m/>
    <m/>
    <m/>
    <m/>
  </r>
  <r>
    <n v="23"/>
    <s v="Donor_034"/>
    <d v="2025-02-03T00:00:00"/>
    <s v="West"/>
    <x v="5"/>
    <m/>
    <n v="809"/>
    <s v="Cheque"/>
    <s v="2025-02"/>
    <d v="2025-06-21T00:00:00"/>
    <s v="ACTIVE"/>
    <m/>
    <m/>
    <m/>
    <m/>
  </r>
  <r>
    <n v="1110"/>
    <s v="Donor_022"/>
    <d v="2024-08-07T00:00:00"/>
    <s v="East"/>
    <x v="2"/>
    <m/>
    <n v="1704"/>
    <s v="Cheque"/>
    <s v="2024-08"/>
    <d v="2025-06-21T00:00:00"/>
    <s v="ACTIVE"/>
    <m/>
    <m/>
    <m/>
    <m/>
  </r>
  <r>
    <n v="125"/>
    <s v="Donor_010"/>
    <d v="2024-06-21T00:00:00"/>
    <s v="Central"/>
    <x v="2"/>
    <m/>
    <n v="1012"/>
    <s v="Credit Card"/>
    <s v="2024-06"/>
    <d v="2025-06-01T00:00:00"/>
    <s v="ACTIVE"/>
    <m/>
    <m/>
    <m/>
    <m/>
  </r>
  <r>
    <n v="1270"/>
    <s v="Donor_006"/>
    <d v="2025-02-17T00:00:00"/>
    <s v="East"/>
    <x v="3"/>
    <m/>
    <n v="337"/>
    <s v="Cheque"/>
    <s v="2025-02"/>
    <d v="2025-06-06T00:00:00"/>
    <s v="ACTIVE"/>
    <m/>
    <m/>
    <m/>
    <m/>
  </r>
  <r>
    <n v="774"/>
    <s v="Donor_082"/>
    <d v="2025-03-15T00:00:00"/>
    <s v="South"/>
    <x v="3"/>
    <m/>
    <n v="2284"/>
    <s v="Bank Transfer"/>
    <s v="2025-03"/>
    <d v="2025-06-02T00:00:00"/>
    <s v="ACTIVE"/>
    <m/>
    <m/>
    <m/>
    <m/>
  </r>
  <r>
    <n v="881"/>
    <s v="Donor_025"/>
    <d v="2024-04-23T00:00:00"/>
    <s v="East"/>
    <x v="3"/>
    <m/>
    <n v="1437"/>
    <s v="Bank Transfer"/>
    <s v="2024-04"/>
    <d v="2025-06-07T00:00:00"/>
    <s v="ACTIVE"/>
    <m/>
    <m/>
    <m/>
    <m/>
  </r>
  <r>
    <n v="51"/>
    <s v="Donor_069"/>
    <d v="2025-03-05T00:00:00"/>
    <s v="Central"/>
    <x v="0"/>
    <m/>
    <n v="1991"/>
    <s v="Bank Transfer"/>
    <s v="2025-03"/>
    <d v="2025-06-13T00:00:00"/>
    <s v="ACTIVE"/>
    <m/>
    <m/>
    <m/>
    <m/>
  </r>
  <r>
    <n v="1477"/>
    <s v="Donor_022"/>
    <d v="2024-05-09T00:00:00"/>
    <s v="Central"/>
    <x v="4"/>
    <m/>
    <n v="602"/>
    <s v="Cheque"/>
    <s v="2024-05"/>
    <d v="2025-06-21T00:00:00"/>
    <s v="ACTIVE"/>
    <m/>
    <m/>
    <m/>
    <m/>
  </r>
  <r>
    <n v="1318"/>
    <s v="Donor_082"/>
    <d v="2025-06-02T00:00:00"/>
    <s v="East"/>
    <x v="4"/>
    <m/>
    <n v="675"/>
    <s v="Bank Transfer"/>
    <s v="2025-06"/>
    <d v="2025-06-02T00:00:00"/>
    <s v="ACTIVE"/>
    <m/>
    <m/>
    <m/>
    <m/>
  </r>
  <r>
    <n v="1106"/>
    <s v="Donor_103"/>
    <d v="2024-05-09T00:00:00"/>
    <s v="Central"/>
    <x v="0"/>
    <m/>
    <n v="699"/>
    <s v="Cheque"/>
    <s v="2024-05"/>
    <d v="2025-02-25T00:00:00"/>
    <s v="LAPSED"/>
    <m/>
    <m/>
    <m/>
    <m/>
  </r>
  <r>
    <n v="704"/>
    <s v="Donor_064"/>
    <d v="2024-04-29T00:00:00"/>
    <s v="Central"/>
    <x v="2"/>
    <m/>
    <n v="4897"/>
    <s v="Cash"/>
    <s v="2024-04"/>
    <d v="2025-06-20T00:00:00"/>
    <s v="ACTIVE"/>
    <m/>
    <m/>
    <m/>
    <m/>
  </r>
  <r>
    <n v="483"/>
    <s v="Donor_015"/>
    <d v="2024-04-01T00:00:00"/>
    <s v="West"/>
    <x v="1"/>
    <m/>
    <n v="4697"/>
    <s v="Bank Transfer"/>
    <s v="2024-04"/>
    <d v="2025-05-02T00:00:00"/>
    <s v="ACTIVE"/>
    <m/>
    <m/>
    <m/>
    <m/>
  </r>
  <r>
    <n v="1721"/>
    <s v="Donor_115"/>
    <d v="2024-08-28T00:00:00"/>
    <s v="Central"/>
    <x v="5"/>
    <m/>
    <n v="5300"/>
    <s v="UPI"/>
    <s v="2024-08"/>
    <d v="2025-06-20T00:00:00"/>
    <s v="ACTIVE"/>
    <m/>
    <m/>
    <m/>
    <m/>
  </r>
  <r>
    <n v="67"/>
    <s v="Donor_071"/>
    <d v="2024-02-25T00:00:00"/>
    <s v="East"/>
    <x v="2"/>
    <m/>
    <n v="1583"/>
    <s v="Cash"/>
    <s v="2024-02"/>
    <d v="2025-06-08T00:00:00"/>
    <s v="ACTIVE"/>
    <m/>
    <m/>
    <m/>
    <m/>
  </r>
  <r>
    <n v="1553"/>
    <s v="Donor_083"/>
    <d v="2024-02-01T00:00:00"/>
    <s v="West"/>
    <x v="4"/>
    <m/>
    <n v="1848"/>
    <s v="Credit Card"/>
    <s v="2024-02"/>
    <d v="2025-06-21T00:00:00"/>
    <s v="ACTIVE"/>
    <m/>
    <m/>
    <m/>
    <m/>
  </r>
  <r>
    <n v="734"/>
    <s v="Donor_065"/>
    <d v="2025-05-02T00:00:00"/>
    <s v="North"/>
    <x v="3"/>
    <m/>
    <n v="8719"/>
    <s v="UPI"/>
    <s v="2025-05"/>
    <d v="2025-05-02T00:00:00"/>
    <s v="ACTIVE"/>
    <m/>
    <m/>
    <m/>
    <m/>
  </r>
  <r>
    <n v="1611"/>
    <s v="Donor_091"/>
    <d v="2024-06-26T00:00:00"/>
    <s v="Central"/>
    <x v="3"/>
    <m/>
    <n v="1314"/>
    <s v="UPI"/>
    <s v="2024-06"/>
    <d v="2025-05-16T00:00:00"/>
    <s v="ACTIVE"/>
    <m/>
    <m/>
    <m/>
    <m/>
  </r>
  <r>
    <n v="802"/>
    <s v="Donor_083"/>
    <d v="2025-06-19T00:00:00"/>
    <s v="North"/>
    <x v="1"/>
    <m/>
    <n v="2444"/>
    <s v="Cheque"/>
    <s v="2025-06"/>
    <d v="2025-06-21T00:00:00"/>
    <s v="ACTIVE"/>
    <m/>
    <m/>
    <m/>
    <m/>
  </r>
  <r>
    <n v="1533"/>
    <s v="Donor_060"/>
    <d v="2024-04-07T00:00:00"/>
    <s v="Central"/>
    <x v="1"/>
    <m/>
    <n v="10881"/>
    <s v="Cheque"/>
    <s v="2024-04"/>
    <d v="2025-05-20T00:00:00"/>
    <s v="ACTIVE"/>
    <m/>
    <m/>
    <m/>
    <m/>
  </r>
  <r>
    <n v="1328"/>
    <s v="Donor_081"/>
    <d v="2024-11-11T00:00:00"/>
    <s v="South"/>
    <x v="5"/>
    <m/>
    <n v="2684"/>
    <s v="Cash"/>
    <s v="2024-11"/>
    <d v="2025-06-07T00:00:00"/>
    <s v="ACTIVE"/>
    <m/>
    <m/>
    <m/>
    <m/>
  </r>
  <r>
    <n v="908"/>
    <s v="Donor_105"/>
    <d v="2025-03-30T00:00:00"/>
    <s v="South"/>
    <x v="5"/>
    <m/>
    <n v="4958"/>
    <s v="Credit Card"/>
    <s v="2025-03"/>
    <d v="2025-06-15T00:00:00"/>
    <s v="ACTIVE"/>
    <m/>
    <m/>
    <m/>
    <m/>
  </r>
  <r>
    <n v="32"/>
    <s v="Donor_072"/>
    <d v="2025-03-13T00:00:00"/>
    <s v="North"/>
    <x v="3"/>
    <m/>
    <n v="1178"/>
    <s v="Credit Card"/>
    <s v="2025-03"/>
    <d v="2025-04-13T00:00:00"/>
    <s v="ACTIVE"/>
    <m/>
    <m/>
    <m/>
    <m/>
  </r>
  <r>
    <n v="418"/>
    <s v="Donor_096"/>
    <d v="2024-05-01T00:00:00"/>
    <s v="South"/>
    <x v="1"/>
    <m/>
    <n v="1260"/>
    <s v="Cheque"/>
    <s v="2024-05"/>
    <d v="2025-06-04T00:00:00"/>
    <s v="ACTIVE"/>
    <m/>
    <m/>
    <m/>
    <m/>
  </r>
  <r>
    <n v="633"/>
    <s v="Donor_018"/>
    <d v="2025-06-16T00:00:00"/>
    <s v="West"/>
    <x v="5"/>
    <m/>
    <n v="2557"/>
    <s v="UPI"/>
    <s v="2025-06"/>
    <d v="2025-06-16T00:00:00"/>
    <s v="ACTIVE"/>
    <m/>
    <m/>
    <m/>
    <m/>
  </r>
  <r>
    <n v="1409"/>
    <s v="Donor_004"/>
    <d v="2025-04-25T00:00:00"/>
    <s v="Central"/>
    <x v="4"/>
    <m/>
    <n v="981"/>
    <s v="UPI"/>
    <s v="2025-04"/>
    <d v="2025-05-26T00:00:00"/>
    <s v="ACTIVE"/>
    <m/>
    <m/>
    <m/>
    <m/>
  </r>
  <r>
    <n v="1303"/>
    <s v="Donor_049"/>
    <d v="2025-04-29T00:00:00"/>
    <s v="West"/>
    <x v="4"/>
    <m/>
    <n v="517"/>
    <s v="Bank Transfer"/>
    <s v="2025-04"/>
    <d v="2025-06-19T00:00:00"/>
    <s v="ACTIVE"/>
    <m/>
    <m/>
    <m/>
    <m/>
  </r>
  <r>
    <n v="65"/>
    <s v="Donor_093"/>
    <d v="2024-05-03T00:00:00"/>
    <s v="South"/>
    <x v="5"/>
    <m/>
    <n v="1097"/>
    <s v="Credit Card"/>
    <s v="2024-05"/>
    <d v="2025-03-24T00:00:00"/>
    <s v="LAPSED"/>
    <m/>
    <m/>
    <m/>
    <m/>
  </r>
  <r>
    <n v="1570"/>
    <s v="Donor_040"/>
    <d v="2024-10-30T00:00:00"/>
    <s v="East"/>
    <x v="0"/>
    <m/>
    <n v="545"/>
    <s v="Credit Card"/>
    <s v="2024-10"/>
    <d v="2025-05-15T00:00:00"/>
    <s v="ACTIVE"/>
    <m/>
    <m/>
    <m/>
    <m/>
  </r>
  <r>
    <n v="78"/>
    <s v="Donor_105"/>
    <d v="2025-02-14T00:00:00"/>
    <s v="Central"/>
    <x v="3"/>
    <m/>
    <n v="251"/>
    <s v="Bank Transfer"/>
    <s v="2025-02"/>
    <d v="2025-06-15T00:00:00"/>
    <s v="ACTIVE"/>
    <m/>
    <m/>
    <m/>
    <m/>
  </r>
  <r>
    <n v="492"/>
    <s v="Donor_072"/>
    <d v="2024-01-31T00:00:00"/>
    <s v="East"/>
    <x v="4"/>
    <m/>
    <n v="1405"/>
    <s v="Cash"/>
    <s v="2024-01"/>
    <d v="2025-04-13T00:00:00"/>
    <s v="ACTIVE"/>
    <m/>
    <m/>
    <m/>
    <m/>
  </r>
  <r>
    <n v="1280"/>
    <s v="Donor_006"/>
    <d v="2025-02-08T00:00:00"/>
    <s v="West"/>
    <x v="4"/>
    <m/>
    <n v="1656"/>
    <s v="UPI"/>
    <s v="2025-02"/>
    <d v="2025-06-06T00:00:00"/>
    <s v="ACTIVE"/>
    <m/>
    <m/>
    <m/>
    <m/>
  </r>
  <r>
    <n v="1666"/>
    <s v="Donor_074"/>
    <d v="2024-08-26T00:00:00"/>
    <s v="West"/>
    <x v="0"/>
    <m/>
    <n v="4875"/>
    <s v="UPI"/>
    <s v="2024-08"/>
    <d v="2025-06-18T00:00:00"/>
    <s v="ACTIVE"/>
    <m/>
    <m/>
    <m/>
    <m/>
  </r>
  <r>
    <n v="533"/>
    <s v="Donor_105"/>
    <d v="2024-04-05T00:00:00"/>
    <s v="West"/>
    <x v="3"/>
    <m/>
    <n v="277"/>
    <s v="Cash"/>
    <s v="2024-04"/>
    <d v="2025-06-15T00:00:00"/>
    <s v="ACTIVE"/>
    <m/>
    <m/>
    <m/>
    <m/>
  </r>
  <r>
    <n v="66"/>
    <s v="Donor_077"/>
    <d v="2025-06-21T00:00:00"/>
    <s v="East"/>
    <x v="3"/>
    <m/>
    <n v="1837"/>
    <s v="Bank Transfer"/>
    <s v="2025-06"/>
    <d v="2025-06-21T00:00:00"/>
    <s v="ACTIVE"/>
    <m/>
    <m/>
    <m/>
    <m/>
  </r>
  <r>
    <n v="1529"/>
    <s v="Donor_027"/>
    <d v="2024-09-01T00:00:00"/>
    <s v="South"/>
    <x v="4"/>
    <m/>
    <n v="4389"/>
    <s v="Cheque"/>
    <s v="2024-09"/>
    <d v="2025-06-06T00:00:00"/>
    <s v="ACTIVE"/>
    <m/>
    <m/>
    <m/>
    <m/>
  </r>
  <r>
    <n v="297"/>
    <s v="Donor_005"/>
    <d v="2024-06-01T00:00:00"/>
    <s v="Central"/>
    <x v="0"/>
    <m/>
    <n v="2118"/>
    <s v="Cash"/>
    <s v="2024-06"/>
    <d v="2025-06-10T00:00:00"/>
    <s v="ACTIVE"/>
    <m/>
    <m/>
    <m/>
    <m/>
  </r>
  <r>
    <n v="592"/>
    <s v="Donor_058"/>
    <d v="2024-04-10T00:00:00"/>
    <s v="West"/>
    <x v="4"/>
    <m/>
    <n v="1023"/>
    <s v="UPI"/>
    <s v="2024-04"/>
    <d v="2025-06-22T00:00:00"/>
    <s v="ACTIVE"/>
    <m/>
    <m/>
    <m/>
    <m/>
  </r>
  <r>
    <n v="768"/>
    <s v="Donor_089"/>
    <d v="2024-08-16T00:00:00"/>
    <s v="South"/>
    <x v="1"/>
    <m/>
    <n v="1791"/>
    <s v="Bank Transfer"/>
    <s v="2024-08"/>
    <d v="2025-05-16T00:00:00"/>
    <s v="ACTIVE"/>
    <m/>
    <m/>
    <m/>
    <m/>
  </r>
  <r>
    <n v="725"/>
    <s v="Donor_048"/>
    <d v="2024-03-20T00:00:00"/>
    <s v="Central"/>
    <x v="1"/>
    <m/>
    <n v="10076"/>
    <s v="Cash"/>
    <s v="2024-03"/>
    <d v="2025-06-08T00:00:00"/>
    <s v="ACTIVE"/>
    <m/>
    <m/>
    <m/>
    <m/>
  </r>
  <r>
    <n v="627"/>
    <s v="Donor_089"/>
    <d v="2025-03-11T00:00:00"/>
    <s v="North"/>
    <x v="3"/>
    <m/>
    <n v="555"/>
    <s v="Cash"/>
    <s v="2025-03"/>
    <d v="2025-05-16T00:00:00"/>
    <s v="ACTIVE"/>
    <m/>
    <m/>
    <m/>
    <m/>
  </r>
  <r>
    <n v="1278"/>
    <s v="Donor_077"/>
    <d v="2024-05-25T00:00:00"/>
    <s v="South"/>
    <x v="0"/>
    <m/>
    <n v="2882"/>
    <s v="Cash"/>
    <s v="2024-05"/>
    <d v="2025-06-21T00:00:00"/>
    <s v="ACTIVE"/>
    <m/>
    <m/>
    <m/>
    <m/>
  </r>
  <r>
    <n v="1754"/>
    <s v="Donor_094"/>
    <d v="2024-11-12T00:00:00"/>
    <s v="North"/>
    <x v="2"/>
    <m/>
    <n v="1156"/>
    <s v="UPI"/>
    <s v="2024-11"/>
    <d v="2025-06-19T00:00:00"/>
    <s v="ACTIVE"/>
    <m/>
    <m/>
    <m/>
    <m/>
  </r>
  <r>
    <n v="1456"/>
    <s v="Donor_056"/>
    <d v="2024-01-03T00:00:00"/>
    <s v="North"/>
    <x v="3"/>
    <m/>
    <n v="2535"/>
    <s v="Cheque"/>
    <s v="2024-01"/>
    <d v="2025-05-08T00:00:00"/>
    <s v="ACTIVE"/>
    <m/>
    <m/>
    <m/>
    <m/>
  </r>
  <r>
    <n v="252"/>
    <s v="Donor_018"/>
    <d v="2025-05-11T00:00:00"/>
    <s v="South"/>
    <x v="1"/>
    <m/>
    <n v="10022"/>
    <s v="Cash"/>
    <s v="2025-05"/>
    <d v="2025-06-16T00:00:00"/>
    <s v="ACTIVE"/>
    <m/>
    <m/>
    <m/>
    <m/>
  </r>
  <r>
    <n v="1657"/>
    <s v="Donor_104"/>
    <d v="2024-02-08T00:00:00"/>
    <s v="Central"/>
    <x v="5"/>
    <m/>
    <n v="352"/>
    <s v="Cash"/>
    <s v="2024-02"/>
    <d v="2025-05-08T00:00:00"/>
    <s v="ACTIVE"/>
    <m/>
    <m/>
    <m/>
    <m/>
  </r>
  <r>
    <n v="1193"/>
    <s v="Donor_100"/>
    <d v="2024-02-17T00:00:00"/>
    <s v="West"/>
    <x v="2"/>
    <m/>
    <n v="270"/>
    <s v="Cheque"/>
    <s v="2024-02"/>
    <d v="2025-06-14T00:00:00"/>
    <s v="ACTIVE"/>
    <m/>
    <m/>
    <m/>
    <m/>
  </r>
  <r>
    <n v="1714"/>
    <s v="Donor_040"/>
    <d v="2024-03-03T00:00:00"/>
    <s v="East"/>
    <x v="1"/>
    <m/>
    <n v="1703"/>
    <s v="UPI"/>
    <s v="2024-03"/>
    <d v="2025-05-15T00:00:00"/>
    <s v="ACTIVE"/>
    <m/>
    <m/>
    <m/>
    <m/>
  </r>
  <r>
    <n v="983"/>
    <s v="Donor_089"/>
    <d v="2024-07-29T00:00:00"/>
    <s v="North"/>
    <x v="3"/>
    <m/>
    <n v="247"/>
    <s v="UPI"/>
    <s v="2024-07"/>
    <d v="2025-05-16T00:00:00"/>
    <s v="ACTIVE"/>
    <m/>
    <m/>
    <m/>
    <m/>
  </r>
  <r>
    <n v="1600"/>
    <s v="Donor_080"/>
    <d v="2024-01-17T00:00:00"/>
    <s v="East"/>
    <x v="4"/>
    <m/>
    <n v="913"/>
    <s v="UPI"/>
    <s v="2024-01"/>
    <d v="2025-05-11T00:00:00"/>
    <s v="ACTIVE"/>
    <m/>
    <m/>
    <m/>
    <m/>
  </r>
  <r>
    <n v="707"/>
    <s v="Donor_102"/>
    <d v="2024-04-13T00:00:00"/>
    <s v="West"/>
    <x v="1"/>
    <m/>
    <n v="2235"/>
    <s v="Cheque"/>
    <s v="2024-04"/>
    <d v="2025-04-29T00:00:00"/>
    <s v="ACTIVE"/>
    <m/>
    <m/>
    <m/>
    <m/>
  </r>
  <r>
    <n v="488"/>
    <s v="Donor_084"/>
    <d v="2025-04-21T00:00:00"/>
    <s v="North"/>
    <x v="3"/>
    <m/>
    <n v="798"/>
    <s v="Bank Transfer"/>
    <s v="2025-04"/>
    <d v="2025-05-13T00:00:00"/>
    <s v="ACTIVE"/>
    <m/>
    <m/>
    <m/>
    <m/>
  </r>
  <r>
    <n v="274"/>
    <s v="Donor_002"/>
    <d v="2024-03-10T00:00:00"/>
    <s v="East"/>
    <x v="4"/>
    <m/>
    <n v="585"/>
    <s v="Cash"/>
    <s v="2024-03"/>
    <d v="2025-04-12T00:00:00"/>
    <s v="ACTIVE"/>
    <m/>
    <m/>
    <m/>
    <m/>
  </r>
  <r>
    <n v="1359"/>
    <s v="Donor_093"/>
    <d v="2024-10-15T00:00:00"/>
    <s v="West"/>
    <x v="4"/>
    <m/>
    <n v="2024"/>
    <s v="Bank Transfer"/>
    <s v="2024-10"/>
    <d v="2025-03-24T00:00:00"/>
    <s v="LAPSED"/>
    <m/>
    <m/>
    <m/>
    <m/>
  </r>
  <r>
    <n v="1510"/>
    <s v="Donor_080"/>
    <d v="2024-05-31T00:00:00"/>
    <s v="West"/>
    <x v="3"/>
    <m/>
    <n v="816"/>
    <s v="Cheque"/>
    <s v="2024-05"/>
    <d v="2025-05-11T00:00:00"/>
    <s v="ACTIVE"/>
    <m/>
    <m/>
    <m/>
    <m/>
  </r>
  <r>
    <n v="964"/>
    <s v="Donor_045"/>
    <d v="2024-12-17T00:00:00"/>
    <s v="West"/>
    <x v="0"/>
    <m/>
    <n v="8020"/>
    <s v="Cheque"/>
    <s v="2024-12"/>
    <d v="2025-05-11T00:00:00"/>
    <s v="ACTIVE"/>
    <m/>
    <m/>
    <m/>
    <m/>
  </r>
  <r>
    <n v="878"/>
    <s v="Donor_052"/>
    <d v="2024-07-09T00:00:00"/>
    <s v="East"/>
    <x v="3"/>
    <m/>
    <n v="972"/>
    <s v="Credit Card"/>
    <s v="2024-07"/>
    <d v="2025-06-13T00:00:00"/>
    <s v="ACTIVE"/>
    <m/>
    <m/>
    <m/>
    <m/>
  </r>
  <r>
    <n v="1272"/>
    <s v="Donor_081"/>
    <d v="2024-10-26T00:00:00"/>
    <s v="West"/>
    <x v="1"/>
    <m/>
    <n v="713"/>
    <s v="Cash"/>
    <s v="2024-10"/>
    <d v="2025-06-07T00:00:00"/>
    <s v="ACTIVE"/>
    <m/>
    <m/>
    <m/>
    <m/>
  </r>
  <r>
    <n v="1637"/>
    <s v="Donor_003"/>
    <d v="2024-05-11T00:00:00"/>
    <s v="Central"/>
    <x v="4"/>
    <m/>
    <n v="5989"/>
    <s v="Bank Transfer"/>
    <s v="2024-05"/>
    <d v="2025-05-08T00:00:00"/>
    <s v="ACTIVE"/>
    <m/>
    <m/>
    <m/>
    <m/>
  </r>
  <r>
    <n v="412"/>
    <s v="Donor_113"/>
    <d v="2024-02-09T00:00:00"/>
    <s v="Central"/>
    <x v="0"/>
    <m/>
    <n v="0"/>
    <s v="Credit Card"/>
    <s v="2024-02"/>
    <d v="2025-04-17T00:00:00"/>
    <s v="ACTIVE"/>
    <m/>
    <m/>
    <m/>
    <m/>
  </r>
  <r>
    <n v="668"/>
    <s v="Donor_021"/>
    <d v="2024-04-23T00:00:00"/>
    <s v="South"/>
    <x v="0"/>
    <m/>
    <n v="1708"/>
    <s v="Cash"/>
    <s v="2024-04"/>
    <d v="2025-04-05T00:00:00"/>
    <s v="ACTIVE"/>
    <m/>
    <m/>
    <m/>
    <m/>
  </r>
  <r>
    <n v="150"/>
    <s v="Donor_104"/>
    <d v="2024-07-05T00:00:00"/>
    <s v="South"/>
    <x v="3"/>
    <m/>
    <n v="244"/>
    <s v="Credit Card"/>
    <s v="2024-07"/>
    <d v="2025-05-08T00:00:00"/>
    <s v="ACTIVE"/>
    <m/>
    <m/>
    <m/>
    <m/>
  </r>
  <r>
    <n v="645"/>
    <s v="Donor_049"/>
    <d v="2024-12-15T00:00:00"/>
    <s v="North"/>
    <x v="1"/>
    <m/>
    <n v="5984"/>
    <s v="Cash"/>
    <s v="2024-12"/>
    <d v="2025-06-19T00:00:00"/>
    <s v="ACTIVE"/>
    <m/>
    <m/>
    <m/>
    <m/>
  </r>
  <r>
    <n v="1450"/>
    <s v="Donor_054"/>
    <d v="2024-09-13T00:00:00"/>
    <s v="North"/>
    <x v="1"/>
    <m/>
    <n v="4296"/>
    <s v="Credit Card"/>
    <s v="2024-09"/>
    <d v="2025-06-18T00:00:00"/>
    <s v="ACTIVE"/>
    <m/>
    <m/>
    <m/>
    <m/>
  </r>
  <r>
    <n v="219"/>
    <s v="Donor_065"/>
    <d v="2024-08-11T00:00:00"/>
    <s v="West"/>
    <x v="5"/>
    <m/>
    <n v="0"/>
    <s v="Cheque"/>
    <s v="2024-08"/>
    <d v="2025-05-02T00:00:00"/>
    <s v="ACTIVE"/>
    <m/>
    <m/>
    <m/>
    <m/>
  </r>
  <r>
    <n v="240"/>
    <s v="Donor_070"/>
    <d v="2025-03-04T00:00:00"/>
    <s v="North"/>
    <x v="5"/>
    <m/>
    <n v="10375"/>
    <s v="UPI"/>
    <s v="2025-03"/>
    <d v="2025-03-27T00:00:00"/>
    <s v="ACTIVE"/>
    <m/>
    <m/>
    <m/>
    <m/>
  </r>
  <r>
    <n v="1132"/>
    <s v="Donor_040"/>
    <d v="2024-04-02T00:00:00"/>
    <s v="South"/>
    <x v="5"/>
    <m/>
    <n v="288"/>
    <s v="Cash"/>
    <s v="2024-04"/>
    <d v="2025-05-15T00:00:00"/>
    <s v="ACTIVE"/>
    <m/>
    <m/>
    <m/>
    <m/>
  </r>
  <r>
    <n v="793"/>
    <s v="Donor_009"/>
    <d v="2025-04-01T00:00:00"/>
    <s v="West"/>
    <x v="0"/>
    <m/>
    <n v="2021"/>
    <s v="Cheque"/>
    <s v="2025-04"/>
    <d v="2025-05-15T00:00:00"/>
    <s v="ACTIVE"/>
    <m/>
    <m/>
    <m/>
    <m/>
  </r>
  <r>
    <n v="192"/>
    <s v="Donor_095"/>
    <d v="2024-01-15T00:00:00"/>
    <s v="East"/>
    <x v="5"/>
    <m/>
    <n v="1740"/>
    <s v="Cash"/>
    <s v="2024-01"/>
    <d v="2025-05-17T00:00:00"/>
    <s v="ACTIVE"/>
    <m/>
    <m/>
    <m/>
    <m/>
  </r>
  <r>
    <n v="334"/>
    <s v="Donor_066"/>
    <d v="2024-01-08T00:00:00"/>
    <s v="East"/>
    <x v="0"/>
    <m/>
    <n v="2298"/>
    <s v="UPI"/>
    <s v="2024-01"/>
    <d v="2025-03-22T00:00:00"/>
    <s v="LAPSED"/>
    <m/>
    <m/>
    <m/>
    <m/>
  </r>
  <r>
    <n v="963"/>
    <s v="Donor_082"/>
    <d v="2024-11-17T00:00:00"/>
    <s v="West"/>
    <x v="4"/>
    <m/>
    <n v="1379"/>
    <s v="Credit Card"/>
    <s v="2024-11"/>
    <d v="2025-06-02T00:00:00"/>
    <s v="ACTIVE"/>
    <m/>
    <m/>
    <m/>
    <m/>
  </r>
  <r>
    <n v="1199"/>
    <s v="Donor_003"/>
    <d v="2025-01-17T00:00:00"/>
    <s v="Central"/>
    <x v="1"/>
    <m/>
    <n v="592"/>
    <s v="Bank Transfer"/>
    <s v="2025-01"/>
    <d v="2025-05-08T00:00:00"/>
    <s v="ACTIVE"/>
    <m/>
    <m/>
    <m/>
    <m/>
  </r>
  <r>
    <n v="1758"/>
    <s v="Donor_021"/>
    <d v="2024-01-11T00:00:00"/>
    <s v="West"/>
    <x v="2"/>
    <m/>
    <n v="416"/>
    <s v="UPI"/>
    <s v="2024-01"/>
    <d v="2025-04-05T00:00:00"/>
    <s v="ACTIVE"/>
    <m/>
    <m/>
    <m/>
    <m/>
  </r>
  <r>
    <n v="1493"/>
    <s v="Donor_064"/>
    <d v="2024-12-07T00:00:00"/>
    <s v="South"/>
    <x v="1"/>
    <m/>
    <n v="8066"/>
    <s v="UPI"/>
    <s v="2024-12"/>
    <d v="2025-06-20T00:00:00"/>
    <s v="ACTIVE"/>
    <m/>
    <m/>
    <m/>
    <m/>
  </r>
  <r>
    <n v="1594"/>
    <s v="Donor_068"/>
    <d v="2024-12-17T00:00:00"/>
    <s v="Central"/>
    <x v="2"/>
    <m/>
    <n v="4204"/>
    <s v="Cheque"/>
    <s v="2024-12"/>
    <d v="2025-05-16T00:00:00"/>
    <s v="ACTIVE"/>
    <m/>
    <m/>
    <m/>
    <m/>
  </r>
  <r>
    <n v="583"/>
    <s v="Donor_023"/>
    <d v="2025-05-24T00:00:00"/>
    <s v="South"/>
    <x v="2"/>
    <m/>
    <n v="411"/>
    <s v="Bank Transfer"/>
    <s v="2025-05"/>
    <d v="2025-05-24T00:00:00"/>
    <s v="ACTIVE"/>
    <m/>
    <m/>
    <m/>
    <m/>
  </r>
  <r>
    <n v="1719"/>
    <s v="Donor_050"/>
    <d v="2025-06-18T00:00:00"/>
    <s v="West"/>
    <x v="1"/>
    <m/>
    <n v="634"/>
    <s v="UPI"/>
    <s v="2025-06"/>
    <d v="2025-06-18T00:00:00"/>
    <s v="ACTIVE"/>
    <m/>
    <m/>
    <m/>
    <m/>
  </r>
  <r>
    <n v="1458"/>
    <s v="Donor_119"/>
    <d v="2024-08-28T00:00:00"/>
    <s v="West"/>
    <x v="0"/>
    <m/>
    <n v="4354"/>
    <s v="Credit Card"/>
    <s v="2024-08"/>
    <d v="2025-05-18T00:00:00"/>
    <s v="ACTIVE"/>
    <m/>
    <m/>
    <m/>
    <m/>
  </r>
  <r>
    <n v="840"/>
    <s v="Donor_083"/>
    <d v="2024-03-07T00:00:00"/>
    <s v="East"/>
    <x v="1"/>
    <m/>
    <n v="796"/>
    <s v="Cheque"/>
    <s v="2024-03"/>
    <d v="2025-06-21T00:00:00"/>
    <s v="ACTIVE"/>
    <m/>
    <m/>
    <m/>
    <m/>
  </r>
  <r>
    <n v="628"/>
    <s v="Donor_061"/>
    <d v="2024-03-01T00:00:00"/>
    <s v="North"/>
    <x v="5"/>
    <m/>
    <n v="413"/>
    <s v="UPI"/>
    <s v="2024-03"/>
    <d v="2025-05-21T00:00:00"/>
    <s v="ACTIVE"/>
    <m/>
    <m/>
    <m/>
    <m/>
  </r>
  <r>
    <n v="324"/>
    <s v="Donor_005"/>
    <d v="2025-04-29T00:00:00"/>
    <s v="South"/>
    <x v="5"/>
    <m/>
    <n v="643"/>
    <s v="Cheque"/>
    <s v="2025-04"/>
    <d v="2025-06-10T00:00:00"/>
    <s v="ACTIVE"/>
    <m/>
    <m/>
    <m/>
    <m/>
  </r>
  <r>
    <n v="1484"/>
    <s v="Donor_050"/>
    <d v="2024-07-30T00:00:00"/>
    <s v="East"/>
    <x v="4"/>
    <m/>
    <n v="1992"/>
    <s v="Bank Transfer"/>
    <s v="2024-07"/>
    <d v="2025-06-18T00:00:00"/>
    <s v="ACTIVE"/>
    <m/>
    <m/>
    <m/>
    <m/>
  </r>
  <r>
    <n v="1161"/>
    <s v="Donor_054"/>
    <d v="2025-03-04T00:00:00"/>
    <s v="West"/>
    <x v="4"/>
    <m/>
    <n v="524"/>
    <s v="Credit Card"/>
    <s v="2025-03"/>
    <d v="2025-06-18T00:00:00"/>
    <s v="ACTIVE"/>
    <m/>
    <m/>
    <m/>
    <m/>
  </r>
  <r>
    <n v="779"/>
    <s v="Donor_038"/>
    <d v="2024-03-27T00:00:00"/>
    <s v="West"/>
    <x v="0"/>
    <m/>
    <n v="4460"/>
    <s v="UPI"/>
    <s v="2024-03"/>
    <d v="2025-04-26T00:00:00"/>
    <s v="ACTIVE"/>
    <m/>
    <m/>
    <m/>
    <m/>
  </r>
  <r>
    <n v="1077"/>
    <s v="Donor_082"/>
    <d v="2024-02-06T00:00:00"/>
    <s v="North"/>
    <x v="4"/>
    <m/>
    <n v="1552"/>
    <s v="Credit Card"/>
    <s v="2024-02"/>
    <d v="2025-06-02T00:00:00"/>
    <s v="ACTIVE"/>
    <m/>
    <m/>
    <m/>
    <m/>
  </r>
  <r>
    <n v="940"/>
    <s v="Donor_118"/>
    <d v="2024-04-20T00:00:00"/>
    <s v="West"/>
    <x v="1"/>
    <m/>
    <n v="1921"/>
    <s v="UPI"/>
    <s v="2024-04"/>
    <d v="2025-04-19T00:00:00"/>
    <s v="ACTIVE"/>
    <m/>
    <m/>
    <m/>
    <m/>
  </r>
  <r>
    <n v="438"/>
    <s v="Donor_061"/>
    <d v="2024-09-17T00:00:00"/>
    <s v="NOT KNOWN"/>
    <x v="1"/>
    <m/>
    <n v="4520"/>
    <s v="Bank Transfer"/>
    <s v="2024-09"/>
    <d v="2025-05-21T00:00:00"/>
    <s v="ACTIVE"/>
    <m/>
    <m/>
    <m/>
    <m/>
  </r>
  <r>
    <n v="120"/>
    <s v="Donor_068"/>
    <d v="2025-05-13T00:00:00"/>
    <s v="East"/>
    <x v="3"/>
    <m/>
    <n v="1916"/>
    <s v="Cheque"/>
    <s v="2025-05"/>
    <d v="2025-05-16T00:00:00"/>
    <s v="ACTIVE"/>
    <m/>
    <m/>
    <m/>
    <m/>
  </r>
  <r>
    <n v="1232"/>
    <s v="Donor_083"/>
    <d v="2024-06-12T00:00:00"/>
    <s v="West"/>
    <x v="1"/>
    <m/>
    <n v="1799"/>
    <s v="Bank Transfer"/>
    <s v="2024-06"/>
    <d v="2025-06-21T00:00:00"/>
    <s v="ACTIVE"/>
    <m/>
    <m/>
    <m/>
    <m/>
  </r>
  <r>
    <n v="1410"/>
    <s v="Donor_117"/>
    <d v="2025-04-01T00:00:00"/>
    <s v="West"/>
    <x v="3"/>
    <m/>
    <n v="676"/>
    <s v="Credit Card"/>
    <s v="2025-04"/>
    <d v="2025-04-05T00:00:00"/>
    <s v="ACTIVE"/>
    <m/>
    <m/>
    <m/>
    <m/>
  </r>
  <r>
    <n v="1027"/>
    <s v="Donor_012"/>
    <d v="2024-07-15T00:00:00"/>
    <s v="Central"/>
    <x v="3"/>
    <m/>
    <n v="881"/>
    <s v="Credit Card"/>
    <s v="2024-07"/>
    <d v="2025-06-23T00:00:00"/>
    <s v="ACTIVE"/>
    <m/>
    <m/>
    <m/>
    <m/>
  </r>
  <r>
    <n v="1250"/>
    <s v="Donor_042"/>
    <d v="2024-03-25T00:00:00"/>
    <s v="South"/>
    <x v="1"/>
    <m/>
    <n v="449"/>
    <s v="Credit Card"/>
    <s v="2024-03"/>
    <d v="2025-02-10T00:00:00"/>
    <s v="LAPSED"/>
    <m/>
    <m/>
    <m/>
    <m/>
  </r>
  <r>
    <n v="77"/>
    <s v="Donor_012"/>
    <d v="2025-05-18T00:00:00"/>
    <s v="West"/>
    <x v="5"/>
    <m/>
    <n v="700"/>
    <s v="UPI"/>
    <s v="2025-05"/>
    <d v="2025-06-23T00:00:00"/>
    <s v="ACTIVE"/>
    <m/>
    <m/>
    <m/>
    <m/>
  </r>
  <r>
    <n v="1054"/>
    <s v="Donor_070"/>
    <d v="2024-12-27T00:00:00"/>
    <s v="North"/>
    <x v="0"/>
    <m/>
    <n v="1880"/>
    <s v="UPI"/>
    <s v="2024-12"/>
    <d v="2025-03-27T00:00:00"/>
    <s v="ACTIVE"/>
    <m/>
    <m/>
    <m/>
    <m/>
  </r>
  <r>
    <n v="901"/>
    <s v="Donor_081"/>
    <d v="2024-02-28T00:00:00"/>
    <s v="North"/>
    <x v="5"/>
    <m/>
    <n v="2184"/>
    <s v="Bank Transfer"/>
    <s v="2024-02"/>
    <d v="2025-06-07T00:00:00"/>
    <s v="ACTIVE"/>
    <m/>
    <m/>
    <m/>
    <m/>
  </r>
  <r>
    <n v="372"/>
    <s v="Donor_092"/>
    <d v="2024-11-17T00:00:00"/>
    <s v="Central"/>
    <x v="2"/>
    <m/>
    <n v="1761"/>
    <s v="Cheque"/>
    <s v="2024-11"/>
    <d v="2025-05-07T00:00:00"/>
    <s v="ACTIVE"/>
    <m/>
    <m/>
    <m/>
    <m/>
  </r>
  <r>
    <n v="1680"/>
    <s v="Donor_097"/>
    <d v="2024-10-12T00:00:00"/>
    <s v="East"/>
    <x v="1"/>
    <m/>
    <n v="1357"/>
    <s v="Cheque"/>
    <s v="2024-10"/>
    <d v="2025-06-04T00:00:00"/>
    <s v="ACTIVE"/>
    <m/>
    <m/>
    <m/>
    <m/>
  </r>
  <r>
    <n v="1305"/>
    <s v="Donor_015"/>
    <d v="2024-06-02T00:00:00"/>
    <s v="South"/>
    <x v="2"/>
    <m/>
    <n v="4585"/>
    <s v="UPI"/>
    <s v="2024-06"/>
    <d v="2025-05-02T00:00:00"/>
    <s v="ACTIVE"/>
    <m/>
    <m/>
    <m/>
    <m/>
  </r>
  <r>
    <n v="1781"/>
    <s v="Donor_009"/>
    <d v="2024-08-09T00:00:00"/>
    <s v="Central"/>
    <x v="1"/>
    <m/>
    <n v="1505"/>
    <s v="Cheque"/>
    <s v="2024-08"/>
    <d v="2025-05-15T00:00:00"/>
    <s v="ACTIVE"/>
    <m/>
    <m/>
    <m/>
    <m/>
  </r>
  <r>
    <n v="942"/>
    <s v="Donor_008"/>
    <d v="2025-01-24T00:00:00"/>
    <s v="East"/>
    <x v="1"/>
    <m/>
    <n v="266"/>
    <s v="Credit Card"/>
    <s v="2025-01"/>
    <d v="2025-06-07T00:00:00"/>
    <s v="ACTIVE"/>
    <m/>
    <m/>
    <m/>
    <m/>
  </r>
  <r>
    <n v="578"/>
    <s v="Donor_119"/>
    <d v="2024-09-06T00:00:00"/>
    <s v="Central"/>
    <x v="3"/>
    <m/>
    <n v="1260"/>
    <s v="Cheque"/>
    <s v="2024-09"/>
    <d v="2025-05-18T00:00:00"/>
    <s v="ACTIVE"/>
    <m/>
    <m/>
    <m/>
    <m/>
  </r>
  <r>
    <n v="820"/>
    <s v="Donor_053"/>
    <d v="2024-03-13T00:00:00"/>
    <s v="North"/>
    <x v="3"/>
    <m/>
    <n v="880"/>
    <s v="Credit Card"/>
    <s v="2024-03"/>
    <d v="2025-04-16T00:00:00"/>
    <s v="ACTIVE"/>
    <m/>
    <m/>
    <m/>
    <m/>
  </r>
  <r>
    <n v="1327"/>
    <s v="Donor_091"/>
    <d v="2024-11-27T00:00:00"/>
    <s v="NOT KNOWN"/>
    <x v="0"/>
    <m/>
    <n v="2141"/>
    <s v="Cheque"/>
    <s v="2024-11"/>
    <d v="2025-05-16T00:00:00"/>
    <s v="ACTIVE"/>
    <m/>
    <m/>
    <m/>
    <m/>
  </r>
  <r>
    <n v="1346"/>
    <s v="Donor_001"/>
    <d v="2025-05-18T00:00:00"/>
    <s v="East"/>
    <x v="2"/>
    <m/>
    <n v="1033"/>
    <s v="Bank Transfer"/>
    <s v="2025-05"/>
    <d v="2025-05-18T00:00:00"/>
    <s v="ACTIVE"/>
    <m/>
    <m/>
    <m/>
    <m/>
  </r>
  <r>
    <n v="1563"/>
    <s v="Donor_029"/>
    <d v="2025-01-12T00:00:00"/>
    <s v="East"/>
    <x v="5"/>
    <m/>
    <n v="579"/>
    <s v="Cash"/>
    <s v="2025-01"/>
    <d v="2025-06-05T00:00:00"/>
    <s v="ACTIVE"/>
    <m/>
    <m/>
    <m/>
    <m/>
  </r>
  <r>
    <n v="1442"/>
    <s v="Donor_106"/>
    <d v="2024-01-01T00:00:00"/>
    <s v="South"/>
    <x v="4"/>
    <m/>
    <n v="847"/>
    <s v="Cash"/>
    <s v="2024-01"/>
    <d v="2025-06-11T00:00:00"/>
    <s v="ACTIVE"/>
    <m/>
    <m/>
    <m/>
    <m/>
  </r>
  <r>
    <n v="887"/>
    <s v="Donor_025"/>
    <d v="2024-10-07T00:00:00"/>
    <s v="South"/>
    <x v="1"/>
    <m/>
    <n v="523"/>
    <s v="UPI"/>
    <s v="2024-10"/>
    <d v="2025-06-07T00:00:00"/>
    <s v="ACTIVE"/>
    <m/>
    <m/>
    <m/>
    <m/>
  </r>
  <r>
    <n v="969"/>
    <s v="Donor_055"/>
    <d v="2025-01-27T00:00:00"/>
    <s v="South"/>
    <x v="0"/>
    <m/>
    <n v="4748"/>
    <s v="UPI"/>
    <s v="2025-01"/>
    <d v="2025-05-11T00:00:00"/>
    <s v="ACTIVE"/>
    <m/>
    <m/>
    <m/>
    <m/>
  </r>
  <r>
    <n v="786"/>
    <s v="Donor_040"/>
    <d v="2024-05-11T00:00:00"/>
    <s v="North"/>
    <x v="1"/>
    <m/>
    <n v="4680"/>
    <s v="Cash"/>
    <s v="2024-05"/>
    <d v="2025-05-15T00:00:00"/>
    <s v="ACTIVE"/>
    <m/>
    <m/>
    <m/>
    <m/>
  </r>
  <r>
    <n v="1562"/>
    <s v="Donor_059"/>
    <d v="2024-02-25T00:00:00"/>
    <s v="West"/>
    <x v="4"/>
    <m/>
    <n v="8784"/>
    <s v="Cheque"/>
    <s v="2024-02"/>
    <d v="2025-06-16T00:00:00"/>
    <s v="ACTIVE"/>
    <m/>
    <m/>
    <m/>
    <m/>
  </r>
  <r>
    <n v="1486"/>
    <s v="Donor_061"/>
    <d v="2024-01-15T00:00:00"/>
    <s v="Central"/>
    <x v="3"/>
    <m/>
    <n v="282"/>
    <s v="Credit Card"/>
    <s v="2024-01"/>
    <d v="2025-05-21T00:00:00"/>
    <s v="ACTIVE"/>
    <m/>
    <m/>
    <m/>
    <m/>
  </r>
  <r>
    <n v="302"/>
    <s v="Donor_091"/>
    <d v="2024-01-29T00:00:00"/>
    <s v="East"/>
    <x v="0"/>
    <m/>
    <n v="1538"/>
    <s v="Credit Card"/>
    <s v="2024-01"/>
    <d v="2025-05-16T00:00:00"/>
    <s v="ACTIVE"/>
    <m/>
    <m/>
    <m/>
    <m/>
  </r>
  <r>
    <n v="690"/>
    <s v="Donor_066"/>
    <d v="2025-01-11T00:00:00"/>
    <s v="South"/>
    <x v="1"/>
    <m/>
    <n v="346"/>
    <s v="Cash"/>
    <s v="2025-01"/>
    <d v="2025-03-22T00:00:00"/>
    <s v="LAPSED"/>
    <m/>
    <m/>
    <m/>
    <m/>
  </r>
  <r>
    <n v="813"/>
    <s v="Donor_078"/>
    <d v="2024-08-15T00:00:00"/>
    <s v="West"/>
    <x v="0"/>
    <m/>
    <n v="4367"/>
    <s v="UPI"/>
    <s v="2024-08"/>
    <d v="2025-03-13T00:00:00"/>
    <s v="LAPSED"/>
    <m/>
    <m/>
    <m/>
    <m/>
  </r>
  <r>
    <n v="1062"/>
    <s v="Donor_119"/>
    <d v="2024-05-08T00:00:00"/>
    <s v="Central"/>
    <x v="4"/>
    <m/>
    <n v="802"/>
    <s v="Credit Card"/>
    <s v="2024-05"/>
    <d v="2025-05-18T00:00:00"/>
    <s v="ACTIVE"/>
    <m/>
    <m/>
    <m/>
    <m/>
  </r>
  <r>
    <n v="237"/>
    <s v="Donor_047"/>
    <d v="2025-02-06T00:00:00"/>
    <s v="North"/>
    <x v="0"/>
    <m/>
    <n v="2074"/>
    <s v="Cheque"/>
    <s v="2025-02"/>
    <d v="2025-05-04T00:00:00"/>
    <s v="ACTIVE"/>
    <m/>
    <m/>
    <m/>
    <m/>
  </r>
  <r>
    <n v="1116"/>
    <s v="Donor_057"/>
    <d v="2024-02-27T00:00:00"/>
    <s v="NOT KNOWN"/>
    <x v="5"/>
    <m/>
    <n v="1143"/>
    <s v="Bank Transfer"/>
    <s v="2024-02"/>
    <d v="2025-03-30T00:00:00"/>
    <s v="ACTIVE"/>
    <m/>
    <m/>
    <m/>
    <m/>
  </r>
  <r>
    <n v="1230"/>
    <s v="Donor_054"/>
    <d v="2025-06-18T00:00:00"/>
    <s v="West"/>
    <x v="1"/>
    <m/>
    <n v="4272"/>
    <s v="Bank Transfer"/>
    <s v="2025-06"/>
    <d v="2025-06-18T00:00:00"/>
    <s v="ACTIVE"/>
    <m/>
    <m/>
    <m/>
    <m/>
  </r>
  <r>
    <n v="500"/>
    <s v="Donor_089"/>
    <d v="2025-05-16T00:00:00"/>
    <s v="East"/>
    <x v="1"/>
    <m/>
    <n v="1942"/>
    <s v="UPI"/>
    <s v="2025-05"/>
    <d v="2025-05-16T00:00:00"/>
    <s v="ACTIVE"/>
    <m/>
    <m/>
    <m/>
    <m/>
  </r>
  <r>
    <n v="1498"/>
    <s v="Donor_065"/>
    <d v="2024-03-31T00:00:00"/>
    <s v="Central"/>
    <x v="4"/>
    <m/>
    <n v="2000"/>
    <s v="Bank Transfer"/>
    <s v="2024-03"/>
    <d v="2025-05-02T00:00:00"/>
    <s v="ACTIVE"/>
    <m/>
    <m/>
    <m/>
    <m/>
  </r>
  <r>
    <n v="1080"/>
    <s v="Donor_108"/>
    <d v="2024-11-03T00:00:00"/>
    <s v="South"/>
    <x v="5"/>
    <m/>
    <n v="299"/>
    <s v="Cash"/>
    <s v="2024-11"/>
    <d v="2025-05-21T00:00:00"/>
    <s v="ACTIVE"/>
    <m/>
    <m/>
    <m/>
    <m/>
  </r>
  <r>
    <n v="795"/>
    <s v="Donor_117"/>
    <d v="2025-01-28T00:00:00"/>
    <s v="South"/>
    <x v="2"/>
    <m/>
    <n v="957"/>
    <s v="UPI"/>
    <s v="2025-01"/>
    <d v="2025-04-05T00:00:00"/>
    <s v="ACTIVE"/>
    <m/>
    <m/>
    <m/>
    <m/>
  </r>
  <r>
    <n v="1404"/>
    <s v="Donor_013"/>
    <d v="2024-05-07T00:00:00"/>
    <s v="South"/>
    <x v="1"/>
    <m/>
    <n v="1794"/>
    <s v="Cheque"/>
    <s v="2024-05"/>
    <d v="2025-04-28T00:00:00"/>
    <s v="ACTIVE"/>
    <m/>
    <m/>
    <m/>
    <m/>
  </r>
  <r>
    <n v="991"/>
    <s v="Donor_051"/>
    <d v="2025-02-05T00:00:00"/>
    <s v="North"/>
    <x v="4"/>
    <m/>
    <n v="2495"/>
    <s v="Credit Card"/>
    <s v="2025-02"/>
    <d v="2025-06-11T00:00:00"/>
    <s v="ACTIVE"/>
    <m/>
    <m/>
    <m/>
    <m/>
  </r>
  <r>
    <n v="1243"/>
    <s v="Donor_046"/>
    <d v="2024-09-16T00:00:00"/>
    <s v="East"/>
    <x v="5"/>
    <m/>
    <n v="1821"/>
    <s v="UPI"/>
    <s v="2024-09"/>
    <d v="2025-05-10T00:00:00"/>
    <s v="ACTIVE"/>
    <m/>
    <m/>
    <m/>
    <m/>
  </r>
  <r>
    <n v="935"/>
    <s v="Donor_010"/>
    <d v="2024-04-01T00:00:00"/>
    <s v="South"/>
    <x v="2"/>
    <m/>
    <n v="271"/>
    <s v="Cash"/>
    <s v="2024-04"/>
    <d v="2025-06-01T00:00:00"/>
    <s v="ACTIVE"/>
    <m/>
    <m/>
    <m/>
    <m/>
  </r>
  <r>
    <n v="388"/>
    <s v="Donor_056"/>
    <d v="2025-02-18T00:00:00"/>
    <s v="East"/>
    <x v="3"/>
    <m/>
    <n v="802"/>
    <s v="Cheque"/>
    <s v="2025-02"/>
    <d v="2025-05-08T00:00:00"/>
    <s v="ACTIVE"/>
    <m/>
    <m/>
    <m/>
    <m/>
  </r>
  <r>
    <n v="391"/>
    <s v="Donor_087"/>
    <d v="2024-11-01T00:00:00"/>
    <s v="East"/>
    <x v="3"/>
    <m/>
    <n v="11499"/>
    <s v="Credit Card"/>
    <s v="2024-11"/>
    <d v="2025-06-09T00:00:00"/>
    <s v="ACTIVE"/>
    <m/>
    <m/>
    <m/>
    <m/>
  </r>
  <r>
    <n v="744"/>
    <s v="Donor_006"/>
    <d v="2024-10-15T00:00:00"/>
    <s v="South"/>
    <x v="2"/>
    <m/>
    <n v="10252"/>
    <s v="Bank Transfer"/>
    <s v="2024-10"/>
    <d v="2025-06-06T00:00:00"/>
    <s v="ACTIVE"/>
    <m/>
    <m/>
    <m/>
    <m/>
  </r>
  <r>
    <n v="353"/>
    <s v="Donor_100"/>
    <d v="2024-04-02T00:00:00"/>
    <s v="Central"/>
    <x v="3"/>
    <m/>
    <n v="1162"/>
    <s v="Credit Card"/>
    <s v="2024-04"/>
    <d v="2025-06-14T00:00:00"/>
    <s v="ACTIVE"/>
    <m/>
    <m/>
    <m/>
    <m/>
  </r>
  <r>
    <n v="1218"/>
    <s v="Donor_079"/>
    <d v="2025-01-09T00:00:00"/>
    <s v="North"/>
    <x v="1"/>
    <m/>
    <n v="330"/>
    <s v="Cheque"/>
    <s v="2025-01"/>
    <d v="2025-06-07T00:00:00"/>
    <s v="ACTIVE"/>
    <m/>
    <m/>
    <m/>
    <m/>
  </r>
  <r>
    <n v="236"/>
    <s v="Donor_023"/>
    <d v="2024-11-17T00:00:00"/>
    <s v="West"/>
    <x v="5"/>
    <m/>
    <n v="2735"/>
    <s v="Cash"/>
    <s v="2024-11"/>
    <d v="2025-05-24T00:00:00"/>
    <s v="ACTIVE"/>
    <m/>
    <m/>
    <m/>
    <m/>
  </r>
  <r>
    <n v="1569"/>
    <s v="Donor_017"/>
    <d v="2024-11-21T00:00:00"/>
    <s v="West"/>
    <x v="1"/>
    <m/>
    <n v="10294"/>
    <s v="Bank Transfer"/>
    <s v="2024-11"/>
    <d v="2025-02-02T00:00:00"/>
    <s v="LAPSED"/>
    <m/>
    <m/>
    <m/>
    <m/>
  </r>
  <r>
    <n v="481"/>
    <s v="Donor_071"/>
    <d v="2024-02-20T00:00:00"/>
    <s v="West"/>
    <x v="5"/>
    <m/>
    <n v="959"/>
    <s v="Cash"/>
    <s v="2024-02"/>
    <d v="2025-06-08T00:00:00"/>
    <s v="ACTIVE"/>
    <m/>
    <m/>
    <m/>
    <m/>
  </r>
  <r>
    <n v="568"/>
    <s v="Donor_062"/>
    <d v="2025-05-17T00:00:00"/>
    <s v="West"/>
    <x v="1"/>
    <m/>
    <n v="1016"/>
    <s v="UPI"/>
    <s v="2025-05"/>
    <d v="2025-05-17T00:00:00"/>
    <s v="ACTIVE"/>
    <m/>
    <m/>
    <m/>
    <m/>
  </r>
  <r>
    <n v="1141"/>
    <s v="Donor_055"/>
    <d v="2025-02-15T00:00:00"/>
    <s v="North"/>
    <x v="5"/>
    <m/>
    <n v="678"/>
    <s v="UPI"/>
    <s v="2025-02"/>
    <d v="2025-05-11T00:00:00"/>
    <s v="ACTIVE"/>
    <m/>
    <m/>
    <m/>
    <m/>
  </r>
  <r>
    <n v="1523"/>
    <s v="Donor_003"/>
    <d v="2024-06-11T00:00:00"/>
    <s v="South"/>
    <x v="1"/>
    <m/>
    <n v="1421"/>
    <s v="Cheque"/>
    <s v="2024-06"/>
    <d v="2025-05-08T00:00:00"/>
    <s v="ACTIVE"/>
    <m/>
    <m/>
    <m/>
    <m/>
  </r>
  <r>
    <n v="1681"/>
    <s v="Donor_036"/>
    <d v="2024-10-23T00:00:00"/>
    <s v="North"/>
    <x v="0"/>
    <m/>
    <n v="721"/>
    <s v="UPI"/>
    <s v="2024-10"/>
    <d v="2025-06-07T00:00:00"/>
    <s v="ACTIVE"/>
    <m/>
    <m/>
    <m/>
    <m/>
  </r>
  <r>
    <n v="1413"/>
    <s v="Donor_036"/>
    <d v="2025-03-22T00:00:00"/>
    <s v="South"/>
    <x v="4"/>
    <m/>
    <n v="693"/>
    <s v="Cheque"/>
    <s v="2025-03"/>
    <d v="2025-06-07T00:00:00"/>
    <s v="ACTIVE"/>
    <m/>
    <m/>
    <m/>
    <m/>
  </r>
  <r>
    <n v="121"/>
    <s v="Donor_038"/>
    <d v="2024-09-18T00:00:00"/>
    <s v="East"/>
    <x v="3"/>
    <m/>
    <n v="499"/>
    <s v="Cash"/>
    <s v="2024-09"/>
    <d v="2025-04-26T00:00:00"/>
    <s v="ACTIVE"/>
    <m/>
    <m/>
    <m/>
    <m/>
  </r>
  <r>
    <n v="1559"/>
    <s v="Donor_110"/>
    <d v="2024-02-11T00:00:00"/>
    <s v="North"/>
    <x v="4"/>
    <m/>
    <n v="330"/>
    <s v="UPI"/>
    <s v="2024-02"/>
    <d v="2025-06-04T00:00:00"/>
    <s v="ACTIVE"/>
    <m/>
    <m/>
    <m/>
    <m/>
  </r>
  <r>
    <n v="1025"/>
    <s v="Donor_057"/>
    <d v="2024-03-15T00:00:00"/>
    <s v="East"/>
    <x v="0"/>
    <m/>
    <n v="585"/>
    <s v="Bank Transfer"/>
    <s v="2024-03"/>
    <d v="2025-03-30T00:00:00"/>
    <s v="ACTIVE"/>
    <m/>
    <m/>
    <m/>
    <m/>
  </r>
  <r>
    <n v="1087"/>
    <s v="Donor_111"/>
    <d v="2025-02-09T00:00:00"/>
    <s v="NOT KNOWN"/>
    <x v="5"/>
    <m/>
    <n v="1746"/>
    <s v="Bank Transfer"/>
    <s v="2025-02"/>
    <d v="2025-04-26T00:00:00"/>
    <s v="ACTIVE"/>
    <m/>
    <m/>
    <m/>
    <m/>
  </r>
  <r>
    <n v="927"/>
    <s v="Donor_097"/>
    <d v="2024-01-12T00:00:00"/>
    <s v="East"/>
    <x v="4"/>
    <m/>
    <n v="8807"/>
    <s v="UPI"/>
    <s v="2024-01"/>
    <d v="2025-06-04T00:00:00"/>
    <s v="ACTIVE"/>
    <m/>
    <m/>
    <m/>
    <m/>
  </r>
  <r>
    <n v="516"/>
    <s v="Donor_064"/>
    <d v="2025-05-24T00:00:00"/>
    <s v="South"/>
    <x v="0"/>
    <m/>
    <n v="2167"/>
    <s v="Credit Card"/>
    <s v="2025-05"/>
    <d v="2025-06-20T00:00:00"/>
    <s v="ACTIVE"/>
    <m/>
    <m/>
    <m/>
    <m/>
  </r>
  <r>
    <n v="224"/>
    <s v="Donor_073"/>
    <d v="2024-12-05T00:00:00"/>
    <s v="North"/>
    <x v="0"/>
    <m/>
    <n v="446"/>
    <s v="Cheque"/>
    <s v="2024-12"/>
    <d v="2025-06-23T00:00:00"/>
    <s v="ACTIVE"/>
    <m/>
    <m/>
    <m/>
    <m/>
  </r>
  <r>
    <n v="1335"/>
    <s v="Donor_106"/>
    <d v="2024-07-23T00:00:00"/>
    <s v="South"/>
    <x v="0"/>
    <m/>
    <n v="918"/>
    <s v="UPI"/>
    <s v="2024-07"/>
    <d v="2025-06-11T00:00:00"/>
    <s v="ACTIVE"/>
    <m/>
    <m/>
    <m/>
    <m/>
  </r>
  <r>
    <n v="614"/>
    <s v="Donor_094"/>
    <d v="2025-03-10T00:00:00"/>
    <s v="West"/>
    <x v="4"/>
    <m/>
    <n v="857"/>
    <s v="Bank Transfer"/>
    <s v="2025-03"/>
    <d v="2025-06-19T00:00:00"/>
    <s v="ACTIVE"/>
    <m/>
    <m/>
    <m/>
    <m/>
  </r>
  <r>
    <n v="844"/>
    <s v="Donor_064"/>
    <d v="2024-08-12T00:00:00"/>
    <s v="West"/>
    <x v="4"/>
    <m/>
    <n v="2146"/>
    <s v="UPI"/>
    <s v="2024-08"/>
    <d v="2025-06-20T00:00:00"/>
    <s v="ACTIVE"/>
    <m/>
    <m/>
    <m/>
    <m/>
  </r>
  <r>
    <n v="1246"/>
    <s v="Donor_082"/>
    <d v="2025-05-24T00:00:00"/>
    <s v="South"/>
    <x v="1"/>
    <m/>
    <n v="1812"/>
    <s v="Cash"/>
    <s v="2025-05"/>
    <d v="2025-06-02T00:00:00"/>
    <s v="ACTIVE"/>
    <m/>
    <m/>
    <m/>
    <m/>
  </r>
  <r>
    <n v="53"/>
    <s v="Donor_018"/>
    <d v="2025-03-14T00:00:00"/>
    <s v="West"/>
    <x v="4"/>
    <m/>
    <n v="452"/>
    <s v="Bank Transfer"/>
    <s v="2025-03"/>
    <d v="2025-06-16T00:00:00"/>
    <s v="ACTIVE"/>
    <m/>
    <m/>
    <m/>
    <m/>
  </r>
  <r>
    <n v="1663"/>
    <s v="Donor_031"/>
    <d v="2024-03-26T00:00:00"/>
    <s v="East"/>
    <x v="2"/>
    <m/>
    <n v="10382"/>
    <s v="Cheque"/>
    <s v="2024-03"/>
    <d v="2025-05-17T00:00:00"/>
    <s v="ACTIVE"/>
    <m/>
    <m/>
    <m/>
    <m/>
  </r>
  <r>
    <n v="486"/>
    <s v="Donor_043"/>
    <d v="2024-01-24T00:00:00"/>
    <s v="South"/>
    <x v="2"/>
    <m/>
    <n v="8848"/>
    <s v="Cheque"/>
    <s v="2024-01"/>
    <d v="2025-06-13T00:00:00"/>
    <s v="ACTIVE"/>
    <m/>
    <m/>
    <m/>
    <m/>
  </r>
  <r>
    <n v="1725"/>
    <s v="Donor_039"/>
    <d v="2025-01-14T00:00:00"/>
    <s v="North"/>
    <x v="2"/>
    <m/>
    <n v="1082"/>
    <s v="Credit Card"/>
    <s v="2025-01"/>
    <d v="2025-04-25T00:00:00"/>
    <s v="ACTIVE"/>
    <m/>
    <m/>
    <m/>
    <m/>
  </r>
  <r>
    <n v="819"/>
    <s v="Donor_001"/>
    <d v="2024-07-13T00:00:00"/>
    <s v="North"/>
    <x v="0"/>
    <m/>
    <n v="4983"/>
    <s v="Cash"/>
    <s v="2024-07"/>
    <d v="2025-05-18T00:00:00"/>
    <s v="ACTIVE"/>
    <m/>
    <m/>
    <m/>
    <m/>
  </r>
  <r>
    <n v="156"/>
    <s v="Donor_109"/>
    <d v="2024-05-26T00:00:00"/>
    <s v="Central"/>
    <x v="2"/>
    <m/>
    <n v="244"/>
    <s v="UPI"/>
    <s v="2024-05"/>
    <d v="2025-06-22T00:00:00"/>
    <s v="ACTIVE"/>
    <m/>
    <m/>
    <m/>
    <m/>
  </r>
  <r>
    <n v="601"/>
    <s v="Donor_014"/>
    <d v="2024-03-19T00:00:00"/>
    <s v="South"/>
    <x v="5"/>
    <m/>
    <n v="1079"/>
    <s v="Cash"/>
    <s v="2024-03"/>
    <d v="2025-06-03T00:00:00"/>
    <s v="ACTIVE"/>
    <m/>
    <m/>
    <m/>
    <m/>
  </r>
  <r>
    <n v="1448"/>
    <s v="Donor_051"/>
    <d v="2024-06-09T00:00:00"/>
    <s v="South"/>
    <x v="5"/>
    <m/>
    <n v="820"/>
    <s v="Bank Transfer"/>
    <s v="2024-06"/>
    <d v="2025-06-11T00:00:00"/>
    <s v="ACTIVE"/>
    <m/>
    <m/>
    <m/>
    <m/>
  </r>
  <r>
    <n v="249"/>
    <s v="Donor_118"/>
    <d v="2024-10-31T00:00:00"/>
    <s v="Central"/>
    <x v="0"/>
    <m/>
    <n v="1069"/>
    <s v="Bank Transfer"/>
    <s v="2024-10"/>
    <d v="2025-04-19T00:00:00"/>
    <s v="ACTIVE"/>
    <m/>
    <m/>
    <m/>
    <m/>
  </r>
  <r>
    <n v="762"/>
    <s v="Donor_043"/>
    <d v="2025-06-13T00:00:00"/>
    <s v="Central"/>
    <x v="4"/>
    <m/>
    <n v="841"/>
    <s v="Cheque"/>
    <s v="2025-06"/>
    <d v="2025-06-13T00:00:00"/>
    <s v="ACTIVE"/>
    <m/>
    <m/>
    <m/>
    <m/>
  </r>
  <r>
    <n v="1649"/>
    <s v="Donor_026"/>
    <d v="2024-03-27T00:00:00"/>
    <s v="Central"/>
    <x v="3"/>
    <m/>
    <n v="736"/>
    <s v="Credit Card"/>
    <s v="2024-03"/>
    <d v="2025-05-28T00:00:00"/>
    <s v="ACTIVE"/>
    <m/>
    <m/>
    <m/>
    <m/>
  </r>
  <r>
    <n v="1131"/>
    <s v="Donor_114"/>
    <d v="2024-11-03T00:00:00"/>
    <s v="Central"/>
    <x v="2"/>
    <m/>
    <n v="8794"/>
    <s v="Cheque"/>
    <s v="2024-11"/>
    <d v="2025-04-04T00:00:00"/>
    <s v="ACTIVE"/>
    <m/>
    <m/>
    <m/>
    <m/>
  </r>
  <r>
    <n v="543"/>
    <s v="Donor_111"/>
    <d v="2024-04-22T00:00:00"/>
    <s v="East"/>
    <x v="3"/>
    <m/>
    <n v="1945"/>
    <s v="Cheque"/>
    <s v="2024-04"/>
    <d v="2025-04-26T00:00:00"/>
    <s v="ACTIVE"/>
    <m/>
    <m/>
    <m/>
    <m/>
  </r>
  <r>
    <n v="794"/>
    <s v="Donor_083"/>
    <d v="2024-10-21T00:00:00"/>
    <s v="West"/>
    <x v="5"/>
    <m/>
    <n v="2391"/>
    <s v="Credit Card"/>
    <s v="2024-10"/>
    <d v="2025-06-21T00:00:00"/>
    <s v="ACTIVE"/>
    <m/>
    <m/>
    <m/>
    <m/>
  </r>
  <r>
    <n v="1142"/>
    <s v="Donor_092"/>
    <d v="2025-04-29T00:00:00"/>
    <s v="East"/>
    <x v="0"/>
    <m/>
    <n v="4223"/>
    <s v="Credit Card"/>
    <s v="2025-04"/>
    <d v="2025-05-07T00:00:00"/>
    <s v="ACTIVE"/>
    <m/>
    <m/>
    <m/>
    <m/>
  </r>
  <r>
    <n v="1316"/>
    <s v="Donor_024"/>
    <d v="2025-03-29T00:00:00"/>
    <s v="Central"/>
    <x v="3"/>
    <m/>
    <n v="870"/>
    <s v="Credit Card"/>
    <s v="2025-03"/>
    <d v="2025-06-07T00:00:00"/>
    <s v="ACTIVE"/>
    <m/>
    <m/>
    <m/>
    <m/>
  </r>
  <r>
    <n v="629"/>
    <s v="Donor_024"/>
    <d v="2024-07-23T00:00:00"/>
    <s v="East"/>
    <x v="3"/>
    <m/>
    <n v="858"/>
    <s v="Bank Transfer"/>
    <s v="2024-07"/>
    <d v="2025-06-07T00:00:00"/>
    <s v="ACTIVE"/>
    <m/>
    <m/>
    <m/>
    <m/>
  </r>
  <r>
    <n v="151"/>
    <s v="Donor_051"/>
    <d v="2025-06-11T00:00:00"/>
    <s v="Central"/>
    <x v="1"/>
    <m/>
    <n v="2037"/>
    <s v="Credit Card"/>
    <s v="2025-06"/>
    <d v="2025-06-11T00:00:00"/>
    <s v="ACTIVE"/>
    <m/>
    <m/>
    <m/>
    <m/>
  </r>
  <r>
    <n v="1483"/>
    <s v="Donor_112"/>
    <d v="2024-05-06T00:00:00"/>
    <s v="East"/>
    <x v="5"/>
    <m/>
    <n v="714"/>
    <s v="Cheque"/>
    <s v="2024-05"/>
    <d v="2025-05-26T00:00:00"/>
    <s v="ACTIVE"/>
    <m/>
    <m/>
    <m/>
    <m/>
  </r>
  <r>
    <n v="292"/>
    <s v="Donor_019"/>
    <d v="2024-12-01T00:00:00"/>
    <s v="North"/>
    <x v="2"/>
    <m/>
    <n v="2375"/>
    <s v="Cash"/>
    <s v="2024-12"/>
    <d v="2025-05-28T00:00:00"/>
    <s v="ACTIVE"/>
    <m/>
    <m/>
    <m/>
    <m/>
  </r>
  <r>
    <n v="382"/>
    <s v="Donor_047"/>
    <d v="2024-12-05T00:00:00"/>
    <s v="East"/>
    <x v="4"/>
    <m/>
    <n v="0"/>
    <s v="Cheque"/>
    <s v="2024-12"/>
    <d v="2025-05-04T00:00:00"/>
    <s v="ACTIVE"/>
    <m/>
    <m/>
    <m/>
    <m/>
  </r>
  <r>
    <n v="687"/>
    <s v="Donor_028"/>
    <d v="2024-05-12T00:00:00"/>
    <s v="North"/>
    <x v="2"/>
    <m/>
    <n v="2323"/>
    <s v="UPI"/>
    <s v="2024-05"/>
    <d v="2025-03-09T00:00:00"/>
    <s v="LAPSED"/>
    <m/>
    <m/>
    <m/>
    <m/>
  </r>
  <r>
    <n v="1225"/>
    <s v="Donor_055"/>
    <d v="2025-01-09T00:00:00"/>
    <s v="North"/>
    <x v="0"/>
    <m/>
    <n v="1257"/>
    <s v="Cash"/>
    <s v="2025-01"/>
    <d v="2025-05-11T00:00:00"/>
    <s v="ACTIVE"/>
    <m/>
    <m/>
    <m/>
    <m/>
  </r>
  <r>
    <n v="898"/>
    <s v="Donor_034"/>
    <d v="2025-06-21T00:00:00"/>
    <s v="East"/>
    <x v="4"/>
    <m/>
    <n v="2708"/>
    <s v="Cheque"/>
    <s v="2025-06"/>
    <d v="2025-06-21T00:00:00"/>
    <s v="ACTIVE"/>
    <m/>
    <m/>
    <m/>
    <m/>
  </r>
  <r>
    <n v="855"/>
    <s v="Donor_039"/>
    <d v="2025-03-20T00:00:00"/>
    <s v="Central"/>
    <x v="4"/>
    <m/>
    <n v="0"/>
    <s v="Cheque"/>
    <s v="2025-03"/>
    <d v="2025-04-25T00:00:00"/>
    <s v="ACTIVE"/>
    <m/>
    <m/>
    <m/>
    <m/>
  </r>
  <r>
    <n v="1072"/>
    <s v="Donor_119"/>
    <d v="2024-04-18T00:00:00"/>
    <s v="South"/>
    <x v="2"/>
    <m/>
    <n v="2141"/>
    <s v="Credit Card"/>
    <s v="2024-04"/>
    <d v="2025-05-18T00:00:00"/>
    <s v="ACTIVE"/>
    <m/>
    <m/>
    <m/>
    <m/>
  </r>
  <r>
    <n v="1800"/>
    <s v="Donor_059"/>
    <d v="2024-10-15T00:00:00"/>
    <s v="South"/>
    <x v="5"/>
    <m/>
    <n v="473"/>
    <s v="Credit Card"/>
    <s v="2024-10"/>
    <d v="2025-06-16T00:00:00"/>
    <s v="ACTIVE"/>
    <m/>
    <m/>
    <m/>
    <m/>
  </r>
  <r>
    <n v="1376"/>
    <s v="Donor_033"/>
    <d v="2024-02-19T00:00:00"/>
    <s v="Central"/>
    <x v="3"/>
    <m/>
    <n v="9964"/>
    <s v="Cash"/>
    <s v="2024-02"/>
    <d v="2025-06-21T00:00:00"/>
    <s v="ACTIVE"/>
    <m/>
    <m/>
    <m/>
    <m/>
  </r>
  <r>
    <n v="1528"/>
    <s v="Donor_060"/>
    <d v="2024-05-17T00:00:00"/>
    <s v="Central"/>
    <x v="2"/>
    <m/>
    <n v="535"/>
    <s v="Bank Transfer"/>
    <s v="2024-05"/>
    <d v="2025-05-20T00:00:00"/>
    <s v="ACTIVE"/>
    <m/>
    <m/>
    <m/>
    <m/>
  </r>
  <r>
    <n v="892"/>
    <s v="Donor_012"/>
    <d v="2025-01-28T00:00:00"/>
    <s v="North"/>
    <x v="4"/>
    <m/>
    <n v="816"/>
    <s v="Credit Card"/>
    <s v="2025-01"/>
    <d v="2025-06-23T00:00:00"/>
    <s v="ACTIVE"/>
    <m/>
    <m/>
    <m/>
    <m/>
  </r>
  <r>
    <n v="1323"/>
    <s v="Donor_058"/>
    <d v="2025-04-20T00:00:00"/>
    <s v="South"/>
    <x v="4"/>
    <m/>
    <n v="726"/>
    <s v="UPI"/>
    <s v="2025-04"/>
    <d v="2025-06-22T00:00:00"/>
    <s v="ACTIVE"/>
    <m/>
    <m/>
    <m/>
    <m/>
  </r>
  <r>
    <n v="616"/>
    <s v="Donor_038"/>
    <d v="2025-01-25T00:00:00"/>
    <s v="Central"/>
    <x v="1"/>
    <m/>
    <n v="565"/>
    <s v="Bank Transfer"/>
    <s v="2025-01"/>
    <d v="2025-04-26T00:00:00"/>
    <s v="ACTIVE"/>
    <m/>
    <m/>
    <m/>
    <m/>
  </r>
  <r>
    <n v="155"/>
    <s v="Donor_079"/>
    <d v="2024-12-27T00:00:00"/>
    <s v="West"/>
    <x v="5"/>
    <m/>
    <n v="415"/>
    <s v="Cash"/>
    <s v="2024-12"/>
    <d v="2025-06-07T00:00:00"/>
    <s v="ACTIVE"/>
    <m/>
    <m/>
    <m/>
    <m/>
  </r>
  <r>
    <n v="1194"/>
    <s v="Donor_057"/>
    <d v="2025-01-13T00:00:00"/>
    <s v="East"/>
    <x v="3"/>
    <m/>
    <n v="256"/>
    <s v="UPI"/>
    <s v="2025-01"/>
    <d v="2025-03-30T00:00:00"/>
    <s v="ACTIVE"/>
    <m/>
    <m/>
    <m/>
    <m/>
  </r>
  <r>
    <n v="1755"/>
    <s v="Donor_013"/>
    <d v="2025-02-01T00:00:00"/>
    <s v="Central"/>
    <x v="2"/>
    <m/>
    <n v="428"/>
    <s v="Bank Transfer"/>
    <s v="2025-02"/>
    <d v="2025-04-28T00:00:00"/>
    <s v="ACTIVE"/>
    <m/>
    <m/>
    <m/>
    <m/>
  </r>
  <r>
    <n v="1798"/>
    <s v="Donor_069"/>
    <d v="2024-02-10T00:00:00"/>
    <s v="West"/>
    <x v="0"/>
    <m/>
    <n v="1096"/>
    <s v="Cash"/>
    <s v="2024-02"/>
    <d v="2025-06-13T00:00:00"/>
    <s v="ACTIVE"/>
    <m/>
    <m/>
    <m/>
    <m/>
  </r>
  <r>
    <n v="323"/>
    <s v="Donor_119"/>
    <d v="2024-04-12T00:00:00"/>
    <s v="North"/>
    <x v="0"/>
    <m/>
    <n v="1114"/>
    <s v="Cheque"/>
    <s v="2024-04"/>
    <d v="2025-05-18T00:00:00"/>
    <s v="ACTIVE"/>
    <m/>
    <m/>
    <m/>
    <m/>
  </r>
  <r>
    <n v="1397"/>
    <s v="Donor_069"/>
    <d v="2025-04-15T00:00:00"/>
    <s v="East"/>
    <x v="4"/>
    <m/>
    <n v="2606"/>
    <s v="Bank Transfer"/>
    <s v="2025-04"/>
    <d v="2025-06-13T00:00:00"/>
    <s v="ACTIVE"/>
    <m/>
    <m/>
    <m/>
    <m/>
  </r>
  <r>
    <n v="1283"/>
    <s v="Donor_011"/>
    <d v="2024-07-07T00:00:00"/>
    <s v="North"/>
    <x v="4"/>
    <m/>
    <n v="785"/>
    <s v="Cash"/>
    <s v="2024-07"/>
    <d v="2025-06-04T00:00:00"/>
    <s v="ACTIVE"/>
    <m/>
    <m/>
    <m/>
    <m/>
  </r>
  <r>
    <n v="83"/>
    <s v="Donor_096"/>
    <d v="2025-06-04T00:00:00"/>
    <s v="NOT KNOWN"/>
    <x v="3"/>
    <m/>
    <n v="2773"/>
    <s v="Cash"/>
    <s v="2025-06"/>
    <d v="2025-06-04T00:00:00"/>
    <s v="ACTIVE"/>
    <m/>
    <m/>
    <m/>
    <m/>
  </r>
  <r>
    <n v="513"/>
    <s v="Donor_038"/>
    <d v="2024-03-07T00:00:00"/>
    <s v="West"/>
    <x v="4"/>
    <m/>
    <n v="1078"/>
    <s v="Bank Transfer"/>
    <s v="2024-03"/>
    <d v="2025-04-26T00:00:00"/>
    <s v="ACTIVE"/>
    <m/>
    <m/>
    <m/>
    <m/>
  </r>
  <r>
    <n v="1375"/>
    <s v="Donor_002"/>
    <d v="2024-04-07T00:00:00"/>
    <s v="South"/>
    <x v="0"/>
    <m/>
    <n v="587"/>
    <s v="Cash"/>
    <s v="2024-04"/>
    <d v="2025-04-12T00:00:00"/>
    <s v="ACTIVE"/>
    <m/>
    <m/>
    <m/>
    <m/>
  </r>
  <r>
    <n v="930"/>
    <s v="Donor_004"/>
    <d v="2024-06-02T00:00:00"/>
    <s v="Central"/>
    <x v="1"/>
    <m/>
    <n v="310"/>
    <s v="UPI"/>
    <s v="2024-06"/>
    <d v="2025-05-26T00:00:00"/>
    <s v="ACTIVE"/>
    <m/>
    <m/>
    <m/>
    <m/>
  </r>
  <r>
    <n v="1474"/>
    <s v="Donor_013"/>
    <d v="2024-10-31T00:00:00"/>
    <s v="West"/>
    <x v="3"/>
    <m/>
    <n v="2919"/>
    <s v="Cash"/>
    <s v="2024-10"/>
    <d v="2025-04-28T00:00:00"/>
    <s v="ACTIVE"/>
    <m/>
    <m/>
    <m/>
    <m/>
  </r>
  <r>
    <n v="11"/>
    <s v="Donor_049"/>
    <d v="2025-01-29T00:00:00"/>
    <s v="Central"/>
    <x v="1"/>
    <m/>
    <n v="9006"/>
    <s v="Cheque"/>
    <s v="2025-01"/>
    <d v="2025-06-19T00:00:00"/>
    <s v="ACTIVE"/>
    <m/>
    <m/>
    <m/>
    <m/>
  </r>
  <r>
    <n v="832"/>
    <s v="Donor_079"/>
    <d v="2025-01-22T00:00:00"/>
    <s v="North"/>
    <x v="5"/>
    <m/>
    <n v="5613"/>
    <s v="UPI"/>
    <s v="2025-01"/>
    <d v="2025-06-07T00:00:00"/>
    <s v="ACTIVE"/>
    <m/>
    <m/>
    <m/>
    <m/>
  </r>
  <r>
    <n v="33"/>
    <s v="Donor_006"/>
    <d v="2024-05-10T00:00:00"/>
    <s v="East"/>
    <x v="5"/>
    <m/>
    <n v="580"/>
    <s v="Credit Card"/>
    <s v="2024-05"/>
    <d v="2025-06-06T00:00:00"/>
    <s v="ACTIVE"/>
    <m/>
    <m/>
    <m/>
    <m/>
  </r>
  <r>
    <n v="1367"/>
    <s v="Donor_067"/>
    <d v="2025-02-08T00:00:00"/>
    <s v="West"/>
    <x v="4"/>
    <m/>
    <n v="5500"/>
    <s v="UPI"/>
    <s v="2025-02"/>
    <d v="2025-06-15T00:00:00"/>
    <s v="ACTIVE"/>
    <m/>
    <m/>
    <m/>
    <m/>
  </r>
  <r>
    <n v="414"/>
    <s v="Donor_055"/>
    <d v="2024-04-10T00:00:00"/>
    <s v="South"/>
    <x v="5"/>
    <m/>
    <n v="332"/>
    <s v="UPI"/>
    <s v="2024-04"/>
    <d v="2025-05-11T00:00:00"/>
    <s v="ACTIVE"/>
    <m/>
    <m/>
    <m/>
    <m/>
  </r>
  <r>
    <n v="581"/>
    <s v="Donor_001"/>
    <d v="2025-03-04T00:00:00"/>
    <s v="Central"/>
    <x v="4"/>
    <m/>
    <n v="1694"/>
    <s v="Cheque"/>
    <s v="2025-03"/>
    <d v="2025-05-18T00:00:00"/>
    <s v="ACTIVE"/>
    <m/>
    <m/>
    <m/>
    <m/>
  </r>
  <r>
    <n v="1398"/>
    <s v="Donor_025"/>
    <d v="2024-03-09T00:00:00"/>
    <s v="East"/>
    <x v="1"/>
    <m/>
    <n v="352"/>
    <s v="Cheque"/>
    <s v="2024-03"/>
    <d v="2025-06-07T00:00:00"/>
    <s v="ACTIVE"/>
    <m/>
    <m/>
    <m/>
    <m/>
  </r>
  <r>
    <n v="1716"/>
    <s v="Donor_076"/>
    <d v="2024-08-19T00:00:00"/>
    <s v="West"/>
    <x v="4"/>
    <m/>
    <n v="8942"/>
    <s v="Cheque"/>
    <s v="2024-08"/>
    <d v="2025-06-08T00:00:00"/>
    <s v="ACTIVE"/>
    <m/>
    <m/>
    <m/>
    <m/>
  </r>
  <r>
    <n v="615"/>
    <s v="Donor_012"/>
    <d v="2025-01-19T00:00:00"/>
    <s v="North"/>
    <x v="1"/>
    <m/>
    <n v="2415"/>
    <s v="Cheque"/>
    <s v="2025-01"/>
    <d v="2025-06-23T00:00:00"/>
    <s v="ACTIVE"/>
    <m/>
    <m/>
    <m/>
    <m/>
  </r>
  <r>
    <n v="1046"/>
    <s v="Donor_119"/>
    <d v="2024-12-10T00:00:00"/>
    <s v="East"/>
    <x v="0"/>
    <m/>
    <n v="2206"/>
    <s v="Bank Transfer"/>
    <s v="2024-12"/>
    <d v="2025-05-18T00:00:00"/>
    <s v="ACTIVE"/>
    <m/>
    <m/>
    <m/>
    <m/>
  </r>
  <r>
    <n v="1015"/>
    <s v="Donor_107"/>
    <d v="2024-01-26T00:00:00"/>
    <s v="Central"/>
    <x v="1"/>
    <m/>
    <n v="617"/>
    <s v="UPI"/>
    <s v="2024-01"/>
    <d v="2025-03-18T00:00:00"/>
    <s v="LAPSED"/>
    <m/>
    <m/>
    <m/>
    <m/>
  </r>
  <r>
    <n v="90"/>
    <s v="Donor_032"/>
    <d v="2024-05-29T00:00:00"/>
    <s v="Central"/>
    <x v="1"/>
    <m/>
    <n v="1302"/>
    <s v="UPI"/>
    <s v="2024-05"/>
    <d v="2025-04-29T00:00:00"/>
    <s v="ACTIVE"/>
    <m/>
    <m/>
    <m/>
    <m/>
  </r>
  <r>
    <n v="1792"/>
    <s v="Donor_016"/>
    <d v="2024-07-26T00:00:00"/>
    <s v="West"/>
    <x v="1"/>
    <m/>
    <n v="500"/>
    <s v="Bank Transfer"/>
    <s v="2024-07"/>
    <d v="2025-06-17T00:00:00"/>
    <s v="ACTIVE"/>
    <m/>
    <m/>
    <m/>
    <m/>
  </r>
  <r>
    <n v="602"/>
    <s v="Donor_088"/>
    <d v="2025-03-02T00:00:00"/>
    <s v="Central"/>
    <x v="4"/>
    <m/>
    <n v="282"/>
    <s v="Cash"/>
    <s v="2025-03"/>
    <d v="2025-05-21T00:00:00"/>
    <s v="ACTIVE"/>
    <m/>
    <m/>
    <m/>
    <m/>
  </r>
  <r>
    <n v="1238"/>
    <s v="Donor_054"/>
    <d v="2024-12-02T00:00:00"/>
    <s v="East"/>
    <x v="5"/>
    <m/>
    <n v="805"/>
    <s v="Cash"/>
    <s v="2024-12"/>
    <d v="2025-06-18T00:00:00"/>
    <s v="ACTIVE"/>
    <m/>
    <m/>
    <m/>
    <m/>
  </r>
  <r>
    <n v="134"/>
    <s v="Donor_040"/>
    <d v="2024-12-24T00:00:00"/>
    <s v="West"/>
    <x v="4"/>
    <m/>
    <n v="924"/>
    <s v="Cash"/>
    <s v="2024-12"/>
    <d v="2025-05-15T00:00:00"/>
    <s v="ACTIVE"/>
    <m/>
    <m/>
    <m/>
    <m/>
  </r>
  <r>
    <n v="556"/>
    <s v="Donor_074"/>
    <d v="2024-08-03T00:00:00"/>
    <s v="East"/>
    <x v="3"/>
    <m/>
    <n v="2755"/>
    <s v="UPI"/>
    <s v="2024-08"/>
    <d v="2025-06-18T00:00:00"/>
    <s v="ACTIVE"/>
    <m/>
    <m/>
    <m/>
    <m/>
  </r>
  <r>
    <n v="1032"/>
    <s v="Donor_070"/>
    <d v="2024-02-28T00:00:00"/>
    <s v="North"/>
    <x v="0"/>
    <m/>
    <n v="352"/>
    <s v="Bank Transfer"/>
    <s v="2024-02"/>
    <d v="2025-03-27T00:00:00"/>
    <s v="ACTIVE"/>
    <m/>
    <m/>
    <m/>
    <m/>
  </r>
  <r>
    <n v="1414"/>
    <s v="Donor_037"/>
    <d v="2024-06-29T00:00:00"/>
    <s v="Central"/>
    <x v="1"/>
    <m/>
    <n v="868"/>
    <s v="Credit Card"/>
    <s v="2024-06"/>
    <d v="2025-05-23T00:00:00"/>
    <s v="ACTIVE"/>
    <m/>
    <m/>
    <m/>
    <m/>
  </r>
  <r>
    <n v="321"/>
    <s v="Donor_107"/>
    <d v="2024-05-31T00:00:00"/>
    <s v="Central"/>
    <x v="5"/>
    <m/>
    <n v="5822"/>
    <s v="UPI"/>
    <s v="2024-05"/>
    <d v="2025-03-18T00:00:00"/>
    <s v="LAPSED"/>
    <m/>
    <m/>
    <m/>
    <m/>
  </r>
  <r>
    <n v="1599"/>
    <s v="Donor_080"/>
    <d v="2025-01-09T00:00:00"/>
    <s v="South"/>
    <x v="1"/>
    <m/>
    <n v="327"/>
    <s v="Cheque"/>
    <s v="2025-01"/>
    <d v="2025-05-11T00:00:00"/>
    <s v="ACTIVE"/>
    <m/>
    <m/>
    <m/>
    <m/>
  </r>
  <r>
    <n v="1212"/>
    <s v="Donor_073"/>
    <d v="2024-06-30T00:00:00"/>
    <s v="North"/>
    <x v="4"/>
    <m/>
    <n v="8623"/>
    <s v="Cash"/>
    <s v="2024-06"/>
    <d v="2025-06-23T00:00:00"/>
    <s v="ACTIVE"/>
    <m/>
    <m/>
    <m/>
    <m/>
  </r>
  <r>
    <n v="1568"/>
    <s v="Donor_087"/>
    <d v="2024-06-17T00:00:00"/>
    <s v="North"/>
    <x v="3"/>
    <m/>
    <n v="1200"/>
    <s v="UPI"/>
    <s v="2024-06"/>
    <d v="2025-06-09T00:00:00"/>
    <s v="ACTIVE"/>
    <m/>
    <m/>
    <m/>
    <m/>
  </r>
  <r>
    <n v="635"/>
    <s v="Donor_023"/>
    <d v="2025-01-11T00:00:00"/>
    <s v="North"/>
    <x v="2"/>
    <m/>
    <n v="321"/>
    <s v="Cash"/>
    <s v="2025-01"/>
    <d v="2025-05-24T00:00:00"/>
    <s v="ACTIVE"/>
    <m/>
    <m/>
    <m/>
    <m/>
  </r>
  <r>
    <n v="553"/>
    <s v="Donor_010"/>
    <d v="2025-06-01T00:00:00"/>
    <s v="East"/>
    <x v="5"/>
    <m/>
    <n v="1569"/>
    <s v="Bank Transfer"/>
    <s v="2025-06"/>
    <d v="2025-06-01T00:00:00"/>
    <s v="ACTIVE"/>
    <m/>
    <m/>
    <m/>
    <m/>
  </r>
  <r>
    <n v="1056"/>
    <s v="Donor_061"/>
    <d v="2025-01-18T00:00:00"/>
    <s v="East"/>
    <x v="0"/>
    <m/>
    <n v="432"/>
    <s v="UPI"/>
    <s v="2025-01"/>
    <d v="2025-05-21T00:00:00"/>
    <s v="ACTIVE"/>
    <m/>
    <m/>
    <m/>
    <m/>
  </r>
  <r>
    <n v="1407"/>
    <s v="Donor_042"/>
    <d v="2024-12-16T00:00:00"/>
    <s v="North"/>
    <x v="1"/>
    <m/>
    <n v="10463"/>
    <s v="Cash"/>
    <s v="2024-12"/>
    <d v="2025-02-10T00:00:00"/>
    <s v="LAPSED"/>
    <m/>
    <m/>
    <m/>
    <m/>
  </r>
  <r>
    <n v="797"/>
    <s v="Donor_065"/>
    <d v="2024-04-17T00:00:00"/>
    <s v="East"/>
    <x v="1"/>
    <m/>
    <n v="260"/>
    <s v="Credit Card"/>
    <s v="2024-04"/>
    <d v="2025-05-02T00:00:00"/>
    <s v="ACTIVE"/>
    <m/>
    <m/>
    <m/>
    <m/>
  </r>
  <r>
    <n v="1509"/>
    <s v="Donor_106"/>
    <d v="2024-05-19T00:00:00"/>
    <s v="South"/>
    <x v="3"/>
    <m/>
    <n v="747"/>
    <s v="Credit Card"/>
    <s v="2024-05"/>
    <d v="2025-06-11T00:00:00"/>
    <s v="ACTIVE"/>
    <m/>
    <m/>
    <m/>
    <m/>
  </r>
  <r>
    <n v="1265"/>
    <s v="Donor_103"/>
    <d v="2024-01-29T00:00:00"/>
    <s v="Central"/>
    <x v="0"/>
    <m/>
    <n v="5719"/>
    <s v="Credit Card"/>
    <s v="2024-01"/>
    <d v="2025-02-25T00:00:00"/>
    <s v="LAPSED"/>
    <m/>
    <m/>
    <m/>
    <m/>
  </r>
  <r>
    <n v="1546"/>
    <s v="Donor_053"/>
    <d v="2024-05-19T00:00:00"/>
    <s v="North"/>
    <x v="4"/>
    <m/>
    <n v="2116"/>
    <s v="Cheque"/>
    <s v="2024-05"/>
    <d v="2025-04-16T00:00:00"/>
    <s v="ACTIVE"/>
    <m/>
    <m/>
    <m/>
    <m/>
  </r>
  <r>
    <n v="175"/>
    <s v="Donor_017"/>
    <d v="2024-05-01T00:00:00"/>
    <s v="North"/>
    <x v="1"/>
    <m/>
    <n v="5590"/>
    <s v="Bank Transfer"/>
    <s v="2024-05"/>
    <d v="2025-02-02T00:00:00"/>
    <s v="LAPSED"/>
    <m/>
    <m/>
    <m/>
    <m/>
  </r>
  <r>
    <n v="767"/>
    <s v="Donor_079"/>
    <d v="2024-12-09T00:00:00"/>
    <s v="East"/>
    <x v="1"/>
    <m/>
    <n v="4325"/>
    <s v="Cash"/>
    <s v="2024-12"/>
    <d v="2025-06-07T00:00:00"/>
    <s v="ACTIVE"/>
    <m/>
    <m/>
    <m/>
    <m/>
  </r>
  <r>
    <n v="246"/>
    <s v="Donor_051"/>
    <d v="2025-03-18T00:00:00"/>
    <s v="North"/>
    <x v="2"/>
    <m/>
    <n v="1960"/>
    <s v="Cash"/>
    <s v="2025-03"/>
    <d v="2025-06-11T00:00:00"/>
    <s v="ACTIVE"/>
    <m/>
    <m/>
    <m/>
    <m/>
  </r>
  <r>
    <n v="1081"/>
    <s v="Donor_054"/>
    <d v="2024-10-21T00:00:00"/>
    <s v="West"/>
    <x v="5"/>
    <m/>
    <n v="2130"/>
    <s v="UPI"/>
    <s v="2024-10"/>
    <d v="2025-06-18T00:00:00"/>
    <s v="ACTIVE"/>
    <m/>
    <m/>
    <m/>
    <m/>
  </r>
  <r>
    <n v="1567"/>
    <s v="Donor_046"/>
    <d v="2024-11-17T00:00:00"/>
    <s v="NOT KNOWN"/>
    <x v="4"/>
    <m/>
    <n v="5832"/>
    <s v="Cash"/>
    <s v="2024-11"/>
    <d v="2025-05-10T00:00:00"/>
    <s v="ACTIVE"/>
    <m/>
    <m/>
    <m/>
    <m/>
  </r>
  <r>
    <n v="146"/>
    <s v="Donor_077"/>
    <d v="2025-05-26T00:00:00"/>
    <s v="Central"/>
    <x v="3"/>
    <m/>
    <n v="10300"/>
    <s v="Credit Card"/>
    <s v="2025-05"/>
    <d v="2025-06-21T00:00:00"/>
    <s v="ACTIVE"/>
    <m/>
    <m/>
    <m/>
    <m/>
  </r>
  <r>
    <n v="91"/>
    <s v="Donor_030"/>
    <d v="2024-05-26T00:00:00"/>
    <s v="West"/>
    <x v="2"/>
    <m/>
    <n v="2460"/>
    <s v="UPI"/>
    <s v="2024-05"/>
    <d v="2025-05-25T00:00:00"/>
    <s v="ACTIVE"/>
    <m/>
    <m/>
    <m/>
    <m/>
  </r>
  <r>
    <n v="683"/>
    <s v="Donor_112"/>
    <d v="2024-07-27T00:00:00"/>
    <s v="East"/>
    <x v="4"/>
    <m/>
    <n v="1650"/>
    <s v="Bank Transfer"/>
    <s v="2024-07"/>
    <d v="2025-05-26T00:00:00"/>
    <s v="ACTIVE"/>
    <m/>
    <m/>
    <m/>
    <m/>
  </r>
  <r>
    <n v="311"/>
    <s v="Donor_101"/>
    <d v="2025-05-05T00:00:00"/>
    <s v="Central"/>
    <x v="2"/>
    <m/>
    <n v="1730"/>
    <s v="UPI"/>
    <s v="2025-05"/>
    <d v="2025-05-11T00:00:00"/>
    <s v="ACTIVE"/>
    <m/>
    <m/>
    <m/>
    <m/>
  </r>
  <r>
    <n v="94"/>
    <s v="Donor_117"/>
    <d v="2024-02-20T00:00:00"/>
    <s v="Central"/>
    <x v="2"/>
    <m/>
    <n v="340"/>
    <s v="Bank Transfer"/>
    <s v="2024-02"/>
    <d v="2025-04-05T00:00:00"/>
    <s v="ACTIVE"/>
    <m/>
    <m/>
    <m/>
    <m/>
  </r>
  <r>
    <n v="1750"/>
    <s v="Donor_058"/>
    <d v="2025-03-15T00:00:00"/>
    <s v="South"/>
    <x v="0"/>
    <m/>
    <n v="8876"/>
    <s v="Bank Transfer"/>
    <s v="2025-03"/>
    <d v="2025-06-22T00:00:00"/>
    <s v="ACTIVE"/>
    <m/>
    <m/>
    <m/>
    <m/>
  </r>
  <r>
    <n v="925"/>
    <s v="Donor_105"/>
    <d v="2024-03-20T00:00:00"/>
    <s v="West"/>
    <x v="1"/>
    <m/>
    <n v="5305"/>
    <s v="Cash"/>
    <s v="2024-03"/>
    <d v="2025-06-15T00:00:00"/>
    <s v="ACTIVE"/>
    <m/>
    <m/>
    <m/>
    <m/>
  </r>
  <r>
    <n v="1527"/>
    <s v="Donor_099"/>
    <d v="2024-01-24T00:00:00"/>
    <s v="South"/>
    <x v="2"/>
    <m/>
    <n v="947"/>
    <s v="Cheque"/>
    <s v="2024-01"/>
    <d v="2025-05-30T00:00:00"/>
    <s v="ACTIVE"/>
    <m/>
    <m/>
    <m/>
    <m/>
  </r>
  <r>
    <n v="1036"/>
    <s v="Donor_088"/>
    <d v="2025-01-23T00:00:00"/>
    <s v="North"/>
    <x v="0"/>
    <m/>
    <n v="246"/>
    <s v="Cash"/>
    <s v="2025-01"/>
    <d v="2025-05-21T00:00:00"/>
    <s v="ACTIVE"/>
    <m/>
    <m/>
    <m/>
    <m/>
  </r>
  <r>
    <n v="244"/>
    <s v="Donor_093"/>
    <d v="2025-03-24T00:00:00"/>
    <s v="West"/>
    <x v="5"/>
    <m/>
    <n v="920"/>
    <s v="UPI"/>
    <s v="2025-03"/>
    <d v="2025-03-24T00:00:00"/>
    <s v="LAPSED"/>
    <m/>
    <m/>
    <m/>
    <m/>
  </r>
  <r>
    <n v="1112"/>
    <s v="Donor_049"/>
    <d v="2024-07-14T00:00:00"/>
    <s v="East"/>
    <x v="4"/>
    <m/>
    <n v="439"/>
    <s v="Bank Transfer"/>
    <s v="2024-07"/>
    <d v="2025-06-19T00:00:00"/>
    <s v="ACTIVE"/>
    <m/>
    <m/>
    <m/>
    <m/>
  </r>
  <r>
    <n v="215"/>
    <s v="Donor_098"/>
    <d v="2025-04-25T00:00:00"/>
    <s v="East"/>
    <x v="4"/>
    <m/>
    <n v="4626"/>
    <s v="UPI"/>
    <s v="2025-04"/>
    <d v="2025-06-20T00:00:00"/>
    <s v="ACTIVE"/>
    <m/>
    <m/>
    <m/>
    <m/>
  </r>
  <r>
    <n v="1198"/>
    <s v="Donor_018"/>
    <d v="2024-01-24T00:00:00"/>
    <s v="North"/>
    <x v="2"/>
    <m/>
    <n v="728"/>
    <s v="Cash"/>
    <s v="2024-01"/>
    <d v="2025-06-16T00:00:00"/>
    <s v="ACTIVE"/>
    <m/>
    <m/>
    <m/>
    <m/>
  </r>
  <r>
    <n v="999"/>
    <s v="Donor_036"/>
    <d v="2024-04-20T00:00:00"/>
    <s v="Central"/>
    <x v="1"/>
    <m/>
    <n v="8700"/>
    <s v="Bank Transfer"/>
    <s v="2024-04"/>
    <d v="2025-06-07T00:00:00"/>
    <s v="ACTIVE"/>
    <m/>
    <m/>
    <m/>
    <m/>
  </r>
  <r>
    <n v="854"/>
    <s v="Donor_029"/>
    <d v="2025-06-05T00:00:00"/>
    <s v="North"/>
    <x v="0"/>
    <m/>
    <n v="273"/>
    <s v="UPI"/>
    <s v="2025-06"/>
    <d v="2025-06-05T00:00:00"/>
    <s v="ACTIVE"/>
    <m/>
    <m/>
    <m/>
    <m/>
  </r>
  <r>
    <n v="426"/>
    <s v="Donor_073"/>
    <d v="2025-01-21T00:00:00"/>
    <s v="West"/>
    <x v="4"/>
    <m/>
    <n v="5922"/>
    <s v="Cash"/>
    <s v="2025-01"/>
    <d v="2025-06-23T00:00:00"/>
    <s v="ACTIVE"/>
    <m/>
    <m/>
    <m/>
    <m/>
  </r>
  <r>
    <n v="1703"/>
    <s v="Donor_047"/>
    <d v="2024-09-16T00:00:00"/>
    <s v="East"/>
    <x v="3"/>
    <m/>
    <n v="535"/>
    <s v="Cash"/>
    <s v="2024-09"/>
    <d v="2025-05-04T00:00:00"/>
    <s v="ACTIVE"/>
    <m/>
    <m/>
    <m/>
    <m/>
  </r>
  <r>
    <n v="1143"/>
    <s v="Donor_001"/>
    <d v="2024-06-02T00:00:00"/>
    <s v="East"/>
    <x v="2"/>
    <m/>
    <n v="2198"/>
    <s v="Cheque"/>
    <s v="2024-06"/>
    <d v="2025-05-18T00:00:00"/>
    <s v="ACTIVE"/>
    <m/>
    <m/>
    <m/>
    <m/>
  </r>
  <r>
    <n v="1144"/>
    <s v="Donor_112"/>
    <d v="2024-05-04T00:00:00"/>
    <s v="West"/>
    <x v="1"/>
    <m/>
    <n v="4100"/>
    <s v="Cheque"/>
    <s v="2024-05"/>
    <d v="2025-05-26T00:00:00"/>
    <s v="ACTIVE"/>
    <m/>
    <m/>
    <m/>
    <m/>
  </r>
  <r>
    <n v="227"/>
    <s v="Donor_007"/>
    <d v="2024-12-20T00:00:00"/>
    <s v="North"/>
    <x v="1"/>
    <m/>
    <n v="2271"/>
    <s v="Bank Transfer"/>
    <s v="2024-12"/>
    <d v="2025-06-21T00:00:00"/>
    <s v="ACTIVE"/>
    <m/>
    <m/>
    <m/>
    <m/>
  </r>
  <r>
    <n v="1471"/>
    <s v="Donor_053"/>
    <d v="2024-11-03T00:00:00"/>
    <s v="North"/>
    <x v="3"/>
    <m/>
    <n v="2328"/>
    <s v="UPI"/>
    <s v="2024-11"/>
    <d v="2025-04-16T00:00:00"/>
    <s v="ACTIVE"/>
    <m/>
    <m/>
    <m/>
    <m/>
  </r>
  <r>
    <n v="1"/>
    <s v="Donor_004"/>
    <d v="2024-04-24T00:00:00"/>
    <s v="East"/>
    <x v="4"/>
    <m/>
    <n v="1712"/>
    <s v="UPI"/>
    <s v="2024-04"/>
    <d v="2025-05-26T00:00:00"/>
    <s v="ACTIVE"/>
    <m/>
    <m/>
    <m/>
    <m/>
  </r>
  <r>
    <n v="402"/>
    <s v="Donor_050"/>
    <d v="2025-01-04T00:00:00"/>
    <s v="West"/>
    <x v="1"/>
    <m/>
    <n v="408"/>
    <s v="Bank Transfer"/>
    <s v="2025-01"/>
    <d v="2025-06-18T00:00:00"/>
    <s v="ACTIVE"/>
    <m/>
    <m/>
    <m/>
    <m/>
  </r>
  <r>
    <n v="1104"/>
    <s v="Donor_045"/>
    <d v="2024-08-19T00:00:00"/>
    <s v="North"/>
    <x v="4"/>
    <m/>
    <n v="2284"/>
    <s v="Cash"/>
    <s v="2024-08"/>
    <d v="2025-05-11T00:00:00"/>
    <s v="ACTIVE"/>
    <m/>
    <m/>
    <m/>
    <m/>
  </r>
  <r>
    <n v="85"/>
    <s v="Donor_120"/>
    <d v="2025-04-11T00:00:00"/>
    <s v="East"/>
    <x v="4"/>
    <m/>
    <n v="2057"/>
    <s v="Credit Card"/>
    <s v="2025-04"/>
    <d v="2025-06-19T00:00:00"/>
    <s v="ACTIVE"/>
    <m/>
    <m/>
    <m/>
    <m/>
  </r>
  <r>
    <n v="163"/>
    <s v="Donor_017"/>
    <d v="2024-03-16T00:00:00"/>
    <s v="East"/>
    <x v="2"/>
    <m/>
    <n v="980"/>
    <s v="Cheque"/>
    <s v="2024-03"/>
    <d v="2025-02-02T00:00:00"/>
    <s v="LAPSED"/>
    <m/>
    <m/>
    <m/>
    <m/>
  </r>
  <r>
    <n v="115"/>
    <s v="Donor_015"/>
    <d v="2025-01-11T00:00:00"/>
    <s v="East"/>
    <x v="0"/>
    <m/>
    <n v="2246"/>
    <s v="Cheque"/>
    <s v="2025-01"/>
    <d v="2025-05-02T00:00:00"/>
    <s v="ACTIVE"/>
    <m/>
    <m/>
    <m/>
    <m/>
  </r>
  <r>
    <n v="671"/>
    <s v="Donor_077"/>
    <d v="2025-03-15T00:00:00"/>
    <s v="East"/>
    <x v="4"/>
    <m/>
    <n v="1183"/>
    <s v="Credit Card"/>
    <s v="2025-03"/>
    <d v="2025-06-21T00:00:00"/>
    <s v="ACTIVE"/>
    <m/>
    <m/>
    <m/>
    <m/>
  </r>
  <r>
    <n v="1175"/>
    <s v="Donor_083"/>
    <d v="2025-05-11T00:00:00"/>
    <s v="South"/>
    <x v="0"/>
    <m/>
    <n v="261"/>
    <s v="Cash"/>
    <s v="2025-05"/>
    <d v="2025-06-21T00:00:00"/>
    <s v="ACTIVE"/>
    <m/>
    <m/>
    <m/>
    <m/>
  </r>
  <r>
    <n v="1377"/>
    <s v="Donor_088"/>
    <d v="2024-04-22T00:00:00"/>
    <s v="South"/>
    <x v="3"/>
    <m/>
    <n v="1986"/>
    <s v="Credit Card"/>
    <s v="2024-04"/>
    <d v="2025-05-21T00:00:00"/>
    <s v="ACTIVE"/>
    <m/>
    <m/>
    <m/>
    <m/>
  </r>
  <r>
    <n v="890"/>
    <s v="Donor_036"/>
    <d v="2025-04-28T00:00:00"/>
    <s v="NOT KNOWN"/>
    <x v="3"/>
    <m/>
    <n v="655"/>
    <s v="Cash"/>
    <s v="2025-04"/>
    <d v="2025-06-07T00:00:00"/>
    <s v="ACTIVE"/>
    <m/>
    <m/>
    <m/>
    <m/>
  </r>
  <r>
    <n v="626"/>
    <s v="Donor_004"/>
    <d v="2024-11-07T00:00:00"/>
    <s v="North"/>
    <x v="4"/>
    <m/>
    <n v="1714"/>
    <s v="Credit Card"/>
    <s v="2024-11"/>
    <d v="2025-05-26T00:00:00"/>
    <s v="ACTIVE"/>
    <m/>
    <m/>
    <m/>
    <m/>
  </r>
  <r>
    <n v="1767"/>
    <s v="Donor_092"/>
    <d v="2024-05-08T00:00:00"/>
    <s v="South"/>
    <x v="2"/>
    <m/>
    <n v="2056"/>
    <s v="Bank Transfer"/>
    <s v="2024-05"/>
    <d v="2025-05-07T00:00:00"/>
    <s v="ACTIVE"/>
    <m/>
    <m/>
    <m/>
    <m/>
  </r>
  <r>
    <n v="953"/>
    <s v="Donor_016"/>
    <d v="2025-04-25T00:00:00"/>
    <s v="East"/>
    <x v="1"/>
    <m/>
    <n v="872"/>
    <s v="Cash"/>
    <s v="2025-04"/>
    <d v="2025-06-17T00:00:00"/>
    <s v="ACTIVE"/>
    <m/>
    <m/>
    <m/>
    <m/>
  </r>
  <r>
    <n v="808"/>
    <s v="Donor_087"/>
    <d v="2025-02-01T00:00:00"/>
    <s v="NOT KNOWN"/>
    <x v="5"/>
    <m/>
    <n v="1581"/>
    <s v="Bank Transfer"/>
    <s v="2025-02"/>
    <d v="2025-06-09T00:00:00"/>
    <s v="ACTIVE"/>
    <m/>
    <m/>
    <m/>
    <m/>
  </r>
  <r>
    <n v="259"/>
    <s v="Donor_032"/>
    <d v="2024-05-15T00:00:00"/>
    <s v="South"/>
    <x v="2"/>
    <m/>
    <n v="5657"/>
    <s v="Cash"/>
    <s v="2024-05"/>
    <d v="2025-04-29T00:00:00"/>
    <s v="ACTIVE"/>
    <m/>
    <m/>
    <m/>
    <m/>
  </r>
  <r>
    <n v="625"/>
    <s v="Donor_062"/>
    <d v="2024-01-18T00:00:00"/>
    <s v="East"/>
    <x v="5"/>
    <m/>
    <n v="4278"/>
    <s v="Cash"/>
    <s v="2024-01"/>
    <d v="2025-05-17T00:00:00"/>
    <s v="ACTIVE"/>
    <m/>
    <m/>
    <m/>
    <m/>
  </r>
  <r>
    <n v="827"/>
    <s v="Donor_063"/>
    <d v="2024-07-21T00:00:00"/>
    <s v="South"/>
    <x v="0"/>
    <m/>
    <n v="980"/>
    <s v="Credit Card"/>
    <s v="2024-07"/>
    <d v="2025-04-20T00:00:00"/>
    <s v="ACTIVE"/>
    <m/>
    <m/>
    <m/>
    <m/>
  </r>
  <r>
    <n v="235"/>
    <s v="Donor_103"/>
    <d v="2025-01-24T00:00:00"/>
    <s v="East"/>
    <x v="1"/>
    <m/>
    <n v="4861"/>
    <s v="Cheque"/>
    <s v="2025-01"/>
    <d v="2025-02-25T00:00:00"/>
    <s v="LAPSED"/>
    <m/>
    <m/>
    <m/>
    <m/>
  </r>
  <r>
    <n v="136"/>
    <s v="Donor_018"/>
    <d v="2024-08-19T00:00:00"/>
    <s v="South"/>
    <x v="3"/>
    <m/>
    <n v="2844"/>
    <s v="UPI"/>
    <s v="2024-08"/>
    <d v="2025-06-16T00:00:00"/>
    <s v="ACTIVE"/>
    <m/>
    <m/>
    <m/>
    <m/>
  </r>
  <r>
    <n v="617"/>
    <s v="Donor_102"/>
    <d v="2024-01-28T00:00:00"/>
    <s v="North"/>
    <x v="4"/>
    <m/>
    <n v="2300"/>
    <s v="Cash"/>
    <s v="2024-01"/>
    <d v="2025-04-29T00:00:00"/>
    <s v="ACTIVE"/>
    <m/>
    <m/>
    <m/>
    <m/>
  </r>
  <r>
    <n v="1768"/>
    <s v="Donor_001"/>
    <d v="2024-01-22T00:00:00"/>
    <s v="West"/>
    <x v="1"/>
    <m/>
    <n v="285"/>
    <s v="Credit Card"/>
    <s v="2024-01"/>
    <d v="2025-05-18T00:00:00"/>
    <s v="ACTIVE"/>
    <m/>
    <m/>
    <m/>
    <m/>
  </r>
  <r>
    <n v="837"/>
    <s v="Donor_039"/>
    <d v="2024-03-30T00:00:00"/>
    <s v="Central"/>
    <x v="1"/>
    <m/>
    <n v="1738"/>
    <s v="UPI"/>
    <s v="2024-03"/>
    <d v="2025-04-25T00:00:00"/>
    <s v="ACTIVE"/>
    <m/>
    <m/>
    <m/>
    <m/>
  </r>
  <r>
    <n v="843"/>
    <s v="Donor_067"/>
    <d v="2024-05-09T00:00:00"/>
    <s v="Central"/>
    <x v="0"/>
    <m/>
    <n v="1685"/>
    <s v="UPI"/>
    <s v="2024-05"/>
    <d v="2025-06-15T00:00:00"/>
    <s v="ACTIVE"/>
    <m/>
    <m/>
    <m/>
    <m/>
  </r>
  <r>
    <n v="960"/>
    <s v="Donor_093"/>
    <d v="2024-09-08T00:00:00"/>
    <s v="West"/>
    <x v="5"/>
    <m/>
    <n v="455"/>
    <s v="Credit Card"/>
    <s v="2024-09"/>
    <d v="2025-03-24T00:00:00"/>
    <s v="LAPSED"/>
    <m/>
    <m/>
    <m/>
    <m/>
  </r>
  <r>
    <n v="593"/>
    <s v="Donor_083"/>
    <d v="2024-09-01T00:00:00"/>
    <s v="North"/>
    <x v="3"/>
    <m/>
    <n v="320"/>
    <s v="Credit Card"/>
    <s v="2024-09"/>
    <d v="2025-06-21T00:00:00"/>
    <s v="ACTIVE"/>
    <m/>
    <m/>
    <m/>
    <m/>
  </r>
  <r>
    <n v="1315"/>
    <s v="Donor_061"/>
    <d v="2024-07-16T00:00:00"/>
    <s v="South"/>
    <x v="2"/>
    <m/>
    <n v="313"/>
    <s v="Credit Card"/>
    <s v="2024-07"/>
    <d v="2025-05-21T00:00:00"/>
    <s v="ACTIVE"/>
    <m/>
    <m/>
    <m/>
    <m/>
  </r>
  <r>
    <n v="1292"/>
    <s v="Donor_056"/>
    <d v="2024-01-22T00:00:00"/>
    <s v="East"/>
    <x v="4"/>
    <m/>
    <n v="492"/>
    <s v="Cheque"/>
    <s v="2024-01"/>
    <d v="2025-05-08T00:00:00"/>
    <s v="ACTIVE"/>
    <m/>
    <m/>
    <m/>
    <m/>
  </r>
  <r>
    <n v="344"/>
    <s v="Donor_069"/>
    <d v="2024-02-08T00:00:00"/>
    <s v="NOT KNOWN"/>
    <x v="2"/>
    <m/>
    <n v="0"/>
    <s v="Bank Transfer"/>
    <s v="2024-02"/>
    <d v="2025-06-13T00:00:00"/>
    <s v="ACTIVE"/>
    <m/>
    <m/>
    <m/>
    <m/>
  </r>
  <r>
    <n v="1492"/>
    <s v="Donor_013"/>
    <d v="2024-12-31T00:00:00"/>
    <s v="West"/>
    <x v="1"/>
    <m/>
    <n v="2312"/>
    <s v="Bank Transfer"/>
    <s v="2024-12"/>
    <d v="2025-04-28T00:00:00"/>
    <s v="ACTIVE"/>
    <m/>
    <m/>
    <m/>
    <m/>
  </r>
  <r>
    <n v="294"/>
    <s v="Donor_017"/>
    <d v="2024-08-15T00:00:00"/>
    <s v="South"/>
    <x v="1"/>
    <m/>
    <n v="5373"/>
    <s v="UPI"/>
    <s v="2024-08"/>
    <d v="2025-02-02T00:00:00"/>
    <s v="LAPSED"/>
    <m/>
    <m/>
    <m/>
    <m/>
  </r>
  <r>
    <n v="365"/>
    <s v="Donor_105"/>
    <d v="2024-02-25T00:00:00"/>
    <s v="South"/>
    <x v="1"/>
    <m/>
    <n v="5120"/>
    <s v="Cheque"/>
    <s v="2024-02"/>
    <d v="2025-06-15T00:00:00"/>
    <s v="ACTIVE"/>
    <m/>
    <m/>
    <m/>
    <m/>
  </r>
  <r>
    <n v="179"/>
    <s v="Donor_077"/>
    <d v="2024-01-28T00:00:00"/>
    <s v="West"/>
    <x v="5"/>
    <m/>
    <n v="2177"/>
    <s v="Cheque"/>
    <s v="2024-01"/>
    <d v="2025-06-21T00:00:00"/>
    <s v="ACTIVE"/>
    <m/>
    <m/>
    <m/>
    <m/>
  </r>
  <r>
    <n v="660"/>
    <s v="Donor_120"/>
    <d v="2024-08-29T00:00:00"/>
    <s v="West"/>
    <x v="4"/>
    <m/>
    <n v="1264"/>
    <s v="Credit Card"/>
    <s v="2024-08"/>
    <d v="2025-06-19T00:00:00"/>
    <s v="ACTIVE"/>
    <m/>
    <m/>
    <m/>
    <m/>
  </r>
  <r>
    <n v="997"/>
    <s v="Donor_100"/>
    <d v="2025-06-14T00:00:00"/>
    <s v="Central"/>
    <x v="1"/>
    <m/>
    <n v="908"/>
    <s v="Cheque"/>
    <s v="2025-06"/>
    <d v="2025-06-14T00:00:00"/>
    <s v="ACTIVE"/>
    <m/>
    <m/>
    <m/>
    <m/>
  </r>
  <r>
    <n v="15"/>
    <s v="Donor_011"/>
    <d v="2024-03-21T00:00:00"/>
    <s v="West"/>
    <x v="3"/>
    <m/>
    <n v="11063"/>
    <s v="Credit Card"/>
    <s v="2024-03"/>
    <d v="2025-06-04T00:00:00"/>
    <s v="ACTIVE"/>
    <m/>
    <m/>
    <m/>
    <m/>
  </r>
  <r>
    <n v="1111"/>
    <s v="Donor_084"/>
    <d v="2025-03-21T00:00:00"/>
    <s v="East"/>
    <x v="4"/>
    <m/>
    <n v="573"/>
    <s v="Cash"/>
    <s v="2025-03"/>
    <d v="2025-05-13T00:00:00"/>
    <s v="ACTIVE"/>
    <m/>
    <m/>
    <m/>
    <m/>
  </r>
  <r>
    <n v="1395"/>
    <s v="Donor_025"/>
    <d v="2024-10-29T00:00:00"/>
    <s v="East"/>
    <x v="2"/>
    <m/>
    <n v="10212"/>
    <s v="Credit Card"/>
    <s v="2024-10"/>
    <d v="2025-06-07T00:00:00"/>
    <s v="ACTIVE"/>
    <m/>
    <m/>
    <m/>
    <m/>
  </r>
  <r>
    <n v="166"/>
    <s v="Donor_076"/>
    <d v="2024-06-21T00:00:00"/>
    <s v="Central"/>
    <x v="4"/>
    <m/>
    <n v="1595"/>
    <s v="Cheque"/>
    <s v="2024-06"/>
    <d v="2025-06-08T00:00:00"/>
    <s v="ACTIVE"/>
    <m/>
    <m/>
    <m/>
    <m/>
  </r>
  <r>
    <n v="1696"/>
    <s v="Donor_089"/>
    <d v="2025-05-04T00:00:00"/>
    <s v="West"/>
    <x v="5"/>
    <m/>
    <n v="640"/>
    <s v="Bank Transfer"/>
    <s v="2025-05"/>
    <d v="2025-05-16T00:00:00"/>
    <s v="ACTIVE"/>
    <m/>
    <m/>
    <m/>
    <m/>
  </r>
  <r>
    <n v="1360"/>
    <s v="Donor_112"/>
    <d v="2024-02-15T00:00:00"/>
    <s v="Central"/>
    <x v="1"/>
    <m/>
    <n v="11809"/>
    <s v="Cash"/>
    <s v="2024-02"/>
    <d v="2025-05-26T00:00:00"/>
    <s v="ACTIVE"/>
    <m/>
    <m/>
    <m/>
    <m/>
  </r>
  <r>
    <n v="60"/>
    <s v="Donor_060"/>
    <d v="2025-05-10T00:00:00"/>
    <s v="West"/>
    <x v="2"/>
    <m/>
    <n v="2322"/>
    <s v="Credit Card"/>
    <s v="2025-05"/>
    <d v="2025-05-20T00:00:00"/>
    <s v="ACTIVE"/>
    <m/>
    <m/>
    <m/>
    <m/>
  </r>
  <r>
    <n v="710"/>
    <s v="Donor_119"/>
    <d v="2024-02-21T00:00:00"/>
    <s v="West"/>
    <x v="1"/>
    <m/>
    <n v="1190"/>
    <s v="Cheque"/>
    <s v="2024-02"/>
    <d v="2025-05-18T00:00:00"/>
    <s v="ACTIVE"/>
    <m/>
    <m/>
    <m/>
    <m/>
  </r>
  <r>
    <n v="677"/>
    <s v="Donor_039"/>
    <d v="2025-01-25T00:00:00"/>
    <s v="West"/>
    <x v="2"/>
    <m/>
    <n v="4264"/>
    <s v="Cheque"/>
    <s v="2025-01"/>
    <d v="2025-04-25T00:00:00"/>
    <s v="ACTIVE"/>
    <m/>
    <m/>
    <m/>
    <m/>
  </r>
  <r>
    <n v="1379"/>
    <s v="Donor_013"/>
    <d v="2024-04-28T00:00:00"/>
    <s v="South"/>
    <x v="4"/>
    <m/>
    <n v="1644"/>
    <s v="Cheque"/>
    <s v="2024-04"/>
    <d v="2025-04-28T00:00:00"/>
    <s v="ACTIVE"/>
    <m/>
    <m/>
    <m/>
    <m/>
  </r>
  <r>
    <n v="781"/>
    <s v="Donor_108"/>
    <d v="2024-10-28T00:00:00"/>
    <s v="Central"/>
    <x v="0"/>
    <m/>
    <n v="10575"/>
    <s v="Bank Transfer"/>
    <s v="2024-10"/>
    <d v="2025-05-21T00:00:00"/>
    <s v="ACTIVE"/>
    <m/>
    <m/>
    <m/>
    <m/>
  </r>
  <r>
    <n v="425"/>
    <s v="Donor_065"/>
    <d v="2024-03-15T00:00:00"/>
    <s v="East"/>
    <x v="5"/>
    <m/>
    <n v="1121"/>
    <s v="Bank Transfer"/>
    <s v="2024-03"/>
    <d v="2025-05-02T00:00:00"/>
    <s v="ACTIVE"/>
    <m/>
    <m/>
    <m/>
    <m/>
  </r>
  <r>
    <n v="293"/>
    <s v="Donor_052"/>
    <d v="2024-02-01T00:00:00"/>
    <s v="West"/>
    <x v="0"/>
    <m/>
    <n v="8999"/>
    <s v="Cash"/>
    <s v="2024-02"/>
    <d v="2025-06-13T00:00:00"/>
    <s v="ACTIVE"/>
    <m/>
    <m/>
    <m/>
    <m/>
  </r>
  <r>
    <n v="1066"/>
    <s v="Donor_115"/>
    <d v="2024-12-10T00:00:00"/>
    <s v="East"/>
    <x v="0"/>
    <m/>
    <n v="1198"/>
    <s v="UPI"/>
    <s v="2024-12"/>
    <d v="2025-06-20T00:00:00"/>
    <s v="ACTIVE"/>
    <m/>
    <m/>
    <m/>
    <m/>
  </r>
  <r>
    <n v="1619"/>
    <s v="Donor_031"/>
    <d v="2024-05-27T00:00:00"/>
    <s v="South"/>
    <x v="5"/>
    <m/>
    <n v="5405"/>
    <s v="Credit Card"/>
    <s v="2024-05"/>
    <d v="2025-05-17T00:00:00"/>
    <s v="ACTIVE"/>
    <m/>
    <m/>
    <m/>
    <m/>
  </r>
  <r>
    <n v="330"/>
    <s v="Donor_076"/>
    <d v="2025-04-30T00:00:00"/>
    <s v="Central"/>
    <x v="5"/>
    <m/>
    <n v="4327"/>
    <s v="Bank Transfer"/>
    <s v="2025-04"/>
    <d v="2025-06-08T00:00:00"/>
    <s v="ACTIVE"/>
    <m/>
    <m/>
    <m/>
    <m/>
  </r>
  <r>
    <n v="430"/>
    <s v="Donor_020"/>
    <d v="2024-12-30T00:00:00"/>
    <s v="North"/>
    <x v="3"/>
    <m/>
    <n v="1070"/>
    <s v="Cash"/>
    <s v="2024-12"/>
    <d v="2025-05-31T00:00:00"/>
    <s v="ACTIVE"/>
    <m/>
    <m/>
    <m/>
    <m/>
  </r>
  <r>
    <n v="1013"/>
    <s v="Donor_067"/>
    <d v="2024-07-28T00:00:00"/>
    <s v="NOT KNOWN"/>
    <x v="0"/>
    <m/>
    <n v="256"/>
    <s v="Credit Card"/>
    <s v="2024-07"/>
    <d v="2025-06-15T00:00:00"/>
    <s v="ACTIVE"/>
    <m/>
    <m/>
    <m/>
    <m/>
  </r>
  <r>
    <n v="80"/>
    <s v="Donor_035"/>
    <d v="2024-07-27T00:00:00"/>
    <s v="Central"/>
    <x v="4"/>
    <m/>
    <n v="2438"/>
    <s v="Cash"/>
    <s v="2024-07"/>
    <d v="2025-06-15T00:00:00"/>
    <s v="ACTIVE"/>
    <m/>
    <m/>
    <m/>
    <m/>
  </r>
  <r>
    <n v="1053"/>
    <s v="Donor_024"/>
    <d v="2024-02-09T00:00:00"/>
    <s v="Central"/>
    <x v="1"/>
    <m/>
    <n v="4084"/>
    <s v="Credit Card"/>
    <s v="2024-02"/>
    <d v="2025-06-07T00:00:00"/>
    <s v="ACTIVE"/>
    <m/>
    <m/>
    <m/>
    <m/>
  </r>
  <r>
    <n v="938"/>
    <s v="Donor_095"/>
    <d v="2024-02-28T00:00:00"/>
    <s v="South"/>
    <x v="2"/>
    <m/>
    <n v="8032"/>
    <s v="UPI"/>
    <s v="2024-02"/>
    <d v="2025-05-17T00:00:00"/>
    <s v="ACTIVE"/>
    <m/>
    <m/>
    <m/>
    <m/>
  </r>
  <r>
    <n v="835"/>
    <s v="Donor_078"/>
    <d v="2024-08-27T00:00:00"/>
    <s v="West"/>
    <x v="1"/>
    <m/>
    <n v="939"/>
    <s v="Cash"/>
    <s v="2024-08"/>
    <d v="2025-03-13T00:00:00"/>
    <s v="LAPSED"/>
    <m/>
    <m/>
    <m/>
    <m/>
  </r>
  <r>
    <n v="750"/>
    <s v="Donor_088"/>
    <d v="2024-10-14T00:00:00"/>
    <s v="East"/>
    <x v="4"/>
    <m/>
    <n v="1127"/>
    <s v="Bank Transfer"/>
    <s v="2024-10"/>
    <d v="2025-05-21T00:00:00"/>
    <s v="ACTIVE"/>
    <m/>
    <m/>
    <m/>
    <m/>
  </r>
  <r>
    <n v="891"/>
    <s v="Donor_043"/>
    <d v="2024-05-13T00:00:00"/>
    <s v="East"/>
    <x v="2"/>
    <m/>
    <n v="5486"/>
    <s v="Cheque"/>
    <s v="2024-05"/>
    <d v="2025-06-13T00:00:00"/>
    <s v="ACTIVE"/>
    <m/>
    <m/>
    <m/>
    <m/>
  </r>
  <r>
    <n v="255"/>
    <s v="Donor_070"/>
    <d v="2025-03-27T00:00:00"/>
    <s v="South"/>
    <x v="1"/>
    <m/>
    <n v="1094"/>
    <s v="Credit Card"/>
    <s v="2025-03"/>
    <d v="2025-03-27T00:00:00"/>
    <s v="ACTIVE"/>
    <m/>
    <m/>
    <m/>
    <m/>
  </r>
  <r>
    <n v="1565"/>
    <s v="Donor_096"/>
    <d v="2024-04-04T00:00:00"/>
    <s v="West"/>
    <x v="2"/>
    <m/>
    <n v="351"/>
    <s v="UPI"/>
    <s v="2024-04"/>
    <d v="2025-06-04T00:00:00"/>
    <s v="ACTIVE"/>
    <m/>
    <m/>
    <m/>
    <m/>
  </r>
  <r>
    <n v="1766"/>
    <s v="Donor_070"/>
    <d v="2024-03-16T00:00:00"/>
    <s v="West"/>
    <x v="2"/>
    <m/>
    <n v="297"/>
    <s v="UPI"/>
    <s v="2024-03"/>
    <d v="2025-03-27T00:00:00"/>
    <s v="ACTIVE"/>
    <m/>
    <m/>
    <m/>
    <m/>
  </r>
  <r>
    <n v="1338"/>
    <s v="Donor_091"/>
    <d v="2024-07-21T00:00:00"/>
    <s v="Central"/>
    <x v="1"/>
    <m/>
    <n v="2163"/>
    <s v="Credit Card"/>
    <s v="2024-07"/>
    <d v="2025-05-16T00:00:00"/>
    <s v="ACTIVE"/>
    <m/>
    <m/>
    <m/>
    <m/>
  </r>
  <r>
    <n v="1109"/>
    <s v="Donor_072"/>
    <d v="2024-09-03T00:00:00"/>
    <s v="West"/>
    <x v="1"/>
    <m/>
    <n v="812"/>
    <s v="Bank Transfer"/>
    <s v="2024-09"/>
    <d v="2025-04-13T00:00:00"/>
    <s v="ACTIVE"/>
    <m/>
    <m/>
    <m/>
    <m/>
  </r>
  <r>
    <n v="137"/>
    <s v="Donor_113"/>
    <d v="2024-12-10T00:00:00"/>
    <s v="Central"/>
    <x v="4"/>
    <m/>
    <n v="646"/>
    <s v="Credit Card"/>
    <s v="2024-12"/>
    <d v="2025-04-17T00:00:00"/>
    <s v="ACTIVE"/>
    <m/>
    <m/>
    <m/>
    <m/>
  </r>
  <r>
    <n v="1136"/>
    <s v="Donor_069"/>
    <d v="2025-02-07T00:00:00"/>
    <s v="North"/>
    <x v="5"/>
    <m/>
    <n v="320"/>
    <s v="Cheque"/>
    <s v="2025-02"/>
    <d v="2025-06-13T00:00:00"/>
    <s v="ACTIVE"/>
    <m/>
    <m/>
    <m/>
    <m/>
  </r>
  <r>
    <n v="1219"/>
    <s v="Donor_085"/>
    <d v="2024-08-18T00:00:00"/>
    <s v="North"/>
    <x v="2"/>
    <m/>
    <n v="1087"/>
    <s v="Bank Transfer"/>
    <s v="2024-08"/>
    <d v="2025-06-22T00:00:00"/>
    <s v="ACTIVE"/>
    <m/>
    <m/>
    <m/>
    <m/>
  </r>
  <r>
    <n v="853"/>
    <s v="Donor_100"/>
    <d v="2024-04-01T00:00:00"/>
    <s v="West"/>
    <x v="2"/>
    <m/>
    <n v="683"/>
    <s v="Cash"/>
    <s v="2024-04"/>
    <d v="2025-06-14T00:00:00"/>
    <s v="ACTIVE"/>
    <m/>
    <m/>
    <m/>
    <m/>
  </r>
  <r>
    <n v="1203"/>
    <s v="Donor_003"/>
    <d v="2025-02-03T00:00:00"/>
    <s v="North"/>
    <x v="4"/>
    <m/>
    <n v="4854"/>
    <s v="Bank Transfer"/>
    <s v="2025-02"/>
    <d v="2025-05-08T00:00:00"/>
    <s v="ACTIVE"/>
    <m/>
    <m/>
    <m/>
    <m/>
  </r>
  <r>
    <n v="724"/>
    <s v="Donor_059"/>
    <d v="2025-01-04T00:00:00"/>
    <s v="North"/>
    <x v="4"/>
    <m/>
    <n v="849"/>
    <s v="UPI"/>
    <s v="2025-01"/>
    <d v="2025-06-16T00:00:00"/>
    <s v="ACTIVE"/>
    <m/>
    <m/>
    <m/>
    <m/>
  </r>
  <r>
    <n v="860"/>
    <s v="Donor_027"/>
    <d v="2025-06-06T00:00:00"/>
    <s v="North"/>
    <x v="2"/>
    <m/>
    <n v="447"/>
    <s v="Credit Card"/>
    <s v="2025-06"/>
    <d v="2025-06-06T00:00:00"/>
    <s v="ACTIVE"/>
    <m/>
    <m/>
    <m/>
    <m/>
  </r>
  <r>
    <n v="970"/>
    <s v="Donor_038"/>
    <d v="2025-02-23T00:00:00"/>
    <s v="Central"/>
    <x v="2"/>
    <m/>
    <n v="9409"/>
    <s v="UPI"/>
    <s v="2025-02"/>
    <d v="2025-04-26T00:00:00"/>
    <s v="ACTIVE"/>
    <m/>
    <m/>
    <m/>
    <m/>
  </r>
  <r>
    <n v="497"/>
    <s v="Donor_078"/>
    <d v="2024-09-30T00:00:00"/>
    <s v="Central"/>
    <x v="0"/>
    <m/>
    <n v="2077"/>
    <s v="Credit Card"/>
    <s v="2024-09"/>
    <d v="2025-03-13T00:00:00"/>
    <s v="LAPSED"/>
    <m/>
    <m/>
    <m/>
    <m/>
  </r>
  <r>
    <n v="951"/>
    <s v="Donor_082"/>
    <d v="2025-03-23T00:00:00"/>
    <s v="East"/>
    <x v="2"/>
    <m/>
    <n v="1198"/>
    <s v="UPI"/>
    <s v="2025-03"/>
    <d v="2025-06-02T00:00:00"/>
    <s v="ACTIVE"/>
    <m/>
    <m/>
    <m/>
    <m/>
  </r>
  <r>
    <n v="806"/>
    <s v="Donor_002"/>
    <d v="2024-11-19T00:00:00"/>
    <s v="West"/>
    <x v="4"/>
    <m/>
    <n v="266"/>
    <s v="Bank Transfer"/>
    <s v="2024-11"/>
    <d v="2025-04-12T00:00:00"/>
    <s v="ACTIVE"/>
    <m/>
    <m/>
    <m/>
    <m/>
  </r>
  <r>
    <n v="130"/>
    <s v="Donor_060"/>
    <d v="2025-01-28T00:00:00"/>
    <s v="Central"/>
    <x v="0"/>
    <m/>
    <n v="490"/>
    <s v="Cheque"/>
    <s v="2025-01"/>
    <d v="2025-05-20T00:00:00"/>
    <s v="ACTIVE"/>
    <m/>
    <m/>
    <m/>
    <m/>
  </r>
  <r>
    <n v="338"/>
    <s v="Donor_038"/>
    <d v="2024-07-04T00:00:00"/>
    <s v="North"/>
    <x v="1"/>
    <m/>
    <n v="1645"/>
    <s v="Cheque"/>
    <s v="2024-07"/>
    <d v="2025-04-26T00:00:00"/>
    <s v="ACTIVE"/>
    <m/>
    <m/>
    <m/>
    <m/>
  </r>
  <r>
    <n v="1799"/>
    <s v="Donor_085"/>
    <d v="2024-03-27T00:00:00"/>
    <s v="Central"/>
    <x v="0"/>
    <m/>
    <n v="679"/>
    <s v="Credit Card"/>
    <s v="2024-03"/>
    <d v="2025-06-22T00:00:00"/>
    <s v="ACTIVE"/>
    <m/>
    <m/>
    <m/>
    <m/>
  </r>
  <r>
    <n v="609"/>
    <s v="Donor_097"/>
    <d v="2024-10-23T00:00:00"/>
    <s v="Central"/>
    <x v="2"/>
    <m/>
    <n v="1680"/>
    <s v="Cash"/>
    <s v="2024-10"/>
    <d v="2025-06-04T00:00:00"/>
    <s v="ACTIVE"/>
    <m/>
    <m/>
    <m/>
    <m/>
  </r>
  <r>
    <n v="1149"/>
    <s v="Donor_108"/>
    <d v="2024-03-22T00:00:00"/>
    <s v="West"/>
    <x v="3"/>
    <m/>
    <n v="2057"/>
    <s v="Bank Transfer"/>
    <s v="2024-03"/>
    <d v="2025-05-21T00:00:00"/>
    <s v="ACTIVE"/>
    <m/>
    <m/>
    <m/>
    <m/>
  </r>
  <r>
    <n v="196"/>
    <s v="Donor_054"/>
    <d v="2025-01-17T00:00:00"/>
    <s v="Central"/>
    <x v="1"/>
    <m/>
    <n v="11208"/>
    <s v="Credit Card"/>
    <s v="2025-01"/>
    <d v="2025-06-18T00:00:00"/>
    <s v="ACTIVE"/>
    <m/>
    <m/>
    <m/>
    <m/>
  </r>
  <r>
    <n v="1251"/>
    <s v="Donor_032"/>
    <d v="2024-08-12T00:00:00"/>
    <s v="South"/>
    <x v="1"/>
    <m/>
    <n v="1716"/>
    <s v="Bank Transfer"/>
    <s v="2024-08"/>
    <d v="2025-04-29T00:00:00"/>
    <s v="ACTIVE"/>
    <m/>
    <m/>
    <m/>
    <m/>
  </r>
  <r>
    <n v="1293"/>
    <s v="Donor_052"/>
    <d v="2024-08-01T00:00:00"/>
    <s v="West"/>
    <x v="1"/>
    <m/>
    <n v="328"/>
    <s v="Cash"/>
    <s v="2024-08"/>
    <d v="2025-06-13T00:00:00"/>
    <s v="ACTIVE"/>
    <m/>
    <m/>
    <m/>
    <m/>
  </r>
  <r>
    <n v="1783"/>
    <s v="Donor_079"/>
    <d v="2024-08-06T00:00:00"/>
    <s v="East"/>
    <x v="0"/>
    <m/>
    <n v="1575"/>
    <s v="Credit Card"/>
    <s v="2024-08"/>
    <d v="2025-06-07T00:00:00"/>
    <s v="ACTIVE"/>
    <m/>
    <m/>
    <m/>
    <m/>
  </r>
  <r>
    <n v="910"/>
    <s v="Donor_046"/>
    <d v="2024-05-30T00:00:00"/>
    <s v="East"/>
    <x v="4"/>
    <m/>
    <n v="806"/>
    <s v="UPI"/>
    <s v="2024-05"/>
    <d v="2025-05-10T00:00:00"/>
    <s v="ACTIVE"/>
    <m/>
    <m/>
    <m/>
    <m/>
  </r>
  <r>
    <n v="585"/>
    <s v="Donor_093"/>
    <d v="2024-08-28T00:00:00"/>
    <s v="West"/>
    <x v="0"/>
    <m/>
    <n v="4838"/>
    <s v="Bank Transfer"/>
    <s v="2024-08"/>
    <d v="2025-03-24T00:00:00"/>
    <s v="LAPSED"/>
    <m/>
    <m/>
    <m/>
    <m/>
  </r>
  <r>
    <n v="104"/>
    <s v="Donor_016"/>
    <d v="2024-07-13T00:00:00"/>
    <s v="West"/>
    <x v="3"/>
    <m/>
    <n v="2113"/>
    <s v="Cheque"/>
    <s v="2024-07"/>
    <d v="2025-06-17T00:00:00"/>
    <s v="ACTIVE"/>
    <m/>
    <m/>
    <m/>
    <m/>
  </r>
  <r>
    <n v="1670"/>
    <s v="Donor_034"/>
    <d v="2024-04-30T00:00:00"/>
    <s v="North"/>
    <x v="0"/>
    <m/>
    <n v="634"/>
    <s v="Cash"/>
    <s v="2024-04"/>
    <d v="2025-06-21T00:00:00"/>
    <s v="ACTIVE"/>
    <m/>
    <m/>
    <m/>
    <m/>
  </r>
  <r>
    <n v="1685"/>
    <s v="Donor_090"/>
    <d v="2024-09-11T00:00:00"/>
    <s v="Central"/>
    <x v="1"/>
    <m/>
    <n v="9761"/>
    <s v="Cheque"/>
    <s v="2024-09"/>
    <d v="2025-04-25T00:00:00"/>
    <s v="ACTIVE"/>
    <m/>
    <m/>
    <m/>
    <m/>
  </r>
  <r>
    <n v="720"/>
    <s v="Donor_028"/>
    <d v="2024-10-17T00:00:00"/>
    <s v="North"/>
    <x v="0"/>
    <m/>
    <n v="9249"/>
    <s v="Bank Transfer"/>
    <s v="2024-10"/>
    <d v="2025-03-09T00:00:00"/>
    <s v="LAPSED"/>
    <m/>
    <m/>
    <m/>
    <m/>
  </r>
  <r>
    <n v="885"/>
    <s v="Donor_024"/>
    <d v="2025-06-07T00:00:00"/>
    <s v="South"/>
    <x v="5"/>
    <m/>
    <n v="1146"/>
    <s v="Credit Card"/>
    <s v="2025-06"/>
    <d v="2025-06-07T00:00:00"/>
    <s v="ACTIVE"/>
    <m/>
    <m/>
    <m/>
    <m/>
  </r>
  <r>
    <n v="777"/>
    <s v="Donor_061"/>
    <d v="2025-05-21T00:00:00"/>
    <s v="East"/>
    <x v="0"/>
    <m/>
    <n v="791"/>
    <s v="Cheque"/>
    <s v="2025-05"/>
    <d v="2025-05-21T00:00:00"/>
    <s v="ACTIVE"/>
    <m/>
    <m/>
    <m/>
    <m/>
  </r>
  <r>
    <n v="850"/>
    <s v="Donor_093"/>
    <d v="2025-01-05T00:00:00"/>
    <s v="Central"/>
    <x v="3"/>
    <m/>
    <n v="1426"/>
    <s v="Cash"/>
    <s v="2025-01"/>
    <d v="2025-03-24T00:00:00"/>
    <s v="LAPSED"/>
    <m/>
    <m/>
    <m/>
    <m/>
  </r>
  <r>
    <n v="895"/>
    <s v="Donor_077"/>
    <d v="2024-06-19T00:00:00"/>
    <s v="East"/>
    <x v="2"/>
    <m/>
    <n v="1374"/>
    <s v="Cheque"/>
    <s v="2024-06"/>
    <d v="2025-06-21T00:00:00"/>
    <s v="ACTIVE"/>
    <m/>
    <m/>
    <m/>
    <m/>
  </r>
  <r>
    <n v="228"/>
    <s v="Donor_004"/>
    <d v="2024-11-30T00:00:00"/>
    <s v="East"/>
    <x v="1"/>
    <m/>
    <n v="267"/>
    <s v="Cheque"/>
    <s v="2024-11"/>
    <d v="2025-05-26T00:00:00"/>
    <s v="ACTIVE"/>
    <m/>
    <m/>
    <m/>
    <m/>
  </r>
  <r>
    <n v="1698"/>
    <s v="Donor_014"/>
    <d v="2024-01-16T00:00:00"/>
    <s v="West"/>
    <x v="0"/>
    <m/>
    <n v="11928"/>
    <s v="Cash"/>
    <s v="2024-01"/>
    <d v="2025-06-03T00:00:00"/>
    <s v="ACTIVE"/>
    <m/>
    <m/>
    <m/>
    <m/>
  </r>
  <r>
    <n v="1326"/>
    <s v="Donor_063"/>
    <d v="2024-07-13T00:00:00"/>
    <s v="Central"/>
    <x v="2"/>
    <m/>
    <n v="292"/>
    <s v="Credit Card"/>
    <s v="2024-07"/>
    <d v="2025-04-20T00:00:00"/>
    <s v="ACTIVE"/>
    <m/>
    <m/>
    <m/>
    <m/>
  </r>
  <r>
    <n v="1300"/>
    <s v="Donor_028"/>
    <d v="2024-06-03T00:00:00"/>
    <s v="East"/>
    <x v="3"/>
    <m/>
    <n v="5246"/>
    <s v="Bank Transfer"/>
    <s v="2024-06"/>
    <d v="2025-03-09T00:00:00"/>
    <s v="LAPSED"/>
    <m/>
    <m/>
    <m/>
    <m/>
  </r>
  <r>
    <n v="127"/>
    <s v="Donor_060"/>
    <d v="2025-05-20T00:00:00"/>
    <s v="Central"/>
    <x v="0"/>
    <m/>
    <n v="322"/>
    <s v="Cheque"/>
    <s v="2025-05"/>
    <d v="2025-05-20T00:00:00"/>
    <s v="ACTIVE"/>
    <m/>
    <m/>
    <m/>
    <m/>
  </r>
  <r>
    <n v="406"/>
    <s v="Donor_085"/>
    <d v="2024-05-01T00:00:00"/>
    <s v="South"/>
    <x v="1"/>
    <m/>
    <n v="5441"/>
    <s v="Cash"/>
    <s v="2024-05"/>
    <d v="2025-06-22T00:00:00"/>
    <s v="ACTIVE"/>
    <m/>
    <m/>
    <m/>
    <m/>
  </r>
  <r>
    <n v="776"/>
    <s v="Donor_097"/>
    <d v="2025-02-01T00:00:00"/>
    <s v="Central"/>
    <x v="5"/>
    <m/>
    <n v="302"/>
    <s v="Credit Card"/>
    <s v="2025-02"/>
    <d v="2025-06-04T00:00:00"/>
    <s v="ACTIVE"/>
    <m/>
    <m/>
    <m/>
    <m/>
  </r>
  <r>
    <n v="822"/>
    <s v="Donor_081"/>
    <d v="2025-01-05T00:00:00"/>
    <s v="North"/>
    <x v="2"/>
    <m/>
    <n v="1357"/>
    <s v="Cash"/>
    <s v="2025-01"/>
    <d v="2025-06-07T00:00:00"/>
    <s v="ACTIVE"/>
    <m/>
    <m/>
    <m/>
    <m/>
  </r>
  <r>
    <n v="712"/>
    <s v="Donor_020"/>
    <d v="2024-04-11T00:00:00"/>
    <s v="East"/>
    <x v="5"/>
    <m/>
    <n v="1274"/>
    <s v="Credit Card"/>
    <s v="2024-04"/>
    <d v="2025-05-31T00:00:00"/>
    <s v="ACTIVE"/>
    <m/>
    <m/>
    <m/>
    <m/>
  </r>
  <r>
    <n v="1705"/>
    <s v="Donor_088"/>
    <d v="2025-05-18T00:00:00"/>
    <s v="Central"/>
    <x v="2"/>
    <m/>
    <n v="980"/>
    <s v="Cash"/>
    <s v="2025-05"/>
    <d v="2025-05-21T00:00:00"/>
    <s v="ACTIVE"/>
    <m/>
    <m/>
    <m/>
    <m/>
  </r>
  <r>
    <n v="1061"/>
    <s v="Donor_046"/>
    <d v="2024-03-22T00:00:00"/>
    <s v="Central"/>
    <x v="0"/>
    <m/>
    <n v="1166"/>
    <s v="Cash"/>
    <s v="2024-03"/>
    <d v="2025-05-10T00:00:00"/>
    <s v="ACTIVE"/>
    <m/>
    <m/>
    <m/>
    <m/>
  </r>
  <r>
    <n v="1164"/>
    <s v="Donor_009"/>
    <d v="2024-10-27T00:00:00"/>
    <s v="North"/>
    <x v="4"/>
    <m/>
    <n v="295"/>
    <s v="Cheque"/>
    <s v="2024-10"/>
    <d v="2025-05-15T00:00:00"/>
    <s v="ACTIVE"/>
    <m/>
    <m/>
    <m/>
    <m/>
  </r>
  <r>
    <n v="304"/>
    <s v="Donor_044"/>
    <d v="2024-05-13T00:00:00"/>
    <s v="South"/>
    <x v="5"/>
    <m/>
    <n v="404"/>
    <s v="Cheque"/>
    <s v="2024-05"/>
    <d v="2025-05-05T00:00:00"/>
    <s v="ACTIVE"/>
    <m/>
    <m/>
    <m/>
    <m/>
  </r>
  <r>
    <n v="268"/>
    <s v="Donor_009"/>
    <d v="2024-05-26T00:00:00"/>
    <s v="Central"/>
    <x v="0"/>
    <m/>
    <n v="522"/>
    <s v="Credit Card"/>
    <s v="2024-05"/>
    <d v="2025-05-15T00:00:00"/>
    <s v="ACTIVE"/>
    <m/>
    <m/>
    <m/>
    <m/>
  </r>
  <r>
    <n v="546"/>
    <s v="Donor_111"/>
    <d v="2025-03-01T00:00:00"/>
    <s v="West"/>
    <x v="2"/>
    <m/>
    <n v="787"/>
    <s v="Cash"/>
    <s v="2025-03"/>
    <d v="2025-04-26T00:00:00"/>
    <s v="ACTIVE"/>
    <m/>
    <m/>
    <m/>
    <m/>
  </r>
  <r>
    <n v="213"/>
    <s v="Donor_095"/>
    <d v="2024-07-13T00:00:00"/>
    <s v="North"/>
    <x v="2"/>
    <m/>
    <n v="350"/>
    <s v="Cheque"/>
    <s v="2024-07"/>
    <d v="2025-05-17T00:00:00"/>
    <s v="ACTIVE"/>
    <m/>
    <m/>
    <m/>
    <m/>
  </r>
  <r>
    <n v="897"/>
    <s v="Donor_001"/>
    <d v="2024-07-07T00:00:00"/>
    <s v="South"/>
    <x v="0"/>
    <m/>
    <n v="2074"/>
    <s v="UPI"/>
    <s v="2024-07"/>
    <d v="2025-05-18T00:00:00"/>
    <s v="ACTIVE"/>
    <m/>
    <m/>
    <m/>
    <m/>
  </r>
  <r>
    <n v="1223"/>
    <s v="Donor_059"/>
    <d v="2024-08-07T00:00:00"/>
    <s v="Central"/>
    <x v="5"/>
    <m/>
    <n v="9759"/>
    <s v="Bank Transfer"/>
    <s v="2024-08"/>
    <d v="2025-06-16T00:00:00"/>
    <s v="ACTIVE"/>
    <m/>
    <m/>
    <m/>
    <m/>
  </r>
  <r>
    <n v="917"/>
    <s v="Donor_068"/>
    <d v="2025-03-07T00:00:00"/>
    <s v="Central"/>
    <x v="2"/>
    <m/>
    <n v="2162"/>
    <s v="Credit Card"/>
    <s v="2025-03"/>
    <d v="2025-05-16T00:00:00"/>
    <s v="ACTIVE"/>
    <m/>
    <m/>
    <m/>
    <m/>
  </r>
  <r>
    <n v="676"/>
    <s v="Donor_120"/>
    <d v="2024-12-06T00:00:00"/>
    <s v="South"/>
    <x v="1"/>
    <m/>
    <n v="0"/>
    <s v="Cheque"/>
    <s v="2024-12"/>
    <d v="2025-06-19T00:00:00"/>
    <s v="ACTIVE"/>
    <m/>
    <m/>
    <m/>
    <m/>
  </r>
  <r>
    <n v="1290"/>
    <s v="Donor_117"/>
    <d v="2025-04-05T00:00:00"/>
    <s v="South"/>
    <x v="2"/>
    <m/>
    <n v="314"/>
    <s v="Bank Transfer"/>
    <s v="2025-04"/>
    <d v="2025-04-05T00:00:00"/>
    <s v="ACTIVE"/>
    <m/>
    <m/>
    <m/>
    <m/>
  </r>
  <r>
    <n v="815"/>
    <s v="Donor_032"/>
    <d v="2024-07-21T00:00:00"/>
    <s v="West"/>
    <x v="4"/>
    <m/>
    <n v="1842"/>
    <s v="Cheque"/>
    <s v="2024-07"/>
    <d v="2025-04-29T00:00:00"/>
    <s v="ACTIVE"/>
    <m/>
    <m/>
    <m/>
    <m/>
  </r>
  <r>
    <n v="1266"/>
    <s v="Donor_013"/>
    <d v="2024-12-19T00:00:00"/>
    <s v="South"/>
    <x v="0"/>
    <m/>
    <n v="5148"/>
    <s v="Cash"/>
    <s v="2024-12"/>
    <d v="2025-04-28T00:00:00"/>
    <s v="ACTIVE"/>
    <m/>
    <m/>
    <m/>
    <m/>
  </r>
  <r>
    <n v="343"/>
    <s v="Donor_074"/>
    <d v="2024-06-21T00:00:00"/>
    <s v="South"/>
    <x v="1"/>
    <m/>
    <n v="852"/>
    <s v="Cash"/>
    <s v="2024-06"/>
    <d v="2025-06-18T00:00:00"/>
    <s v="ACTIVE"/>
    <m/>
    <m/>
    <m/>
    <m/>
  </r>
  <r>
    <n v="550"/>
    <s v="Donor_079"/>
    <d v="2024-11-15T00:00:00"/>
    <s v="North"/>
    <x v="5"/>
    <m/>
    <n v="11114"/>
    <s v="Cash"/>
    <s v="2024-11"/>
    <d v="2025-06-07T00:00:00"/>
    <s v="ACTIVE"/>
    <m/>
    <m/>
    <m/>
    <m/>
  </r>
  <r>
    <n v="1411"/>
    <s v="Donor_110"/>
    <d v="2024-08-12T00:00:00"/>
    <s v="Central"/>
    <x v="2"/>
    <m/>
    <n v="10396"/>
    <s v="Credit Card"/>
    <s v="2024-08"/>
    <d v="2025-06-04T00:00:00"/>
    <s v="ACTIVE"/>
    <m/>
    <m/>
    <m/>
    <m/>
  </r>
  <r>
    <n v="1215"/>
    <s v="Donor_101"/>
    <d v="2024-01-30T00:00:00"/>
    <s v="North"/>
    <x v="5"/>
    <m/>
    <n v="578"/>
    <s v="UPI"/>
    <s v="2024-01"/>
    <d v="2025-05-11T00:00:00"/>
    <s v="ACTIVE"/>
    <m/>
    <m/>
    <m/>
    <m/>
  </r>
  <r>
    <n v="967"/>
    <s v="Donor_066"/>
    <d v="2025-03-22T00:00:00"/>
    <s v="West"/>
    <x v="4"/>
    <m/>
    <n v="2173"/>
    <s v="Bank Transfer"/>
    <s v="2025-03"/>
    <d v="2025-03-22T00:00:00"/>
    <s v="LAPSED"/>
    <m/>
    <m/>
    <m/>
    <m/>
  </r>
  <r>
    <n v="1231"/>
    <s v="Donor_008"/>
    <d v="2024-03-09T00:00:00"/>
    <s v="West"/>
    <x v="4"/>
    <m/>
    <n v="1489"/>
    <s v="Credit Card"/>
    <s v="2024-03"/>
    <d v="2025-06-07T00:00:00"/>
    <s v="ACTIVE"/>
    <m/>
    <m/>
    <m/>
    <m/>
  </r>
  <r>
    <n v="296"/>
    <s v="Donor_106"/>
    <d v="2025-03-19T00:00:00"/>
    <s v="West"/>
    <x v="1"/>
    <m/>
    <n v="477"/>
    <s v="Cash"/>
    <s v="2025-03"/>
    <d v="2025-06-11T00:00:00"/>
    <s v="ACTIVE"/>
    <m/>
    <m/>
    <m/>
    <m/>
  </r>
  <r>
    <n v="696"/>
    <s v="Donor_044"/>
    <d v="2024-09-28T00:00:00"/>
    <s v="NOT KNOWN"/>
    <x v="4"/>
    <m/>
    <n v="1247"/>
    <s v="Cheque"/>
    <s v="2024-09"/>
    <d v="2025-05-05T00:00:00"/>
    <s v="ACTIVE"/>
    <m/>
    <m/>
    <m/>
    <m/>
  </r>
  <r>
    <n v="1453"/>
    <s v="Donor_056"/>
    <d v="2024-07-20T00:00:00"/>
    <s v="North"/>
    <x v="1"/>
    <m/>
    <n v="9161"/>
    <s v="Cash"/>
    <s v="2024-07"/>
    <d v="2025-05-08T00:00:00"/>
    <s v="ACTIVE"/>
    <m/>
    <m/>
    <m/>
    <m/>
  </r>
  <r>
    <n v="74"/>
    <s v="Donor_057"/>
    <d v="2024-10-22T00:00:00"/>
    <s v="North"/>
    <x v="1"/>
    <m/>
    <n v="2700"/>
    <s v="Bank Transfer"/>
    <s v="2024-10"/>
    <d v="2025-03-30T00:00:00"/>
    <s v="ACTIVE"/>
    <m/>
    <m/>
    <m/>
    <m/>
  </r>
  <r>
    <n v="606"/>
    <s v="Donor_021"/>
    <d v="2024-06-06T00:00:00"/>
    <s v="South"/>
    <x v="3"/>
    <m/>
    <n v="599"/>
    <s v="Cheque"/>
    <s v="2024-06"/>
    <d v="2025-04-05T00:00:00"/>
    <s v="ACTIVE"/>
    <m/>
    <m/>
    <m/>
    <m/>
  </r>
  <r>
    <n v="105"/>
    <s v="Donor_009"/>
    <d v="2024-07-29T00:00:00"/>
    <s v="NOT KNOWN"/>
    <x v="4"/>
    <m/>
    <n v="2250"/>
    <s v="Credit Card"/>
    <s v="2024-07"/>
    <d v="2025-05-15T00:00:00"/>
    <s v="ACTIVE"/>
    <m/>
    <m/>
    <m/>
    <m/>
  </r>
  <r>
    <n v="646"/>
    <s v="Donor_117"/>
    <d v="2024-03-27T00:00:00"/>
    <s v="North"/>
    <x v="5"/>
    <m/>
    <n v="935"/>
    <s v="UPI"/>
    <s v="2024-03"/>
    <d v="2025-04-05T00:00:00"/>
    <s v="ACTIVE"/>
    <m/>
    <m/>
    <m/>
    <m/>
  </r>
  <r>
    <n v="1405"/>
    <s v="Donor_086"/>
    <d v="2024-09-01T00:00:00"/>
    <s v="East"/>
    <x v="1"/>
    <m/>
    <n v="734"/>
    <s v="Credit Card"/>
    <s v="2024-09"/>
    <d v="2025-05-29T00:00:00"/>
    <s v="ACTIVE"/>
    <m/>
    <m/>
    <m/>
    <m/>
  </r>
  <r>
    <n v="1771"/>
    <s v="Donor_009"/>
    <d v="2024-04-07T00:00:00"/>
    <s v="North"/>
    <x v="2"/>
    <m/>
    <n v="514"/>
    <s v="Cash"/>
    <s v="2024-04"/>
    <d v="2025-05-15T00:00:00"/>
    <s v="ACTIVE"/>
    <m/>
    <m/>
    <m/>
    <m/>
  </r>
  <r>
    <n v="1041"/>
    <s v="Donor_100"/>
    <d v="2025-01-10T00:00:00"/>
    <s v="Central"/>
    <x v="5"/>
    <m/>
    <n v="2021"/>
    <s v="Bank Transfer"/>
    <s v="2025-01"/>
    <d v="2025-06-14T00:00:00"/>
    <s v="ACTIVE"/>
    <m/>
    <m/>
    <m/>
    <m/>
  </r>
  <r>
    <n v="440"/>
    <s v="Donor_049"/>
    <d v="2024-03-21T00:00:00"/>
    <s v="Central"/>
    <x v="5"/>
    <m/>
    <n v="316"/>
    <s v="Credit Card"/>
    <s v="2024-03"/>
    <d v="2025-06-19T00:00:00"/>
    <s v="ACTIVE"/>
    <m/>
    <m/>
    <m/>
    <m/>
  </r>
  <r>
    <n v="1020"/>
    <s v="Donor_046"/>
    <d v="2024-06-11T00:00:00"/>
    <s v="Central"/>
    <x v="0"/>
    <m/>
    <n v="1879"/>
    <s v="Cheque"/>
    <s v="2024-06"/>
    <d v="2025-05-10T00:00:00"/>
    <s v="ACTIVE"/>
    <m/>
    <m/>
    <m/>
    <m/>
  </r>
  <r>
    <n v="92"/>
    <s v="Donor_057"/>
    <d v="2024-03-16T00:00:00"/>
    <s v="East"/>
    <x v="0"/>
    <m/>
    <n v="2639"/>
    <s v="Cash"/>
    <s v="2024-03"/>
    <d v="2025-03-30T00:00:00"/>
    <s v="ACTIVE"/>
    <m/>
    <m/>
    <m/>
    <m/>
  </r>
  <r>
    <n v="1113"/>
    <s v="Donor_118"/>
    <d v="2025-01-12T00:00:00"/>
    <s v="East"/>
    <x v="0"/>
    <m/>
    <n v="521"/>
    <s v="UPI"/>
    <s v="2025-01"/>
    <d v="2025-04-19T00:00:00"/>
    <s v="ACTIVE"/>
    <m/>
    <m/>
    <m/>
    <m/>
  </r>
  <r>
    <n v="1586"/>
    <s v="Donor_079"/>
    <d v="2025-05-21T00:00:00"/>
    <s v="Central"/>
    <x v="1"/>
    <m/>
    <n v="763"/>
    <s v="Cheque"/>
    <s v="2025-05"/>
    <d v="2025-06-07T00:00:00"/>
    <s v="ACTIVE"/>
    <m/>
    <m/>
    <m/>
    <m/>
  </r>
  <r>
    <n v="909"/>
    <s v="Donor_014"/>
    <d v="2024-02-15T00:00:00"/>
    <s v="Central"/>
    <x v="5"/>
    <m/>
    <n v="1005"/>
    <s v="Cash"/>
    <s v="2024-02"/>
    <d v="2025-06-03T00:00:00"/>
    <s v="ACTIVE"/>
    <m/>
    <m/>
    <m/>
    <m/>
  </r>
  <r>
    <n v="1475"/>
    <s v="Donor_076"/>
    <d v="2024-04-06T00:00:00"/>
    <s v="North"/>
    <x v="3"/>
    <m/>
    <n v="245"/>
    <s v="Bank Transfer"/>
    <s v="2024-04"/>
    <d v="2025-06-08T00:00:00"/>
    <s v="ACTIVE"/>
    <m/>
    <m/>
    <m/>
    <m/>
  </r>
  <r>
    <n v="103"/>
    <s v="Donor_057"/>
    <d v="2025-03-30T00:00:00"/>
    <s v="South"/>
    <x v="5"/>
    <m/>
    <n v="1192"/>
    <s v="Bank Transfer"/>
    <s v="2025-03"/>
    <d v="2025-03-30T00:00:00"/>
    <s v="ACTIVE"/>
    <m/>
    <m/>
    <m/>
    <m/>
  </r>
  <r>
    <n v="239"/>
    <s v="Donor_092"/>
    <d v="2024-06-06T00:00:00"/>
    <s v="West"/>
    <x v="1"/>
    <m/>
    <n v="980"/>
    <s v="Cheque"/>
    <s v="2024-06"/>
    <d v="2025-05-07T00:00:00"/>
    <s v="ACTIVE"/>
    <m/>
    <m/>
    <m/>
    <m/>
  </r>
  <r>
    <n v="1736"/>
    <s v="Donor_088"/>
    <d v="2024-12-20T00:00:00"/>
    <s v="East"/>
    <x v="5"/>
    <m/>
    <n v="340"/>
    <s v="UPI"/>
    <s v="2024-12"/>
    <d v="2025-05-21T00:00:00"/>
    <s v="ACTIVE"/>
    <m/>
    <m/>
    <m/>
    <m/>
  </r>
  <r>
    <n v="943"/>
    <s v="Donor_011"/>
    <d v="2024-06-29T00:00:00"/>
    <s v="South"/>
    <x v="3"/>
    <m/>
    <n v="2405"/>
    <s v="Bank Transfer"/>
    <s v="2024-06"/>
    <d v="2025-06-04T00:00:00"/>
    <s v="ACTIVE"/>
    <m/>
    <m/>
    <m/>
    <m/>
  </r>
  <r>
    <n v="1271"/>
    <s v="Donor_073"/>
    <d v="2025-06-23T00:00:00"/>
    <s v="Central"/>
    <x v="2"/>
    <m/>
    <n v="10087"/>
    <s v="Cheque"/>
    <s v="2025-06"/>
    <d v="2025-06-23T00:00:00"/>
    <s v="ACTIVE"/>
    <m/>
    <m/>
    <m/>
    <m/>
  </r>
  <r>
    <n v="939"/>
    <s v="Donor_112"/>
    <d v="2025-02-01T00:00:00"/>
    <s v="West"/>
    <x v="2"/>
    <m/>
    <n v="940"/>
    <s v="Cash"/>
    <s v="2025-02"/>
    <d v="2025-05-26T00:00:00"/>
    <s v="ACTIVE"/>
    <m/>
    <m/>
    <m/>
    <m/>
  </r>
  <r>
    <n v="1534"/>
    <s v="Donor_076"/>
    <d v="2024-01-31T00:00:00"/>
    <s v="North"/>
    <x v="5"/>
    <m/>
    <n v="0"/>
    <s v="Credit Card"/>
    <s v="2024-01"/>
    <d v="2025-06-08T00:00:00"/>
    <s v="ACTIVE"/>
    <m/>
    <m/>
    <m/>
    <m/>
  </r>
  <r>
    <n v="1182"/>
    <s v="Donor_073"/>
    <d v="2024-11-03T00:00:00"/>
    <s v="North"/>
    <x v="0"/>
    <m/>
    <n v="858"/>
    <s v="UPI"/>
    <s v="2024-11"/>
    <d v="2025-06-23T00:00:00"/>
    <s v="ACTIVE"/>
    <m/>
    <m/>
    <m/>
    <m/>
  </r>
  <r>
    <n v="1504"/>
    <s v="Donor_114"/>
    <d v="2024-12-03T00:00:00"/>
    <s v="West"/>
    <x v="4"/>
    <m/>
    <n v="10642"/>
    <s v="Credit Card"/>
    <s v="2024-12"/>
    <d v="2025-04-04T00:00:00"/>
    <s v="ACTIVE"/>
    <m/>
    <m/>
    <m/>
    <m/>
  </r>
  <r>
    <n v="6"/>
    <s v="Donor_036"/>
    <d v="2025-01-24T00:00:00"/>
    <s v="West"/>
    <x v="2"/>
    <m/>
    <n v="4325"/>
    <s v="Bank Transfer"/>
    <s v="2025-01"/>
    <d v="2025-06-07T00:00:00"/>
    <s v="ACTIVE"/>
    <m/>
    <m/>
    <m/>
    <m/>
  </r>
  <r>
    <n v="1641"/>
    <s v="Donor_079"/>
    <d v="2025-01-05T00:00:00"/>
    <s v="South"/>
    <x v="1"/>
    <m/>
    <n v="2046"/>
    <s v="Bank Transfer"/>
    <s v="2025-01"/>
    <d v="2025-06-07T00:00:00"/>
    <s v="ACTIVE"/>
    <m/>
    <m/>
    <m/>
    <m/>
  </r>
  <r>
    <n v="966"/>
    <s v="Donor_035"/>
    <d v="2024-05-09T00:00:00"/>
    <s v="East"/>
    <x v="1"/>
    <m/>
    <n v="2363"/>
    <s v="Bank Transfer"/>
    <s v="2024-05"/>
    <d v="2025-06-15T00:00:00"/>
    <s v="ACTIVE"/>
    <m/>
    <m/>
    <m/>
    <m/>
  </r>
  <r>
    <n v="19"/>
    <s v="Donor_032"/>
    <d v="2025-04-29T00:00:00"/>
    <s v="West"/>
    <x v="1"/>
    <m/>
    <n v="1675"/>
    <s v="Cash"/>
    <s v="2025-04"/>
    <d v="2025-04-29T00:00:00"/>
    <s v="ACTIVE"/>
    <m/>
    <m/>
    <m/>
    <m/>
  </r>
  <r>
    <n v="1431"/>
    <s v="Donor_021"/>
    <d v="2024-03-08T00:00:00"/>
    <s v="North"/>
    <x v="5"/>
    <m/>
    <n v="334"/>
    <s v="Credit Card"/>
    <s v="2024-03"/>
    <d v="2025-04-05T00:00:00"/>
    <s v="ACTIVE"/>
    <m/>
    <m/>
    <m/>
    <m/>
  </r>
  <r>
    <n v="122"/>
    <s v="Donor_010"/>
    <d v="2024-12-28T00:00:00"/>
    <s v="West"/>
    <x v="2"/>
    <m/>
    <n v="487"/>
    <s v="Cash"/>
    <s v="2024-12"/>
    <d v="2025-06-01T00:00:00"/>
    <s v="ACTIVE"/>
    <m/>
    <m/>
    <m/>
    <m/>
  </r>
  <r>
    <n v="662"/>
    <s v="Donor_047"/>
    <d v="2024-05-28T00:00:00"/>
    <s v="West"/>
    <x v="2"/>
    <m/>
    <n v="5643"/>
    <s v="UPI"/>
    <s v="2024-05"/>
    <d v="2025-05-04T00:00:00"/>
    <s v="ACTIVE"/>
    <m/>
    <m/>
    <m/>
    <m/>
  </r>
  <r>
    <n v="1526"/>
    <s v="Donor_061"/>
    <d v="2024-03-27T00:00:00"/>
    <s v="West"/>
    <x v="5"/>
    <m/>
    <n v="838"/>
    <s v="Bank Transfer"/>
    <s v="2024-03"/>
    <d v="2025-05-21T00:00:00"/>
    <s v="ACTIVE"/>
    <m/>
    <m/>
    <m/>
    <m/>
  </r>
  <r>
    <n v="275"/>
    <s v="Donor_011"/>
    <d v="2025-02-15T00:00:00"/>
    <s v="Central"/>
    <x v="0"/>
    <m/>
    <n v="1366"/>
    <s v="Bank Transfer"/>
    <s v="2025-02"/>
    <d v="2025-06-04T00:00:00"/>
    <s v="ACTIVE"/>
    <m/>
    <m/>
    <m/>
    <m/>
  </r>
  <r>
    <n v="434"/>
    <s v="Donor_024"/>
    <d v="2024-09-22T00:00:00"/>
    <s v="Central"/>
    <x v="5"/>
    <m/>
    <n v="1816"/>
    <s v="Cheque"/>
    <s v="2024-09"/>
    <d v="2025-06-07T00:00:00"/>
    <s v="ACTIVE"/>
    <m/>
    <m/>
    <m/>
    <m/>
  </r>
  <r>
    <n v="812"/>
    <s v="Donor_097"/>
    <d v="2024-10-22T00:00:00"/>
    <s v="North"/>
    <x v="4"/>
    <m/>
    <n v="4685"/>
    <s v="Credit Card"/>
    <s v="2024-10"/>
    <d v="2025-06-04T00:00:00"/>
    <s v="ACTIVE"/>
    <m/>
    <m/>
    <m/>
    <m/>
  </r>
  <r>
    <n v="1301"/>
    <s v="Donor_039"/>
    <d v="2024-10-23T00:00:00"/>
    <s v="North"/>
    <x v="0"/>
    <m/>
    <n v="1740"/>
    <s v="Credit Card"/>
    <s v="2024-10"/>
    <d v="2025-04-25T00:00:00"/>
    <s v="ACTIVE"/>
    <m/>
    <m/>
    <m/>
    <m/>
  </r>
  <r>
    <n v="1336"/>
    <s v="Donor_055"/>
    <d v="2025-01-20T00:00:00"/>
    <s v="North"/>
    <x v="5"/>
    <m/>
    <n v="2204"/>
    <s v="Bank Transfer"/>
    <s v="2025-01"/>
    <d v="2025-05-11T00:00:00"/>
    <s v="ACTIVE"/>
    <m/>
    <m/>
    <m/>
    <m/>
  </r>
  <r>
    <n v="1687"/>
    <s v="Donor_047"/>
    <d v="2025-05-04T00:00:00"/>
    <s v="South"/>
    <x v="2"/>
    <m/>
    <n v="867"/>
    <s v="UPI"/>
    <s v="2025-05"/>
    <d v="2025-05-04T00:00:00"/>
    <s v="ACTIVE"/>
    <m/>
    <m/>
    <m/>
    <m/>
  </r>
  <r>
    <n v="1706"/>
    <s v="Donor_063"/>
    <d v="2024-06-19T00:00:00"/>
    <s v="South"/>
    <x v="3"/>
    <m/>
    <n v="2294"/>
    <s v="Cheque"/>
    <s v="2024-06"/>
    <d v="2025-04-20T00:00:00"/>
    <s v="ACTIVE"/>
    <m/>
    <m/>
    <m/>
    <m/>
  </r>
  <r>
    <n v="182"/>
    <s v="Donor_059"/>
    <d v="2024-06-26T00:00:00"/>
    <s v="Central"/>
    <x v="5"/>
    <m/>
    <n v="9417"/>
    <s v="Bank Transfer"/>
    <s v="2024-06"/>
    <d v="2025-06-16T00:00:00"/>
    <s v="ACTIVE"/>
    <m/>
    <m/>
    <m/>
    <m/>
  </r>
  <r>
    <n v="185"/>
    <s v="Donor_092"/>
    <d v="2024-10-21T00:00:00"/>
    <s v="North"/>
    <x v="5"/>
    <m/>
    <n v="319"/>
    <s v="Cash"/>
    <s v="2024-10"/>
    <d v="2025-05-07T00:00:00"/>
    <s v="ACTIVE"/>
    <m/>
    <m/>
    <m/>
    <m/>
  </r>
  <r>
    <n v="407"/>
    <s v="Donor_003"/>
    <d v="2025-02-24T00:00:00"/>
    <s v="South"/>
    <x v="3"/>
    <m/>
    <n v="1544"/>
    <s v="Credit Card"/>
    <s v="2025-02"/>
    <d v="2025-05-08T00:00:00"/>
    <s v="ACTIVE"/>
    <m/>
    <m/>
    <m/>
    <m/>
  </r>
  <r>
    <n v="866"/>
    <s v="Donor_076"/>
    <d v="2024-11-09T00:00:00"/>
    <s v="West"/>
    <x v="3"/>
    <m/>
    <n v="9396"/>
    <s v="Cheque"/>
    <s v="2024-11"/>
    <d v="2025-06-08T00:00:00"/>
    <s v="ACTIVE"/>
    <m/>
    <m/>
    <m/>
    <m/>
  </r>
  <r>
    <n v="521"/>
    <s v="Donor_072"/>
    <d v="2024-11-19T00:00:00"/>
    <s v="Central"/>
    <x v="3"/>
    <m/>
    <n v="2062"/>
    <s v="Bank Transfer"/>
    <s v="2024-11"/>
    <d v="2025-04-13T00:00:00"/>
    <s v="ACTIVE"/>
    <m/>
    <m/>
    <m/>
    <m/>
  </r>
  <r>
    <n v="1004"/>
    <s v="Donor_086"/>
    <d v="2025-05-29T00:00:00"/>
    <s v="Central"/>
    <x v="4"/>
    <m/>
    <n v="1085"/>
    <s v="Credit Card"/>
    <s v="2025-05"/>
    <d v="2025-05-29T00:00:00"/>
    <s v="ACTIVE"/>
    <m/>
    <m/>
    <m/>
    <m/>
  </r>
  <r>
    <n v="381"/>
    <s v="Donor_067"/>
    <d v="2024-07-07T00:00:00"/>
    <s v="North"/>
    <x v="0"/>
    <m/>
    <n v="1450"/>
    <s v="Cheque"/>
    <s v="2024-07"/>
    <d v="2025-06-15T00:00:00"/>
    <s v="ACTIVE"/>
    <m/>
    <m/>
    <m/>
    <m/>
  </r>
  <r>
    <n v="1435"/>
    <s v="Donor_072"/>
    <d v="2024-05-31T00:00:00"/>
    <s v="South"/>
    <x v="4"/>
    <m/>
    <n v="1971"/>
    <s v="Credit Card"/>
    <s v="2024-05"/>
    <d v="2025-04-13T00:00:00"/>
    <s v="ACTIVE"/>
    <m/>
    <m/>
    <m/>
    <m/>
  </r>
  <r>
    <n v="1394"/>
    <s v="Donor_067"/>
    <d v="2024-12-09T00:00:00"/>
    <s v="West"/>
    <x v="5"/>
    <m/>
    <n v="2598"/>
    <s v="Credit Card"/>
    <s v="2024-12"/>
    <d v="2025-06-15T00:00:00"/>
    <s v="ACTIVE"/>
    <m/>
    <m/>
    <m/>
    <m/>
  </r>
  <r>
    <n v="1425"/>
    <s v="Donor_071"/>
    <d v="2025-06-08T00:00:00"/>
    <s v="West"/>
    <x v="3"/>
    <m/>
    <n v="248"/>
    <s v="Bank Transfer"/>
    <s v="2025-06"/>
    <d v="2025-06-08T00:00:00"/>
    <s v="ACTIVE"/>
    <m/>
    <m/>
    <m/>
    <m/>
  </r>
  <r>
    <n v="428"/>
    <s v="Donor_032"/>
    <d v="2024-09-26T00:00:00"/>
    <s v="East"/>
    <x v="3"/>
    <m/>
    <n v="802"/>
    <s v="Bank Transfer"/>
    <s v="2024-09"/>
    <d v="2025-04-29T00:00:00"/>
    <s v="ACTIVE"/>
    <m/>
    <m/>
    <m/>
    <m/>
  </r>
  <r>
    <n v="79"/>
    <s v="Donor_085"/>
    <d v="2024-01-02T00:00:00"/>
    <s v="Central"/>
    <x v="1"/>
    <m/>
    <n v="616"/>
    <s v="Cheque"/>
    <s v="2024-01"/>
    <d v="2025-06-22T00:00:00"/>
    <s v="ACTIVE"/>
    <m/>
    <m/>
    <m/>
    <m/>
  </r>
  <r>
    <n v="1010"/>
    <s v="Donor_048"/>
    <d v="2025-06-08T00:00:00"/>
    <s v="South"/>
    <x v="0"/>
    <m/>
    <n v="11600"/>
    <s v="Bank Transfer"/>
    <s v="2025-06"/>
    <d v="2025-06-08T00:00:00"/>
    <s v="ACTIVE"/>
    <m/>
    <m/>
    <m/>
    <m/>
  </r>
  <r>
    <n v="1779"/>
    <s v="Donor_043"/>
    <d v="2025-01-15T00:00:00"/>
    <s v="Central"/>
    <x v="0"/>
    <m/>
    <n v="1092"/>
    <s v="Bank Transfer"/>
    <s v="2025-01"/>
    <d v="2025-06-13T00:00:00"/>
    <s v="ACTIVE"/>
    <m/>
    <m/>
    <m/>
    <m/>
  </r>
  <r>
    <n v="608"/>
    <s v="Donor_099"/>
    <d v="2025-05-26T00:00:00"/>
    <s v="South"/>
    <x v="1"/>
    <m/>
    <n v="4312"/>
    <s v="Cheque"/>
    <s v="2025-05"/>
    <d v="2025-05-30T00:00:00"/>
    <s v="ACTIVE"/>
    <m/>
    <m/>
    <m/>
    <m/>
  </r>
  <r>
    <n v="1613"/>
    <s v="Donor_045"/>
    <d v="2025-04-19T00:00:00"/>
    <s v="North"/>
    <x v="0"/>
    <m/>
    <n v="1660"/>
    <s v="Cash"/>
    <s v="2025-04"/>
    <d v="2025-05-11T00:00:00"/>
    <s v="ACTIVE"/>
    <m/>
    <m/>
    <m/>
    <m/>
  </r>
  <r>
    <n v="1796"/>
    <s v="Donor_050"/>
    <d v="2024-06-21T00:00:00"/>
    <s v="South"/>
    <x v="1"/>
    <m/>
    <n v="835"/>
    <s v="Credit Card"/>
    <s v="2024-06"/>
    <d v="2025-06-18T00:00:00"/>
    <s v="ACTIVE"/>
    <m/>
    <m/>
    <m/>
    <m/>
  </r>
  <r>
    <n v="1668"/>
    <s v="Donor_098"/>
    <d v="2024-04-03T00:00:00"/>
    <s v="North"/>
    <x v="4"/>
    <m/>
    <n v="11564"/>
    <s v="Cheque"/>
    <s v="2024-04"/>
    <d v="2025-06-20T00:00:00"/>
    <s v="ACTIVE"/>
    <m/>
    <m/>
    <m/>
    <m/>
  </r>
  <r>
    <n v="1058"/>
    <s v="Donor_049"/>
    <d v="2024-06-02T00:00:00"/>
    <s v="North"/>
    <x v="3"/>
    <m/>
    <n v="2052"/>
    <s v="Cheque"/>
    <s v="2024-06"/>
    <d v="2025-06-19T00:00:00"/>
    <s v="ACTIVE"/>
    <m/>
    <m/>
    <m/>
    <m/>
  </r>
  <r>
    <n v="1441"/>
    <s v="Donor_086"/>
    <d v="2024-12-31T00:00:00"/>
    <s v="Central"/>
    <x v="3"/>
    <m/>
    <n v="433"/>
    <s v="Bank Transfer"/>
    <s v="2024-12"/>
    <d v="2025-05-29T00:00:00"/>
    <s v="ACTIVE"/>
    <m/>
    <m/>
    <m/>
    <m/>
  </r>
  <r>
    <n v="1515"/>
    <s v="Donor_065"/>
    <d v="2024-10-22T00:00:00"/>
    <s v="Central"/>
    <x v="3"/>
    <m/>
    <n v="4759"/>
    <s v="UPI"/>
    <s v="2024-10"/>
    <d v="2025-05-02T00:00:00"/>
    <s v="ACTIVE"/>
    <m/>
    <m/>
    <m/>
    <m/>
  </r>
  <r>
    <n v="1092"/>
    <s v="Donor_049"/>
    <d v="2025-04-27T00:00:00"/>
    <s v="East"/>
    <x v="1"/>
    <m/>
    <n v="889"/>
    <s v="Cash"/>
    <s v="2025-04"/>
    <d v="2025-06-19T00:00:00"/>
    <s v="ACTIVE"/>
    <m/>
    <m/>
    <m/>
    <m/>
  </r>
  <r>
    <n v="1102"/>
    <s v="Donor_022"/>
    <d v="2024-05-18T00:00:00"/>
    <s v="NOT KNOWN"/>
    <x v="2"/>
    <m/>
    <n v="241"/>
    <s v="Cash"/>
    <s v="2024-05"/>
    <d v="2025-06-21T00:00:00"/>
    <s v="ACTIVE"/>
    <m/>
    <m/>
    <m/>
    <m/>
  </r>
  <r>
    <n v="1130"/>
    <s v="Donor_098"/>
    <d v="2024-08-27T00:00:00"/>
    <s v="Central"/>
    <x v="3"/>
    <m/>
    <n v="728"/>
    <s v="Bank Transfer"/>
    <s v="2024-08"/>
    <d v="2025-06-20T00:00:00"/>
    <s v="ACTIVE"/>
    <m/>
    <m/>
    <m/>
    <m/>
  </r>
  <r>
    <n v="1236"/>
    <s v="Donor_098"/>
    <d v="2025-05-13T00:00:00"/>
    <s v="East"/>
    <x v="4"/>
    <m/>
    <n v="8412"/>
    <s v="Cheque"/>
    <s v="2025-05"/>
    <d v="2025-06-20T00:00:00"/>
    <s v="ACTIVE"/>
    <m/>
    <m/>
    <m/>
    <m/>
  </r>
  <r>
    <n v="1596"/>
    <s v="Donor_001"/>
    <d v="2024-08-17T00:00:00"/>
    <s v="South"/>
    <x v="5"/>
    <m/>
    <n v="1151"/>
    <s v="Cheque"/>
    <s v="2024-08"/>
    <d v="2025-05-18T00:00:00"/>
    <s v="ACTIVE"/>
    <m/>
    <m/>
    <m/>
    <m/>
  </r>
  <r>
    <n v="959"/>
    <s v="Donor_074"/>
    <d v="2024-03-21T00:00:00"/>
    <s v="West"/>
    <x v="3"/>
    <m/>
    <n v="1790"/>
    <s v="Bank Transfer"/>
    <s v="2024-03"/>
    <d v="2025-06-18T00:00:00"/>
    <s v="ACTIVE"/>
    <m/>
    <m/>
    <m/>
    <m/>
  </r>
  <r>
    <n v="560"/>
    <s v="Donor_041"/>
    <d v="2024-07-03T00:00:00"/>
    <s v="Central"/>
    <x v="3"/>
    <m/>
    <n v="566"/>
    <s v="UPI"/>
    <s v="2024-07"/>
    <d v="2025-06-13T00:00:00"/>
    <s v="ACTIVE"/>
    <m/>
    <m/>
    <m/>
    <m/>
  </r>
  <r>
    <n v="847"/>
    <s v="Donor_044"/>
    <d v="2025-02-05T00:00:00"/>
    <s v="West"/>
    <x v="2"/>
    <m/>
    <n v="359"/>
    <s v="Cash"/>
    <s v="2025-02"/>
    <d v="2025-05-05T00:00:00"/>
    <s v="ACTIVE"/>
    <m/>
    <m/>
    <m/>
    <m/>
  </r>
  <r>
    <n v="691"/>
    <s v="Donor_079"/>
    <d v="2025-01-12T00:00:00"/>
    <s v="South"/>
    <x v="1"/>
    <m/>
    <n v="628"/>
    <s v="Cheque"/>
    <s v="2025-01"/>
    <d v="2025-06-07T00:00:00"/>
    <s v="ACTIVE"/>
    <m/>
    <m/>
    <m/>
    <m/>
  </r>
  <r>
    <n v="1520"/>
    <s v="Donor_107"/>
    <d v="2024-09-15T00:00:00"/>
    <s v="Central"/>
    <x v="3"/>
    <m/>
    <n v="11661"/>
    <s v="UPI"/>
    <s v="2024-09"/>
    <d v="2025-03-18T00:00:00"/>
    <s v="LAPSED"/>
    <m/>
    <m/>
    <m/>
    <m/>
  </r>
  <r>
    <n v="1748"/>
    <s v="Donor_029"/>
    <d v="2025-02-16T00:00:00"/>
    <s v="South"/>
    <x v="3"/>
    <m/>
    <n v="347"/>
    <s v="Credit Card"/>
    <s v="2025-02"/>
    <d v="2025-06-05T00:00:00"/>
    <s v="ACTIVE"/>
    <m/>
    <m/>
    <m/>
    <m/>
  </r>
  <r>
    <n v="1684"/>
    <s v="Donor_108"/>
    <d v="2024-08-19T00:00:00"/>
    <s v="East"/>
    <x v="0"/>
    <m/>
    <n v="1751"/>
    <s v="Cash"/>
    <s v="2024-08"/>
    <d v="2025-05-21T00:00:00"/>
    <s v="ACTIVE"/>
    <m/>
    <m/>
    <m/>
    <m/>
  </r>
  <r>
    <n v="437"/>
    <s v="Donor_069"/>
    <d v="2025-06-13T00:00:00"/>
    <s v="East"/>
    <x v="1"/>
    <m/>
    <n v="2251"/>
    <s v="Cheque"/>
    <s v="2025-06"/>
    <d v="2025-06-13T00:00:00"/>
    <s v="ACTIVE"/>
    <m/>
    <m/>
    <m/>
    <m/>
  </r>
  <r>
    <n v="491"/>
    <s v="Donor_046"/>
    <d v="2024-12-26T00:00:00"/>
    <s v="East"/>
    <x v="4"/>
    <m/>
    <n v="9104"/>
    <s v="UPI"/>
    <s v="2024-12"/>
    <d v="2025-05-10T00:00:00"/>
    <s v="ACTIVE"/>
    <m/>
    <m/>
    <m/>
    <m/>
  </r>
  <r>
    <n v="1463"/>
    <s v="Donor_093"/>
    <d v="2024-09-13T00:00:00"/>
    <s v="North"/>
    <x v="0"/>
    <m/>
    <n v="1197"/>
    <s v="Credit Card"/>
    <s v="2024-09"/>
    <d v="2025-03-24T00:00:00"/>
    <s v="LAPSED"/>
    <m/>
    <m/>
    <m/>
    <m/>
  </r>
  <r>
    <n v="1660"/>
    <s v="Donor_056"/>
    <d v="2024-11-26T00:00:00"/>
    <s v="South"/>
    <x v="4"/>
    <m/>
    <n v="10679"/>
    <s v="Cheque"/>
    <s v="2024-11"/>
    <d v="2025-05-08T00:00:00"/>
    <s v="ACTIVE"/>
    <m/>
    <m/>
    <m/>
    <m/>
  </r>
  <r>
    <n v="1388"/>
    <s v="Donor_051"/>
    <d v="2025-01-17T00:00:00"/>
    <s v="West"/>
    <x v="0"/>
    <m/>
    <n v="2199"/>
    <s v="Credit Card"/>
    <s v="2025-01"/>
    <d v="2025-06-11T00:00:00"/>
    <s v="ACTIVE"/>
    <m/>
    <m/>
    <m/>
    <m/>
  </r>
  <r>
    <n v="70"/>
    <s v="Donor_049"/>
    <d v="2025-06-19T00:00:00"/>
    <s v="West"/>
    <x v="1"/>
    <m/>
    <n v="2860"/>
    <s v="Cash"/>
    <s v="2025-06"/>
    <d v="2025-06-19T00:00:00"/>
    <s v="ACTIVE"/>
    <m/>
    <m/>
    <m/>
    <m/>
  </r>
  <r>
    <n v="809"/>
    <s v="Donor_049"/>
    <d v="2025-04-04T00:00:00"/>
    <s v="Central"/>
    <x v="2"/>
    <m/>
    <n v="2003"/>
    <s v="UPI"/>
    <s v="2025-04"/>
    <d v="2025-06-19T00:00:00"/>
    <s v="ACTIVE"/>
    <m/>
    <m/>
    <m/>
    <m/>
  </r>
  <r>
    <n v="1185"/>
    <s v="Donor_063"/>
    <d v="2024-07-05T00:00:00"/>
    <s v="North"/>
    <x v="5"/>
    <m/>
    <n v="9882"/>
    <s v="Credit Card"/>
    <s v="2024-07"/>
    <d v="2025-04-20T00:00:00"/>
    <s v="ACTIVE"/>
    <m/>
    <m/>
    <m/>
    <m/>
  </r>
  <r>
    <n v="12"/>
    <s v="Donor_099"/>
    <d v="2024-09-30T00:00:00"/>
    <s v="East"/>
    <x v="3"/>
    <m/>
    <n v="2435"/>
    <s v="Cash"/>
    <s v="2024-09"/>
    <d v="2025-05-30T00:00:00"/>
    <s v="ACTIVE"/>
    <m/>
    <m/>
    <m/>
    <m/>
  </r>
  <r>
    <n v="145"/>
    <s v="Donor_100"/>
    <d v="2024-04-23T00:00:00"/>
    <s v="East"/>
    <x v="4"/>
    <m/>
    <n v="2122"/>
    <s v="Credit Card"/>
    <s v="2024-04"/>
    <d v="2025-06-14T00:00:00"/>
    <s v="ACTIVE"/>
    <m/>
    <m/>
    <m/>
    <m/>
  </r>
  <r>
    <n v="918"/>
    <s v="Donor_018"/>
    <d v="2025-04-30T00:00:00"/>
    <s v="North"/>
    <x v="3"/>
    <m/>
    <n v="4722"/>
    <s v="Credit Card"/>
    <s v="2025-04"/>
    <d v="2025-06-16T00:00:00"/>
    <s v="ACTIVE"/>
    <m/>
    <m/>
    <m/>
    <m/>
  </r>
  <r>
    <n v="1542"/>
    <s v="Donor_114"/>
    <d v="2025-02-11T00:00:00"/>
    <s v="Central"/>
    <x v="3"/>
    <m/>
    <n v="477"/>
    <s v="Cash"/>
    <s v="2025-02"/>
    <d v="2025-04-04T00:00:00"/>
    <s v="ACTIVE"/>
    <m/>
    <m/>
    <m/>
    <m/>
  </r>
  <r>
    <n v="1452"/>
    <s v="Donor_026"/>
    <d v="2025-05-28T00:00:00"/>
    <s v="South"/>
    <x v="4"/>
    <m/>
    <n v="5361"/>
    <s v="Cheque"/>
    <s v="2025-05"/>
    <d v="2025-05-28T00:00:00"/>
    <s v="ACTIVE"/>
    <m/>
    <m/>
    <m/>
    <m/>
  </r>
  <r>
    <n v="640"/>
    <s v="Donor_085"/>
    <d v="2024-03-19T00:00:00"/>
    <s v="Central"/>
    <x v="1"/>
    <m/>
    <n v="264"/>
    <s v="Cash"/>
    <s v="2024-03"/>
    <d v="2025-06-22T00:00:00"/>
    <s v="ACTIVE"/>
    <m/>
    <m/>
    <m/>
    <m/>
  </r>
  <r>
    <n v="177"/>
    <s v="Donor_042"/>
    <d v="2024-05-23T00:00:00"/>
    <s v="Central"/>
    <x v="5"/>
    <m/>
    <n v="1436"/>
    <s v="Cheque"/>
    <s v="2024-05"/>
    <d v="2025-02-10T00:00:00"/>
    <s v="LAPSED"/>
    <m/>
    <m/>
    <m/>
    <m/>
  </r>
  <r>
    <n v="995"/>
    <s v="Donor_107"/>
    <d v="2024-10-24T00:00:00"/>
    <s v="South"/>
    <x v="0"/>
    <m/>
    <n v="8669"/>
    <s v="Credit Card"/>
    <s v="2024-10"/>
    <d v="2025-03-18T00:00:00"/>
    <s v="LAPSED"/>
    <m/>
    <m/>
    <m/>
    <m/>
  </r>
  <r>
    <n v="441"/>
    <s v="Donor_109"/>
    <d v="2025-02-18T00:00:00"/>
    <s v="North"/>
    <x v="3"/>
    <m/>
    <n v="1406"/>
    <s v="Bank Transfer"/>
    <s v="2025-02"/>
    <d v="2025-06-22T00:00:00"/>
    <s v="ACTIVE"/>
    <m/>
    <m/>
    <m/>
    <m/>
  </r>
  <r>
    <n v="522"/>
    <s v="Donor_108"/>
    <d v="2024-10-14T00:00:00"/>
    <s v="North"/>
    <x v="5"/>
    <m/>
    <n v="788"/>
    <s v="Credit Card"/>
    <s v="2024-10"/>
    <d v="2025-05-21T00:00:00"/>
    <s v="ACTIVE"/>
    <m/>
    <m/>
    <m/>
    <m/>
  </r>
  <r>
    <n v="1786"/>
    <s v="Donor_029"/>
    <d v="2024-06-01T00:00:00"/>
    <s v="South"/>
    <x v="4"/>
    <m/>
    <n v="300"/>
    <s v="Credit Card"/>
    <s v="2024-06"/>
    <d v="2025-06-05T00:00:00"/>
    <s v="ACTIVE"/>
    <m/>
    <m/>
    <m/>
    <m/>
  </r>
  <r>
    <n v="1752"/>
    <s v="Donor_091"/>
    <d v="2024-10-10T00:00:00"/>
    <s v="North"/>
    <x v="1"/>
    <m/>
    <n v="4898"/>
    <s v="Bank Transfer"/>
    <s v="2024-10"/>
    <d v="2025-05-16T00:00:00"/>
    <s v="ACTIVE"/>
    <m/>
    <m/>
    <m/>
    <m/>
  </r>
  <r>
    <n v="1005"/>
    <s v="Donor_005"/>
    <d v="2024-08-12T00:00:00"/>
    <s v="West"/>
    <x v="5"/>
    <m/>
    <n v="2249"/>
    <s v="Cash"/>
    <s v="2024-08"/>
    <d v="2025-06-10T00:00:00"/>
    <s v="ACTIVE"/>
    <m/>
    <m/>
    <m/>
    <m/>
  </r>
  <r>
    <n v="1256"/>
    <s v="Donor_076"/>
    <d v="2025-05-24T00:00:00"/>
    <s v="West"/>
    <x v="3"/>
    <m/>
    <n v="1213"/>
    <s v="Cash"/>
    <s v="2025-05"/>
    <d v="2025-06-08T00:00:00"/>
    <s v="ACTIVE"/>
    <m/>
    <m/>
    <m/>
    <m/>
  </r>
  <r>
    <n v="1235"/>
    <s v="Donor_113"/>
    <d v="2024-03-13T00:00:00"/>
    <s v="East"/>
    <x v="5"/>
    <m/>
    <n v="476"/>
    <s v="Bank Transfer"/>
    <s v="2024-03"/>
    <d v="2025-04-17T00:00:00"/>
    <s v="ACTIVE"/>
    <m/>
    <m/>
    <m/>
    <m/>
  </r>
  <r>
    <n v="144"/>
    <s v="Donor_058"/>
    <d v="2025-04-25T00:00:00"/>
    <s v="Central"/>
    <x v="3"/>
    <m/>
    <n v="808"/>
    <s v="Credit Card"/>
    <s v="2025-04"/>
    <d v="2025-06-22T00:00:00"/>
    <s v="ACTIVE"/>
    <m/>
    <m/>
    <m/>
    <m/>
  </r>
  <r>
    <n v="754"/>
    <s v="Donor_083"/>
    <d v="2025-03-13T00:00:00"/>
    <s v="North"/>
    <x v="5"/>
    <m/>
    <n v="853"/>
    <s v="Cash"/>
    <s v="2025-03"/>
    <d v="2025-06-21T00:00:00"/>
    <s v="ACTIVE"/>
    <m/>
    <m/>
    <m/>
    <m/>
  </r>
  <r>
    <n v="520"/>
    <s v="Donor_115"/>
    <d v="2025-04-16T00:00:00"/>
    <s v="Central"/>
    <x v="5"/>
    <m/>
    <n v="334"/>
    <s v="Cash"/>
    <s v="2025-04"/>
    <d v="2025-06-20T00:00:00"/>
    <s v="ACTIVE"/>
    <m/>
    <m/>
    <m/>
    <m/>
  </r>
  <r>
    <n v="823"/>
    <s v="Donor_002"/>
    <d v="2024-06-14T00:00:00"/>
    <s v="North"/>
    <x v="3"/>
    <m/>
    <n v="719"/>
    <s v="Cheque"/>
    <s v="2024-06"/>
    <d v="2025-04-12T00:00:00"/>
    <s v="ACTIVE"/>
    <m/>
    <m/>
    <m/>
    <m/>
  </r>
  <r>
    <n v="429"/>
    <s v="Donor_024"/>
    <d v="2024-10-02T00:00:00"/>
    <s v="South"/>
    <x v="1"/>
    <m/>
    <n v="1788"/>
    <s v="Credit Card"/>
    <s v="2024-10"/>
    <d v="2025-06-07T00:00:00"/>
    <s v="ACTIVE"/>
    <m/>
    <m/>
    <m/>
    <m/>
  </r>
  <r>
    <n v="1506"/>
    <s v="Donor_112"/>
    <d v="2024-04-03T00:00:00"/>
    <s v="Central"/>
    <x v="3"/>
    <m/>
    <n v="1740"/>
    <s v="Credit Card"/>
    <s v="2024-04"/>
    <d v="2025-05-26T00:00:00"/>
    <s v="ACTIVE"/>
    <m/>
    <m/>
    <m/>
    <m/>
  </r>
  <r>
    <n v="1033"/>
    <s v="Donor_018"/>
    <d v="2024-03-01T00:00:00"/>
    <s v="South"/>
    <x v="0"/>
    <m/>
    <n v="5848"/>
    <s v="UPI"/>
    <s v="2024-03"/>
    <d v="2025-06-16T00:00:00"/>
    <s v="ACTIVE"/>
    <m/>
    <m/>
    <m/>
    <m/>
  </r>
  <r>
    <n v="157"/>
    <s v="Donor_078"/>
    <d v="2024-02-03T00:00:00"/>
    <s v="South"/>
    <x v="2"/>
    <m/>
    <n v="354"/>
    <s v="Bank Transfer"/>
    <s v="2024-02"/>
    <d v="2025-03-13T00:00:00"/>
    <s v="LAPSED"/>
    <m/>
    <m/>
    <m/>
    <m/>
  </r>
  <r>
    <n v="540"/>
    <s v="Donor_097"/>
    <d v="2024-01-01T00:00:00"/>
    <s v="South"/>
    <x v="2"/>
    <m/>
    <n v="1472"/>
    <s v="Bank Transfer"/>
    <s v="2024-01"/>
    <d v="2025-06-04T00:00:00"/>
    <s v="ACTIVE"/>
    <m/>
    <m/>
    <m/>
    <m/>
  </r>
  <r>
    <n v="1531"/>
    <s v="Donor_078"/>
    <d v="2024-02-19T00:00:00"/>
    <s v="South"/>
    <x v="4"/>
    <m/>
    <n v="1052"/>
    <s v="Credit Card"/>
    <s v="2024-02"/>
    <d v="2025-03-13T00:00:00"/>
    <s v="LAPSED"/>
    <m/>
    <m/>
    <m/>
    <m/>
  </r>
  <r>
    <n v="1461"/>
    <s v="Donor_031"/>
    <d v="2024-01-04T00:00:00"/>
    <s v="North"/>
    <x v="5"/>
    <m/>
    <n v="1268"/>
    <s v="Cash"/>
    <s v="2024-01"/>
    <d v="2025-05-17T00:00:00"/>
    <s v="ACTIVE"/>
    <m/>
    <m/>
    <m/>
    <m/>
  </r>
  <r>
    <n v="1291"/>
    <s v="Donor_069"/>
    <d v="2025-04-10T00:00:00"/>
    <s v="East"/>
    <x v="4"/>
    <m/>
    <n v="1372"/>
    <s v="Credit Card"/>
    <s v="2025-04"/>
    <d v="2025-06-13T00:00:00"/>
    <s v="ACTIVE"/>
    <m/>
    <m/>
    <m/>
    <m/>
  </r>
  <r>
    <n v="462"/>
    <s v="Donor_072"/>
    <d v="2025-03-24T00:00:00"/>
    <s v="East"/>
    <x v="0"/>
    <m/>
    <n v="263"/>
    <s v="Credit Card"/>
    <s v="2025-03"/>
    <d v="2025-04-13T00:00:00"/>
    <s v="ACTIVE"/>
    <m/>
    <m/>
    <m/>
    <m/>
  </r>
  <r>
    <n v="577"/>
    <s v="Donor_076"/>
    <d v="2024-02-16T00:00:00"/>
    <s v="South"/>
    <x v="5"/>
    <m/>
    <n v="848"/>
    <s v="Credit Card"/>
    <s v="2024-02"/>
    <d v="2025-06-08T00:00:00"/>
    <s v="ACTIVE"/>
    <m/>
    <m/>
    <m/>
    <m/>
  </r>
  <r>
    <n v="1363"/>
    <s v="Donor_047"/>
    <d v="2025-02-21T00:00:00"/>
    <s v="West"/>
    <x v="3"/>
    <m/>
    <n v="2885"/>
    <s v="Bank Transfer"/>
    <s v="2025-02"/>
    <d v="2025-05-04T00:00:00"/>
    <s v="ACTIVE"/>
    <m/>
    <m/>
    <m/>
    <m/>
  </r>
  <r>
    <n v="256"/>
    <s v="Donor_057"/>
    <d v="2024-03-30T00:00:00"/>
    <s v="North"/>
    <x v="4"/>
    <m/>
    <n v="2249"/>
    <s v="Cheque"/>
    <s v="2024-03"/>
    <d v="2025-03-30T00:00:00"/>
    <s v="ACTIVE"/>
    <m/>
    <m/>
    <m/>
    <m/>
  </r>
  <r>
    <n v="980"/>
    <s v="Donor_035"/>
    <d v="2025-01-23T00:00:00"/>
    <s v="South"/>
    <x v="4"/>
    <m/>
    <n v="254"/>
    <s v="Bank Transfer"/>
    <s v="2025-01"/>
    <d v="2025-06-15T00:00:00"/>
    <s v="ACTIVE"/>
    <m/>
    <m/>
    <m/>
    <m/>
  </r>
  <r>
    <n v="1186"/>
    <s v="Donor_044"/>
    <d v="2025-03-29T00:00:00"/>
    <s v="Central"/>
    <x v="4"/>
    <m/>
    <n v="2223"/>
    <s v="Credit Card"/>
    <s v="2025-03"/>
    <d v="2025-05-05T00:00:00"/>
    <s v="ACTIVE"/>
    <m/>
    <m/>
    <m/>
    <m/>
  </r>
  <r>
    <n v="1007"/>
    <s v="Donor_071"/>
    <d v="2025-03-02T00:00:00"/>
    <s v="South"/>
    <x v="5"/>
    <m/>
    <n v="2086"/>
    <s v="Cheque"/>
    <s v="2025-03"/>
    <d v="2025-06-08T00:00:00"/>
    <s v="ACTIVE"/>
    <m/>
    <m/>
    <m/>
    <m/>
  </r>
  <r>
    <n v="1522"/>
    <s v="Donor_019"/>
    <d v="2024-03-08T00:00:00"/>
    <s v="West"/>
    <x v="0"/>
    <m/>
    <n v="2726"/>
    <s v="Cheque"/>
    <s v="2024-03"/>
    <d v="2025-05-28T00:00:00"/>
    <s v="ACTIVE"/>
    <m/>
    <m/>
    <m/>
    <m/>
  </r>
  <r>
    <n v="561"/>
    <s v="Donor_033"/>
    <d v="2024-10-17T00:00:00"/>
    <s v="South"/>
    <x v="3"/>
    <m/>
    <n v="524"/>
    <s v="UPI"/>
    <s v="2024-10"/>
    <d v="2025-06-21T00:00:00"/>
    <s v="ACTIVE"/>
    <m/>
    <m/>
    <m/>
    <m/>
  </r>
  <r>
    <n v="209"/>
    <s v="Donor_053"/>
    <d v="2025-03-02T00:00:00"/>
    <s v="South"/>
    <x v="5"/>
    <m/>
    <n v="655"/>
    <s v="Cheque"/>
    <s v="2025-03"/>
    <d v="2025-04-16T00:00:00"/>
    <s v="ACTIVE"/>
    <m/>
    <m/>
    <m/>
    <m/>
  </r>
  <r>
    <n v="911"/>
    <s v="Donor_046"/>
    <d v="2024-10-15T00:00:00"/>
    <s v="North"/>
    <x v="0"/>
    <m/>
    <n v="4237"/>
    <s v="UPI"/>
    <s v="2024-10"/>
    <d v="2025-05-10T00:00:00"/>
    <s v="ACTIVE"/>
    <m/>
    <m/>
    <m/>
    <m/>
  </r>
  <r>
    <n v="1312"/>
    <s v="Donor_100"/>
    <d v="2024-08-30T00:00:00"/>
    <s v="North"/>
    <x v="3"/>
    <m/>
    <n v="545"/>
    <s v="Bank Transfer"/>
    <s v="2024-08"/>
    <d v="2025-06-14T00:00:00"/>
    <s v="ACTIVE"/>
    <m/>
    <m/>
    <m/>
    <m/>
  </r>
  <r>
    <n v="2"/>
    <s v="Donor_012"/>
    <d v="2024-01-31T00:00:00"/>
    <s v="South"/>
    <x v="4"/>
    <m/>
    <n v="10408"/>
    <s v="Cheque"/>
    <s v="2024-01"/>
    <d v="2025-06-23T00:00:00"/>
    <s v="ACTIVE"/>
    <m/>
    <m/>
    <m/>
    <m/>
  </r>
  <r>
    <n v="1366"/>
    <s v="Donor_033"/>
    <d v="2024-01-05T00:00:00"/>
    <s v="Central"/>
    <x v="2"/>
    <m/>
    <n v="1644"/>
    <s v="Bank Transfer"/>
    <s v="2024-01"/>
    <d v="2025-06-21T00:00:00"/>
    <s v="ACTIVE"/>
    <m/>
    <m/>
    <m/>
    <m/>
  </r>
  <r>
    <n v="270"/>
    <s v="Donor_102"/>
    <d v="2024-11-18T00:00:00"/>
    <s v="South"/>
    <x v="4"/>
    <m/>
    <n v="2645"/>
    <s v="Credit Card"/>
    <s v="2024-11"/>
    <d v="2025-04-29T00:00:00"/>
    <s v="ACTIVE"/>
    <m/>
    <m/>
    <m/>
    <m/>
  </r>
  <r>
    <n v="266"/>
    <s v="Donor_067"/>
    <d v="2024-08-19T00:00:00"/>
    <s v="West"/>
    <x v="3"/>
    <m/>
    <n v="539"/>
    <s v="UPI"/>
    <s v="2024-08"/>
    <d v="2025-06-15T00:00:00"/>
    <s v="ACTIVE"/>
    <m/>
    <m/>
    <m/>
    <m/>
  </r>
  <r>
    <n v="915"/>
    <s v="Donor_041"/>
    <d v="2024-12-27T00:00:00"/>
    <s v="West"/>
    <x v="1"/>
    <m/>
    <n v="323"/>
    <s v="Cash"/>
    <s v="2024-12"/>
    <d v="2025-06-13T00:00:00"/>
    <s v="ACTIVE"/>
    <m/>
    <m/>
    <m/>
    <m/>
  </r>
  <r>
    <n v="231"/>
    <s v="Donor_058"/>
    <d v="2025-03-17T00:00:00"/>
    <s v="Central"/>
    <x v="0"/>
    <m/>
    <n v="9632"/>
    <s v="UPI"/>
    <s v="2025-03"/>
    <d v="2025-06-22T00:00:00"/>
    <s v="ACTIVE"/>
    <m/>
    <m/>
    <m/>
    <m/>
  </r>
  <r>
    <n v="1782"/>
    <s v="Donor_111"/>
    <d v="2024-11-14T00:00:00"/>
    <s v="North"/>
    <x v="2"/>
    <m/>
    <n v="1198"/>
    <s v="Credit Card"/>
    <s v="2024-11"/>
    <d v="2025-04-26T00:00:00"/>
    <s v="ACTIVE"/>
    <m/>
    <m/>
    <m/>
    <m/>
  </r>
  <r>
    <n v="1120"/>
    <s v="Donor_118"/>
    <d v="2024-04-29T00:00:00"/>
    <s v="NOT KNOWN"/>
    <x v="4"/>
    <m/>
    <n v="874"/>
    <s v="Cheque"/>
    <s v="2024-04"/>
    <d v="2025-04-19T00:00:00"/>
    <s v="ACTIVE"/>
    <m/>
    <m/>
    <m/>
    <m/>
  </r>
  <r>
    <n v="1777"/>
    <s v="Donor_024"/>
    <d v="2024-01-07T00:00:00"/>
    <s v="South"/>
    <x v="1"/>
    <m/>
    <n v="1259"/>
    <s v="Cheque"/>
    <s v="2024-01"/>
    <d v="2025-06-07T00:00:00"/>
    <s v="ACTIVE"/>
    <m/>
    <m/>
    <m/>
    <m/>
  </r>
  <r>
    <n v="865"/>
    <s v="Donor_019"/>
    <d v="2024-10-06T00:00:00"/>
    <s v="South"/>
    <x v="5"/>
    <m/>
    <n v="420"/>
    <s v="Credit Card"/>
    <s v="2024-10"/>
    <d v="2025-05-28T00:00:00"/>
    <s v="ACTIVE"/>
    <m/>
    <m/>
    <m/>
    <m/>
  </r>
  <r>
    <n v="1067"/>
    <s v="Donor_095"/>
    <d v="2025-04-05T00:00:00"/>
    <s v="West"/>
    <x v="5"/>
    <m/>
    <n v="324"/>
    <s v="Credit Card"/>
    <s v="2025-04"/>
    <d v="2025-05-17T00:00:00"/>
    <s v="ACTIVE"/>
    <m/>
    <m/>
    <m/>
    <m/>
  </r>
  <r>
    <n v="874"/>
    <s v="Donor_078"/>
    <d v="2024-02-13T00:00:00"/>
    <s v="West"/>
    <x v="4"/>
    <m/>
    <n v="11615"/>
    <s v="Credit Card"/>
    <s v="2024-02"/>
    <d v="2025-03-13T00:00:00"/>
    <s v="LAPSED"/>
    <m/>
    <m/>
    <m/>
    <m/>
  </r>
  <r>
    <n v="1623"/>
    <s v="Donor_098"/>
    <d v="2025-04-24T00:00:00"/>
    <s v="Central"/>
    <x v="1"/>
    <m/>
    <n v="886"/>
    <s v="Bank Transfer"/>
    <s v="2025-04"/>
    <d v="2025-06-20T00:00:00"/>
    <s v="ACTIVE"/>
    <m/>
    <m/>
    <m/>
    <m/>
  </r>
  <r>
    <n v="399"/>
    <s v="Donor_029"/>
    <d v="2025-02-05T00:00:00"/>
    <s v="Central"/>
    <x v="2"/>
    <m/>
    <n v="2134"/>
    <s v="Cheque"/>
    <s v="2025-02"/>
    <d v="2025-06-05T00:00:00"/>
    <s v="ACTIVE"/>
    <m/>
    <m/>
    <m/>
    <m/>
  </r>
  <r>
    <n v="1650"/>
    <s v="Donor_047"/>
    <d v="2024-10-21T00:00:00"/>
    <s v="Central"/>
    <x v="5"/>
    <m/>
    <n v="276"/>
    <s v="Cash"/>
    <s v="2024-10"/>
    <d v="2025-05-04T00:00:00"/>
    <s v="ACTIVE"/>
    <m/>
    <m/>
    <m/>
    <m/>
  </r>
  <r>
    <n v="46"/>
    <s v="Donor_023"/>
    <d v="2024-08-12T00:00:00"/>
    <s v="Central"/>
    <x v="1"/>
    <m/>
    <n v="511"/>
    <s v="UPI"/>
    <s v="2024-08"/>
    <d v="2025-05-24T00:00:00"/>
    <s v="ACTIVE"/>
    <m/>
    <m/>
    <m/>
    <m/>
  </r>
  <r>
    <n v="162"/>
    <s v="Donor_060"/>
    <d v="2025-01-12T00:00:00"/>
    <s v="Central"/>
    <x v="4"/>
    <m/>
    <n v="826"/>
    <s v="Cash"/>
    <s v="2025-01"/>
    <d v="2025-05-20T00:00:00"/>
    <s v="ACTIVE"/>
    <m/>
    <m/>
    <m/>
    <m/>
  </r>
  <r>
    <n v="992"/>
    <s v="Donor_013"/>
    <d v="2024-01-04T00:00:00"/>
    <s v="South"/>
    <x v="0"/>
    <m/>
    <n v="329"/>
    <s v="Credit Card"/>
    <s v="2024-01"/>
    <d v="2025-04-28T00:00:00"/>
    <s v="ACTIVE"/>
    <m/>
    <m/>
    <m/>
    <m/>
  </r>
  <r>
    <n v="728"/>
    <s v="Donor_015"/>
    <d v="2025-02-22T00:00:00"/>
    <s v="North"/>
    <x v="5"/>
    <m/>
    <n v="2040"/>
    <s v="Credit Card"/>
    <s v="2025-02"/>
    <d v="2025-05-02T00:00:00"/>
    <s v="ACTIVE"/>
    <m/>
    <m/>
    <m/>
    <m/>
  </r>
  <r>
    <n v="630"/>
    <s v="Donor_065"/>
    <d v="2024-09-04T00:00:00"/>
    <s v="Central"/>
    <x v="3"/>
    <m/>
    <n v="1128"/>
    <s v="UPI"/>
    <s v="2024-09"/>
    <d v="2025-05-02T00:00:00"/>
    <s v="ACTIVE"/>
    <m/>
    <m/>
    <m/>
    <m/>
  </r>
  <r>
    <n v="289"/>
    <s v="Donor_119"/>
    <d v="2024-11-18T00:00:00"/>
    <s v="West"/>
    <x v="2"/>
    <m/>
    <n v="4636"/>
    <s v="Bank Transfer"/>
    <s v="2024-11"/>
    <d v="2025-05-18T00:00:00"/>
    <s v="ACTIVE"/>
    <m/>
    <m/>
    <m/>
    <m/>
  </r>
  <r>
    <n v="1614"/>
    <s v="Donor_062"/>
    <d v="2024-12-24T00:00:00"/>
    <s v="West"/>
    <x v="5"/>
    <m/>
    <n v="2747"/>
    <s v="Bank Transfer"/>
    <s v="2024-12"/>
    <d v="2025-05-17T00:00:00"/>
    <s v="ACTIVE"/>
    <m/>
    <m/>
    <m/>
    <m/>
  </r>
  <r>
    <n v="1060"/>
    <s v="Donor_103"/>
    <d v="2024-09-05T00:00:00"/>
    <s v="East"/>
    <x v="4"/>
    <m/>
    <n v="278"/>
    <s v="UPI"/>
    <s v="2024-09"/>
    <d v="2025-02-25T00:00:00"/>
    <s v="LAPSED"/>
    <m/>
    <m/>
    <m/>
    <m/>
  </r>
  <r>
    <n v="1763"/>
    <s v="Donor_009"/>
    <d v="2024-10-18T00:00:00"/>
    <s v="North"/>
    <x v="0"/>
    <m/>
    <n v="2627"/>
    <s v="UPI"/>
    <s v="2024-10"/>
    <d v="2025-05-15T00:00:00"/>
    <s v="ACTIVE"/>
    <m/>
    <m/>
    <m/>
    <m/>
  </r>
  <r>
    <n v="576"/>
    <s v="Donor_055"/>
    <d v="2024-07-26T00:00:00"/>
    <s v="East"/>
    <x v="2"/>
    <m/>
    <n v="697"/>
    <s v="Cheque"/>
    <s v="2024-07"/>
    <d v="2025-05-11T00:00:00"/>
    <s v="ACTIVE"/>
    <m/>
    <m/>
    <m/>
    <m/>
  </r>
  <r>
    <n v="851"/>
    <s v="Donor_023"/>
    <d v="2025-04-30T00:00:00"/>
    <s v="North"/>
    <x v="3"/>
    <m/>
    <n v="10600"/>
    <s v="Cheque"/>
    <s v="2025-04"/>
    <d v="2025-05-24T00:00:00"/>
    <s v="ACTIVE"/>
    <m/>
    <m/>
    <m/>
    <m/>
  </r>
  <r>
    <n v="1340"/>
    <s v="Donor_083"/>
    <d v="2024-02-05T00:00:00"/>
    <s v="East"/>
    <x v="5"/>
    <m/>
    <n v="577"/>
    <s v="UPI"/>
    <s v="2024-02"/>
    <d v="2025-06-21T00:00:00"/>
    <s v="ACTIVE"/>
    <m/>
    <m/>
    <m/>
    <m/>
  </r>
  <r>
    <n v="912"/>
    <s v="Donor_087"/>
    <d v="2024-07-04T00:00:00"/>
    <s v="West"/>
    <x v="4"/>
    <m/>
    <n v="2625"/>
    <s v="Bank Transfer"/>
    <s v="2024-07"/>
    <d v="2025-06-09T00:00:00"/>
    <s v="ACTIVE"/>
    <m/>
    <m/>
    <m/>
    <m/>
  </r>
  <r>
    <n v="1255"/>
    <s v="Donor_093"/>
    <d v="2024-08-21T00:00:00"/>
    <s v="East"/>
    <x v="2"/>
    <m/>
    <n v="11284"/>
    <s v="Credit Card"/>
    <s v="2024-08"/>
    <d v="2025-03-24T00:00:00"/>
    <s v="LAPSED"/>
    <m/>
    <m/>
    <m/>
    <m/>
  </r>
  <r>
    <n v="1643"/>
    <s v="Donor_041"/>
    <d v="2024-12-16T00:00:00"/>
    <s v="East"/>
    <x v="4"/>
    <m/>
    <n v="0"/>
    <s v="Bank Transfer"/>
    <s v="2024-12"/>
    <d v="2025-06-13T00:00:00"/>
    <s v="ACTIVE"/>
    <m/>
    <m/>
    <m/>
    <m/>
  </r>
  <r>
    <n v="933"/>
    <s v="Donor_031"/>
    <d v="2025-01-31T00:00:00"/>
    <s v="South"/>
    <x v="0"/>
    <m/>
    <n v="1183"/>
    <s v="Cheque"/>
    <s v="2025-01"/>
    <d v="2025-05-17T00:00:00"/>
    <s v="ACTIVE"/>
    <m/>
    <m/>
    <m/>
    <m/>
  </r>
  <r>
    <n v="1101"/>
    <s v="Donor_103"/>
    <d v="2024-07-28T00:00:00"/>
    <s v="Central"/>
    <x v="2"/>
    <m/>
    <n v="5039"/>
    <s v="Bank Transfer"/>
    <s v="2024-07"/>
    <d v="2025-02-25T00:00:00"/>
    <s v="LAPSED"/>
    <m/>
    <m/>
    <m/>
    <m/>
  </r>
  <r>
    <n v="1208"/>
    <s v="Donor_012"/>
    <d v="2024-05-07T00:00:00"/>
    <s v="South"/>
    <x v="0"/>
    <m/>
    <n v="8487"/>
    <s v="Credit Card"/>
    <s v="2024-05"/>
    <d v="2025-06-23T00:00:00"/>
    <s v="ACTIVE"/>
    <m/>
    <m/>
    <m/>
    <m/>
  </r>
  <r>
    <n v="248"/>
    <s v="Donor_077"/>
    <d v="2024-11-16T00:00:00"/>
    <s v="West"/>
    <x v="0"/>
    <m/>
    <n v="776"/>
    <s v="Bank Transfer"/>
    <s v="2024-11"/>
    <d v="2025-06-21T00:00:00"/>
    <s v="ACTIVE"/>
    <m/>
    <m/>
    <m/>
    <m/>
  </r>
  <r>
    <n v="477"/>
    <s v="Donor_102"/>
    <d v="2024-11-28T00:00:00"/>
    <s v="West"/>
    <x v="4"/>
    <m/>
    <n v="339"/>
    <s v="Cheque"/>
    <s v="2024-11"/>
    <d v="2025-04-29T00:00:00"/>
    <s v="ACTIVE"/>
    <m/>
    <m/>
    <m/>
    <m/>
  </r>
  <r>
    <n v="86"/>
    <s v="Donor_050"/>
    <d v="2025-01-25T00:00:00"/>
    <s v="South"/>
    <x v="1"/>
    <m/>
    <n v="425"/>
    <s v="Cheque"/>
    <s v="2025-01"/>
    <d v="2025-06-18T00:00:00"/>
    <s v="ACTIVE"/>
    <m/>
    <m/>
    <m/>
    <m/>
  </r>
  <r>
    <n v="470"/>
    <s v="Donor_085"/>
    <d v="2025-06-22T00:00:00"/>
    <s v="South"/>
    <x v="0"/>
    <m/>
    <n v="1535"/>
    <s v="Cheque"/>
    <s v="2025-06"/>
    <d v="2025-06-22T00:00:00"/>
    <s v="ACTIVE"/>
    <m/>
    <m/>
    <m/>
    <m/>
  </r>
  <r>
    <n v="226"/>
    <s v="Donor_087"/>
    <d v="2025-02-02T00:00:00"/>
    <s v="Central"/>
    <x v="5"/>
    <m/>
    <n v="827"/>
    <s v="Credit Card"/>
    <s v="2025-02"/>
    <d v="2025-06-09T00:00:00"/>
    <s v="ACTIVE"/>
    <m/>
    <m/>
    <m/>
    <m/>
  </r>
  <r>
    <n v="775"/>
    <s v="Donor_109"/>
    <d v="2024-05-09T00:00:00"/>
    <s v="Central"/>
    <x v="0"/>
    <m/>
    <n v="265"/>
    <s v="UPI"/>
    <s v="2024-05"/>
    <d v="2025-06-22T00:00:00"/>
    <s v="ACTIVE"/>
    <m/>
    <m/>
    <m/>
    <m/>
  </r>
  <r>
    <n v="332"/>
    <s v="Donor_061"/>
    <d v="2024-01-10T00:00:00"/>
    <s v="South"/>
    <x v="2"/>
    <m/>
    <n v="1561"/>
    <s v="UPI"/>
    <s v="2024-01"/>
    <d v="2025-05-21T00:00:00"/>
    <s v="ACTIVE"/>
    <m/>
    <m/>
    <m/>
    <m/>
  </r>
  <r>
    <n v="234"/>
    <s v="Donor_047"/>
    <d v="2024-03-19T00:00:00"/>
    <s v="East"/>
    <x v="4"/>
    <m/>
    <n v="0"/>
    <s v="Credit Card"/>
    <s v="2024-03"/>
    <d v="2025-05-04T00:00:00"/>
    <s v="ACTIVE"/>
    <m/>
    <m/>
    <m/>
    <m/>
  </r>
  <r>
    <n v="589"/>
    <s v="Donor_074"/>
    <d v="2024-06-23T00:00:00"/>
    <s v="Central"/>
    <x v="4"/>
    <m/>
    <n v="965"/>
    <s v="Cheque"/>
    <s v="2024-06"/>
    <d v="2025-06-18T00:00:00"/>
    <s v="ACTIVE"/>
    <m/>
    <m/>
    <m/>
    <m/>
  </r>
  <r>
    <n v="476"/>
    <s v="Donor_114"/>
    <d v="2025-01-10T00:00:00"/>
    <s v="Central"/>
    <x v="4"/>
    <m/>
    <n v="1805"/>
    <s v="Bank Transfer"/>
    <s v="2025-01"/>
    <d v="2025-04-04T00:00:00"/>
    <s v="ACTIVE"/>
    <m/>
    <m/>
    <m/>
    <m/>
  </r>
  <r>
    <n v="1285"/>
    <s v="Donor_060"/>
    <d v="2024-12-24T00:00:00"/>
    <s v="South"/>
    <x v="2"/>
    <m/>
    <n v="478"/>
    <s v="Credit Card"/>
    <s v="2024-12"/>
    <d v="2025-05-20T00:00:00"/>
    <s v="ACTIVE"/>
    <m/>
    <m/>
    <m/>
    <m/>
  </r>
  <r>
    <n v="600"/>
    <s v="Donor_058"/>
    <d v="2024-10-26T00:00:00"/>
    <s v="Central"/>
    <x v="5"/>
    <m/>
    <n v="875"/>
    <s v="Cash"/>
    <s v="2024-10"/>
    <d v="2025-06-22T00:00:00"/>
    <s v="ACTIVE"/>
    <m/>
    <m/>
    <m/>
    <m/>
  </r>
  <r>
    <n v="422"/>
    <s v="Donor_079"/>
    <d v="2024-08-25T00:00:00"/>
    <s v="South"/>
    <x v="2"/>
    <m/>
    <n v="472"/>
    <s v="UPI"/>
    <s v="2024-08"/>
    <d v="2025-06-07T00:00:00"/>
    <s v="ACTIVE"/>
    <m/>
    <m/>
    <m/>
    <m/>
  </r>
  <r>
    <n v="183"/>
    <s v="Donor_039"/>
    <d v="2024-08-18T00:00:00"/>
    <s v="East"/>
    <x v="2"/>
    <m/>
    <n v="2152"/>
    <s v="Cash"/>
    <s v="2024-08"/>
    <d v="2025-04-25T00:00:00"/>
    <s v="ACTIVE"/>
    <m/>
    <m/>
    <m/>
    <m/>
  </r>
  <r>
    <n v="989"/>
    <s v="Donor_023"/>
    <d v="2025-02-16T00:00:00"/>
    <s v="Central"/>
    <x v="5"/>
    <m/>
    <n v="10430"/>
    <s v="Cheque"/>
    <s v="2025-02"/>
    <d v="2025-05-24T00:00:00"/>
    <s v="ACTIVE"/>
    <m/>
    <m/>
    <m/>
    <m/>
  </r>
  <r>
    <n v="1001"/>
    <s v="Donor_037"/>
    <d v="2024-12-21T00:00:00"/>
    <s v="North"/>
    <x v="3"/>
    <m/>
    <n v="351"/>
    <s v="Credit Card"/>
    <s v="2024-12"/>
    <d v="2025-05-23T00:00:00"/>
    <s v="ACTIVE"/>
    <m/>
    <m/>
    <m/>
    <m/>
  </r>
  <r>
    <n v="1642"/>
    <s v="Donor_056"/>
    <d v="2024-03-28T00:00:00"/>
    <s v="West"/>
    <x v="0"/>
    <m/>
    <n v="482"/>
    <s v="Credit Card"/>
    <s v="2024-03"/>
    <d v="2025-05-08T00:00:00"/>
    <s v="ACTIVE"/>
    <m/>
    <m/>
    <m/>
    <m/>
  </r>
  <r>
    <n v="1357"/>
    <s v="Donor_035"/>
    <d v="2024-10-06T00:00:00"/>
    <s v="North"/>
    <x v="2"/>
    <m/>
    <n v="248"/>
    <s v="Credit Card"/>
    <s v="2024-10"/>
    <d v="2025-06-15T00:00:00"/>
    <s v="ACTIVE"/>
    <m/>
    <m/>
    <m/>
    <m/>
  </r>
  <r>
    <n v="50"/>
    <s v="Donor_107"/>
    <d v="2024-07-30T00:00:00"/>
    <s v="West"/>
    <x v="1"/>
    <m/>
    <n v="571"/>
    <s v="Cheque"/>
    <s v="2024-07"/>
    <d v="2025-03-18T00:00:00"/>
    <s v="LAPSED"/>
    <m/>
    <m/>
    <m/>
    <m/>
  </r>
  <r>
    <n v="1693"/>
    <s v="Donor_029"/>
    <d v="2024-11-22T00:00:00"/>
    <s v="South"/>
    <x v="0"/>
    <m/>
    <n v="485"/>
    <s v="Credit Card"/>
    <s v="2024-11"/>
    <d v="2025-06-05T00:00:00"/>
    <s v="ACTIVE"/>
    <m/>
    <m/>
    <m/>
    <m/>
  </r>
  <r>
    <n v="1030"/>
    <s v="Donor_030"/>
    <d v="2025-05-25T00:00:00"/>
    <s v="North"/>
    <x v="0"/>
    <m/>
    <n v="9324"/>
    <s v="Credit Card"/>
    <s v="2025-05"/>
    <d v="2025-05-25T00:00:00"/>
    <s v="ACTIVE"/>
    <m/>
    <m/>
    <m/>
    <m/>
  </r>
  <r>
    <n v="530"/>
    <s v="Donor_074"/>
    <d v="2024-10-17T00:00:00"/>
    <s v="South"/>
    <x v="4"/>
    <m/>
    <n v="925"/>
    <s v="Bank Transfer"/>
    <s v="2024-10"/>
    <d v="2025-06-18T00:00:00"/>
    <s v="ACTIVE"/>
    <m/>
    <m/>
    <m/>
    <m/>
  </r>
  <r>
    <n v="1259"/>
    <s v="Donor_099"/>
    <d v="2024-05-27T00:00:00"/>
    <s v="Central"/>
    <x v="2"/>
    <m/>
    <n v="5725"/>
    <s v="Cheque"/>
    <s v="2024-05"/>
    <d v="2025-05-30T00:00:00"/>
    <s v="ACTIVE"/>
    <m/>
    <m/>
    <m/>
    <m/>
  </r>
  <r>
    <n v="487"/>
    <s v="Donor_089"/>
    <d v="2024-05-24T00:00:00"/>
    <s v="North"/>
    <x v="1"/>
    <m/>
    <n v="8174"/>
    <s v="Credit Card"/>
    <s v="2024-05"/>
    <d v="2025-05-16T00:00:00"/>
    <s v="ACTIVE"/>
    <m/>
    <m/>
    <m/>
    <m/>
  </r>
  <r>
    <n v="1761"/>
    <s v="Donor_083"/>
    <d v="2025-01-09T00:00:00"/>
    <s v="North"/>
    <x v="4"/>
    <m/>
    <n v="819"/>
    <s v="Cash"/>
    <s v="2025-01"/>
    <d v="2025-06-21T00:00:00"/>
    <s v="ACTIVE"/>
    <m/>
    <m/>
    <m/>
    <m/>
  </r>
  <r>
    <n v="498"/>
    <s v="Donor_109"/>
    <d v="2025-05-29T00:00:00"/>
    <s v="Central"/>
    <x v="1"/>
    <m/>
    <n v="4368"/>
    <s v="Cash"/>
    <s v="2025-05"/>
    <d v="2025-06-22T00:00:00"/>
    <s v="ACTIVE"/>
    <m/>
    <m/>
    <m/>
    <m/>
  </r>
  <r>
    <n v="1647"/>
    <s v="Donor_071"/>
    <d v="2025-02-26T00:00:00"/>
    <s v="NOT KNOWN"/>
    <x v="3"/>
    <m/>
    <n v="288"/>
    <s v="UPI"/>
    <s v="2025-02"/>
    <d v="2025-06-08T00:00:00"/>
    <s v="ACTIVE"/>
    <m/>
    <m/>
    <m/>
    <m/>
  </r>
  <r>
    <n v="107"/>
    <s v="Donor_023"/>
    <d v="2024-01-17T00:00:00"/>
    <s v="East"/>
    <x v="3"/>
    <m/>
    <n v="1645"/>
    <s v="Cheque"/>
    <s v="2024-01"/>
    <d v="2025-05-24T00:00:00"/>
    <s v="ACTIVE"/>
    <m/>
    <m/>
    <m/>
    <m/>
  </r>
  <r>
    <n v="444"/>
    <s v="Donor_068"/>
    <d v="2025-02-10T00:00:00"/>
    <s v="North"/>
    <x v="3"/>
    <m/>
    <n v="2618"/>
    <s v="UPI"/>
    <s v="2025-02"/>
    <d v="2025-05-16T00:00:00"/>
    <s v="ACTIVE"/>
    <m/>
    <m/>
    <m/>
    <m/>
  </r>
  <r>
    <n v="1513"/>
    <s v="Donor_093"/>
    <d v="2024-01-27T00:00:00"/>
    <s v="South"/>
    <x v="5"/>
    <m/>
    <n v="4758"/>
    <s v="UPI"/>
    <s v="2024-01"/>
    <d v="2025-03-24T00:00:00"/>
    <s v="LAPSED"/>
    <m/>
    <m/>
    <m/>
    <m/>
  </r>
  <r>
    <n v="647"/>
    <s v="Donor_116"/>
    <d v="2025-06-11T00:00:00"/>
    <s v="West"/>
    <x v="5"/>
    <m/>
    <n v="539"/>
    <s v="Cheque"/>
    <s v="2025-06"/>
    <d v="2025-06-11T00:00:00"/>
    <s v="ACTIVE"/>
    <m/>
    <m/>
    <m/>
    <m/>
  </r>
  <r>
    <n v="1037"/>
    <s v="Donor_016"/>
    <d v="2025-03-24T00:00:00"/>
    <s v="NOT KNOWN"/>
    <x v="5"/>
    <m/>
    <n v="4387"/>
    <s v="Cash"/>
    <s v="2025-03"/>
    <d v="2025-06-17T00:00:00"/>
    <s v="ACTIVE"/>
    <m/>
    <m/>
    <m/>
    <m/>
  </r>
  <r>
    <n v="727"/>
    <s v="Donor_089"/>
    <d v="2024-04-30T00:00:00"/>
    <s v="South"/>
    <x v="1"/>
    <m/>
    <n v="244"/>
    <s v="Credit Card"/>
    <s v="2024-04"/>
    <d v="2025-05-16T00:00:00"/>
    <s v="ACTIVE"/>
    <m/>
    <m/>
    <m/>
    <m/>
  </r>
  <r>
    <n v="283"/>
    <s v="Donor_023"/>
    <d v="2024-02-23T00:00:00"/>
    <s v="South"/>
    <x v="0"/>
    <m/>
    <n v="591"/>
    <s v="UPI"/>
    <s v="2024-02"/>
    <d v="2025-05-24T00:00:00"/>
    <s v="ACTIVE"/>
    <m/>
    <m/>
    <m/>
    <m/>
  </r>
  <r>
    <n v="30"/>
    <s v="Donor_078"/>
    <d v="2024-10-15T00:00:00"/>
    <s v="South"/>
    <x v="2"/>
    <m/>
    <n v="4407"/>
    <s v="Bank Transfer"/>
    <s v="2024-10"/>
    <d v="2025-03-13T00:00:00"/>
    <s v="LAPSED"/>
    <m/>
    <m/>
    <m/>
    <m/>
  </r>
  <r>
    <n v="170"/>
    <s v="Donor_031"/>
    <d v="2024-11-22T00:00:00"/>
    <s v="West"/>
    <x v="3"/>
    <m/>
    <n v="2450"/>
    <s v="Credit Card"/>
    <s v="2024-11"/>
    <d v="2025-05-17T00:00:00"/>
    <s v="ACTIVE"/>
    <m/>
    <m/>
    <m/>
    <m/>
  </r>
  <r>
    <n v="1002"/>
    <s v="Donor_039"/>
    <d v="2024-06-15T00:00:00"/>
    <s v="West"/>
    <x v="5"/>
    <m/>
    <n v="1120"/>
    <s v="UPI"/>
    <s v="2024-06"/>
    <d v="2025-04-25T00:00:00"/>
    <s v="ACTIVE"/>
    <m/>
    <m/>
    <m/>
    <m/>
  </r>
  <r>
    <n v="1205"/>
    <s v="Donor_100"/>
    <d v="2024-02-10T00:00:00"/>
    <s v="South"/>
    <x v="0"/>
    <m/>
    <n v="5909"/>
    <s v="Bank Transfer"/>
    <s v="2024-02"/>
    <d v="2025-06-14T00:00:00"/>
    <s v="ACTIVE"/>
    <m/>
    <m/>
    <m/>
    <m/>
  </r>
  <r>
    <n v="101"/>
    <s v="Donor_039"/>
    <d v="2024-02-08T00:00:00"/>
    <s v="West"/>
    <x v="3"/>
    <m/>
    <n v="894"/>
    <s v="Cheque"/>
    <s v="2024-02"/>
    <d v="2025-04-25T00:00:00"/>
    <s v="ACTIVE"/>
    <m/>
    <m/>
    <m/>
    <m/>
  </r>
  <r>
    <n v="198"/>
    <s v="Donor_022"/>
    <d v="2024-06-02T00:00:00"/>
    <s v="East"/>
    <x v="0"/>
    <m/>
    <n v="254"/>
    <s v="Credit Card"/>
    <s v="2024-06"/>
    <d v="2025-06-21T00:00:00"/>
    <s v="ACTIVE"/>
    <m/>
    <m/>
    <m/>
    <m/>
  </r>
  <r>
    <n v="496"/>
    <s v="Donor_098"/>
    <d v="2024-01-31T00:00:00"/>
    <s v="East"/>
    <x v="1"/>
    <m/>
    <n v="691"/>
    <s v="Bank Transfer"/>
    <s v="2024-01"/>
    <d v="2025-06-20T00:00:00"/>
    <s v="ACTIVE"/>
    <m/>
    <m/>
    <m/>
    <m/>
  </r>
  <r>
    <n v="648"/>
    <s v="Donor_104"/>
    <d v="2024-04-10T00:00:00"/>
    <s v="West"/>
    <x v="3"/>
    <m/>
    <n v="1869"/>
    <s v="Cheque"/>
    <s v="2024-04"/>
    <d v="2025-05-08T00:00:00"/>
    <s v="ACTIVE"/>
    <m/>
    <m/>
    <m/>
    <m/>
  </r>
  <r>
    <n v="988"/>
    <s v="Donor_043"/>
    <d v="2025-06-04T00:00:00"/>
    <s v="North"/>
    <x v="1"/>
    <m/>
    <n v="2370"/>
    <s v="UPI"/>
    <s v="2025-06"/>
    <d v="2025-06-13T00:00:00"/>
    <s v="ACTIVE"/>
    <m/>
    <m/>
    <m/>
    <m/>
  </r>
  <r>
    <n v="45"/>
    <s v="Donor_092"/>
    <d v="2024-07-18T00:00:00"/>
    <s v="West"/>
    <x v="1"/>
    <m/>
    <n v="673"/>
    <s v="UPI"/>
    <s v="2024-07"/>
    <d v="2025-05-07T00:00:00"/>
    <s v="ACTIVE"/>
    <m/>
    <m/>
    <m/>
    <m/>
  </r>
  <r>
    <n v="1745"/>
    <s v="Donor_030"/>
    <d v="2024-10-27T00:00:00"/>
    <s v="South"/>
    <x v="0"/>
    <m/>
    <n v="9873"/>
    <s v="Cheque"/>
    <s v="2024-10"/>
    <d v="2025-05-25T00:00:00"/>
    <s v="ACTIVE"/>
    <m/>
    <m/>
    <m/>
    <m/>
  </r>
  <r>
    <n v="711"/>
    <s v="Donor_014"/>
    <d v="2025-06-03T00:00:00"/>
    <s v="South"/>
    <x v="2"/>
    <m/>
    <n v="1148"/>
    <s v="Bank Transfer"/>
    <s v="2025-06"/>
    <d v="2025-06-03T00:00:00"/>
    <s v="ACTIVE"/>
    <m/>
    <m/>
    <m/>
    <m/>
  </r>
  <r>
    <n v="374"/>
    <s v="Donor_113"/>
    <d v="2024-10-19T00:00:00"/>
    <s v="West"/>
    <x v="3"/>
    <m/>
    <n v="8426"/>
    <s v="Cash"/>
    <s v="2024-10"/>
    <d v="2025-04-17T00:00:00"/>
    <s v="ACTIVE"/>
    <m/>
    <m/>
    <m/>
    <m/>
  </r>
  <r>
    <n v="679"/>
    <s v="Donor_112"/>
    <d v="2025-05-26T00:00:00"/>
    <s v="East"/>
    <x v="2"/>
    <m/>
    <n v="5852"/>
    <s v="Bank Transfer"/>
    <s v="2025-05"/>
    <d v="2025-05-26T00:00:00"/>
    <s v="ACTIVE"/>
    <m/>
    <m/>
    <m/>
    <m/>
  </r>
  <r>
    <n v="567"/>
    <s v="Donor_020"/>
    <d v="2025-05-24T00:00:00"/>
    <s v="North"/>
    <x v="3"/>
    <m/>
    <n v="680"/>
    <s v="Bank Transfer"/>
    <s v="2025-05"/>
    <d v="2025-05-31T00:00:00"/>
    <s v="ACTIVE"/>
    <m/>
    <m/>
    <m/>
    <m/>
  </r>
  <r>
    <n v="1673"/>
    <s v="Donor_093"/>
    <d v="2024-09-11T00:00:00"/>
    <s v="East"/>
    <x v="0"/>
    <m/>
    <n v="608"/>
    <s v="Cash"/>
    <s v="2024-09"/>
    <d v="2025-03-24T00:00:00"/>
    <s v="LAPSED"/>
    <m/>
    <m/>
    <m/>
    <m/>
  </r>
  <r>
    <n v="848"/>
    <s v="Donor_090"/>
    <d v="2024-07-18T00:00:00"/>
    <s v="Central"/>
    <x v="1"/>
    <m/>
    <n v="852"/>
    <s v="Cheque"/>
    <s v="2024-07"/>
    <d v="2025-04-25T00:00:00"/>
    <s v="ACTIVE"/>
    <m/>
    <m/>
    <m/>
    <m/>
  </r>
  <r>
    <n v="461"/>
    <s v="Donor_104"/>
    <d v="2024-12-21T00:00:00"/>
    <s v="West"/>
    <x v="2"/>
    <m/>
    <n v="1617"/>
    <s v="Cash"/>
    <s v="2024-12"/>
    <d v="2025-05-08T00:00:00"/>
    <s v="ACTIVE"/>
    <m/>
    <m/>
    <m/>
    <m/>
  </r>
  <r>
    <n v="1438"/>
    <s v="Donor_119"/>
    <d v="2025-05-18T00:00:00"/>
    <s v="West"/>
    <x v="0"/>
    <m/>
    <n v="1924"/>
    <s v="Credit Card"/>
    <s v="2025-05"/>
    <d v="2025-05-18T00:00:00"/>
    <s v="ACTIVE"/>
    <m/>
    <m/>
    <m/>
    <m/>
  </r>
  <r>
    <n v="1156"/>
    <s v="Donor_020"/>
    <d v="2024-01-31T00:00:00"/>
    <s v="Central"/>
    <x v="0"/>
    <m/>
    <n v="1575"/>
    <s v="Cheque"/>
    <s v="2024-01"/>
    <d v="2025-05-31T00:00:00"/>
    <s v="ACTIVE"/>
    <m/>
    <m/>
    <m/>
    <m/>
  </r>
  <r>
    <n v="40"/>
    <s v="Donor_009"/>
    <d v="2025-03-17T00:00:00"/>
    <s v="East"/>
    <x v="0"/>
    <m/>
    <n v="5327"/>
    <s v="UPI"/>
    <s v="2025-03"/>
    <d v="2025-05-15T00:00:00"/>
    <s v="ACTIVE"/>
    <m/>
    <m/>
    <m/>
    <m/>
  </r>
  <r>
    <n v="435"/>
    <s v="Donor_047"/>
    <d v="2025-01-16T00:00:00"/>
    <s v="West"/>
    <x v="5"/>
    <m/>
    <n v="262"/>
    <s v="Credit Card"/>
    <s v="2025-01"/>
    <d v="2025-05-04T00:00:00"/>
    <s v="ACTIVE"/>
    <m/>
    <m/>
    <m/>
    <m/>
  </r>
  <r>
    <n v="974"/>
    <s v="Donor_054"/>
    <d v="2024-10-08T00:00:00"/>
    <s v="NOT KNOWN"/>
    <x v="3"/>
    <m/>
    <n v="261"/>
    <s v="Bank Transfer"/>
    <s v="2024-10"/>
    <d v="2025-06-18T00:00:00"/>
    <s v="ACTIVE"/>
    <m/>
    <m/>
    <m/>
    <m/>
  </r>
  <r>
    <n v="1240"/>
    <s v="Donor_074"/>
    <d v="2024-04-10T00:00:00"/>
    <s v="North"/>
    <x v="3"/>
    <m/>
    <n v="1889"/>
    <s v="Cheque"/>
    <s v="2024-04"/>
    <d v="2025-06-18T00:00:00"/>
    <s v="ACTIVE"/>
    <m/>
    <m/>
    <m/>
    <m/>
  </r>
  <r>
    <n v="1008"/>
    <s v="Donor_013"/>
    <d v="2025-03-23T00:00:00"/>
    <s v="South"/>
    <x v="0"/>
    <m/>
    <n v="323"/>
    <s v="Cheque"/>
    <s v="2025-03"/>
    <d v="2025-04-28T00:00:00"/>
    <s v="ACTIVE"/>
    <m/>
    <m/>
    <m/>
    <m/>
  </r>
  <r>
    <n v="1580"/>
    <s v="Donor_042"/>
    <d v="2024-05-22T00:00:00"/>
    <s v="Central"/>
    <x v="1"/>
    <m/>
    <n v="331"/>
    <s v="UPI"/>
    <s v="2024-05"/>
    <d v="2025-02-10T00:00:00"/>
    <s v="LAPSED"/>
    <m/>
    <m/>
    <m/>
    <m/>
  </r>
  <r>
    <n v="1591"/>
    <s v="Donor_082"/>
    <d v="2024-07-09T00:00:00"/>
    <s v="South"/>
    <x v="2"/>
    <m/>
    <n v="1610"/>
    <s v="Cheque"/>
    <s v="2024-07"/>
    <d v="2025-06-02T00:00:00"/>
    <s v="ACTIVE"/>
    <m/>
    <m/>
    <m/>
    <m/>
  </r>
  <r>
    <n v="1499"/>
    <s v="Donor_081"/>
    <d v="2024-04-09T00:00:00"/>
    <s v="Central"/>
    <x v="3"/>
    <m/>
    <n v="2193"/>
    <s v="Credit Card"/>
    <s v="2024-04"/>
    <d v="2025-06-07T00:00:00"/>
    <s v="ACTIVE"/>
    <m/>
    <m/>
    <m/>
    <m/>
  </r>
  <r>
    <n v="457"/>
    <s v="Donor_016"/>
    <d v="2025-06-17T00:00:00"/>
    <s v="East"/>
    <x v="1"/>
    <m/>
    <n v="2199"/>
    <s v="UPI"/>
    <s v="2025-06"/>
    <d v="2025-06-17T00:00:00"/>
    <s v="ACTIVE"/>
    <m/>
    <m/>
    <m/>
    <m/>
  </r>
  <r>
    <n v="261"/>
    <s v="Donor_094"/>
    <d v="2024-04-05T00:00:00"/>
    <s v="West"/>
    <x v="2"/>
    <m/>
    <n v="5700"/>
    <s v="Cheque"/>
    <s v="2024-04"/>
    <d v="2025-06-19T00:00:00"/>
    <s v="ACTIVE"/>
    <m/>
    <m/>
    <m/>
    <m/>
  </r>
  <r>
    <n v="36"/>
    <s v="Donor_045"/>
    <d v="2025-04-16T00:00:00"/>
    <s v="East"/>
    <x v="4"/>
    <m/>
    <n v="1619"/>
    <s v="Credit Card"/>
    <s v="2025-04"/>
    <d v="2025-05-11T00:00:00"/>
    <s v="ACTIVE"/>
    <m/>
    <m/>
    <m/>
    <m/>
  </r>
  <r>
    <n v="828"/>
    <s v="Donor_116"/>
    <d v="2024-09-22T00:00:00"/>
    <s v="West"/>
    <x v="1"/>
    <m/>
    <n v="1147"/>
    <s v="Credit Card"/>
    <s v="2024-09"/>
    <d v="2025-06-11T00:00:00"/>
    <s v="ACTIVE"/>
    <m/>
    <m/>
    <m/>
    <m/>
  </r>
  <r>
    <n v="310"/>
    <s v="Donor_050"/>
    <d v="2024-02-19T00:00:00"/>
    <s v="West"/>
    <x v="2"/>
    <m/>
    <n v="891"/>
    <s v="Cash"/>
    <s v="2024-02"/>
    <d v="2025-06-18T00:00:00"/>
    <s v="ACTIVE"/>
    <m/>
    <m/>
    <m/>
    <m/>
  </r>
  <r>
    <n v="277"/>
    <s v="Donor_015"/>
    <d v="2025-03-20T00:00:00"/>
    <s v="West"/>
    <x v="0"/>
    <m/>
    <n v="462"/>
    <s v="Credit Card"/>
    <s v="2025-03"/>
    <d v="2025-05-02T00:00:00"/>
    <s v="ACTIVE"/>
    <m/>
    <m/>
    <m/>
    <m/>
  </r>
  <r>
    <n v="637"/>
    <s v="Donor_093"/>
    <d v="2025-03-10T00:00:00"/>
    <s v="West"/>
    <x v="5"/>
    <m/>
    <n v="2756"/>
    <s v="Cash"/>
    <s v="2025-03"/>
    <d v="2025-03-24T00:00:00"/>
    <s v="LAPSED"/>
    <m/>
    <m/>
    <m/>
    <m/>
  </r>
  <r>
    <n v="655"/>
    <s v="Donor_033"/>
    <d v="2024-06-13T00:00:00"/>
    <s v="Central"/>
    <x v="4"/>
    <m/>
    <n v="672"/>
    <s v="Credit Card"/>
    <s v="2024-06"/>
    <d v="2025-06-21T00:00:00"/>
    <s v="ACTIVE"/>
    <m/>
    <m/>
    <m/>
    <m/>
  </r>
  <r>
    <n v="623"/>
    <s v="Donor_118"/>
    <d v="2024-12-14T00:00:00"/>
    <s v="South"/>
    <x v="3"/>
    <m/>
    <n v="1724"/>
    <s v="Credit Card"/>
    <s v="2024-12"/>
    <d v="2025-04-19T00:00:00"/>
    <s v="ACTIVE"/>
    <m/>
    <m/>
    <m/>
    <m/>
  </r>
  <r>
    <n v="845"/>
    <s v="Donor_081"/>
    <d v="2025-05-04T00:00:00"/>
    <s v="South"/>
    <x v="1"/>
    <m/>
    <n v="2704"/>
    <s v="Cash"/>
    <s v="2025-05"/>
    <d v="2025-06-07T00:00:00"/>
    <s v="ACTIVE"/>
    <m/>
    <m/>
    <m/>
    <m/>
  </r>
  <r>
    <n v="394"/>
    <s v="Donor_043"/>
    <d v="2025-05-13T00:00:00"/>
    <s v="East"/>
    <x v="4"/>
    <m/>
    <n v="1680"/>
    <s v="Cheque"/>
    <s v="2025-05"/>
    <d v="2025-06-13T00:00:00"/>
    <s v="ACTIVE"/>
    <m/>
    <m/>
    <m/>
    <m/>
  </r>
  <r>
    <n v="108"/>
    <s v="Donor_058"/>
    <d v="2024-04-21T00:00:00"/>
    <s v="Central"/>
    <x v="4"/>
    <m/>
    <n v="545"/>
    <s v="Cheque"/>
    <s v="2024-04"/>
    <d v="2025-06-22T00:00:00"/>
    <s v="ACTIVE"/>
    <m/>
    <m/>
    <m/>
    <m/>
  </r>
  <r>
    <n v="350"/>
    <s v="Donor_085"/>
    <d v="2024-04-13T00:00:00"/>
    <s v="Central"/>
    <x v="5"/>
    <m/>
    <n v="1451"/>
    <s v="UPI"/>
    <s v="2024-04"/>
    <d v="2025-06-22T00:00:00"/>
    <s v="ACTIVE"/>
    <m/>
    <m/>
    <m/>
    <m/>
  </r>
  <r>
    <n v="525"/>
    <s v="Donor_116"/>
    <d v="2025-05-09T00:00:00"/>
    <s v="Central"/>
    <x v="4"/>
    <m/>
    <n v="1872"/>
    <s v="Cash"/>
    <s v="2025-05"/>
    <d v="2025-06-11T00:00:00"/>
    <s v="ACTIVE"/>
    <m/>
    <m/>
    <m/>
    <m/>
  </r>
  <r>
    <n v="785"/>
    <s v="Donor_044"/>
    <d v="2025-04-17T00:00:00"/>
    <s v="North"/>
    <x v="5"/>
    <m/>
    <n v="1943"/>
    <s v="Cash"/>
    <s v="2025-04"/>
    <d v="2025-05-05T00:00:00"/>
    <s v="ACTIVE"/>
    <m/>
    <m/>
    <m/>
    <m/>
  </r>
  <r>
    <n v="48"/>
    <s v="Donor_108"/>
    <d v="2024-09-10T00:00:00"/>
    <s v="East"/>
    <x v="0"/>
    <m/>
    <n v="315"/>
    <s v="Bank Transfer"/>
    <s v="2024-09"/>
    <d v="2025-05-21T00:00:00"/>
    <s v="ACTIVE"/>
    <m/>
    <m/>
    <m/>
    <m/>
  </r>
  <r>
    <n v="204"/>
    <s v="Donor_106"/>
    <d v="2025-01-23T00:00:00"/>
    <s v="South"/>
    <x v="4"/>
    <m/>
    <n v="282"/>
    <s v="Bank Transfer"/>
    <s v="2025-01"/>
    <d v="2025-06-11T00:00:00"/>
    <s v="ACTIVE"/>
    <m/>
    <m/>
    <m/>
    <m/>
  </r>
  <r>
    <n v="1656"/>
    <s v="Donor_074"/>
    <d v="2024-10-03T00:00:00"/>
    <s v="North"/>
    <x v="5"/>
    <m/>
    <n v="2134"/>
    <s v="UPI"/>
    <s v="2024-10"/>
    <d v="2025-06-18T00:00:00"/>
    <s v="ACTIVE"/>
    <m/>
    <m/>
    <m/>
    <m/>
  </r>
  <r>
    <n v="22"/>
    <s v="Donor_119"/>
    <d v="2024-04-05T00:00:00"/>
    <s v="NOT KNOWN"/>
    <x v="4"/>
    <m/>
    <n v="746"/>
    <s v="Credit Card"/>
    <s v="2024-04"/>
    <d v="2025-05-18T00:00:00"/>
    <s v="ACTIVE"/>
    <m/>
    <m/>
    <m/>
    <m/>
  </r>
  <r>
    <n v="403"/>
    <s v="Donor_075"/>
    <d v="2024-09-26T00:00:00"/>
    <s v="Central"/>
    <x v="0"/>
    <m/>
    <n v="1426"/>
    <s v="Cash"/>
    <s v="2024-09"/>
    <d v="2025-04-29T00:00:00"/>
    <s v="ACTIVE"/>
    <m/>
    <m/>
    <m/>
    <m/>
  </r>
  <r>
    <n v="1108"/>
    <s v="Donor_042"/>
    <d v="2024-01-01T00:00:00"/>
    <s v="North"/>
    <x v="3"/>
    <m/>
    <n v="1507"/>
    <s v="Cash"/>
    <s v="2024-01"/>
    <d v="2025-02-10T00:00:00"/>
    <s v="LAPSED"/>
    <m/>
    <m/>
    <m/>
    <m/>
  </r>
  <r>
    <n v="1155"/>
    <s v="Donor_081"/>
    <d v="2024-03-21T00:00:00"/>
    <s v="West"/>
    <x v="0"/>
    <m/>
    <n v="4166"/>
    <s v="Cheque"/>
    <s v="2024-03"/>
    <d v="2025-06-07T00:00:00"/>
    <s v="ACTIVE"/>
    <m/>
    <m/>
    <m/>
    <m/>
  </r>
  <r>
    <n v="1440"/>
    <s v="Donor_007"/>
    <d v="2024-06-04T00:00:00"/>
    <s v="North"/>
    <x v="1"/>
    <m/>
    <n v="1220"/>
    <s v="Bank Transfer"/>
    <s v="2024-06"/>
    <d v="2025-06-21T00:00:00"/>
    <s v="ACTIVE"/>
    <m/>
    <m/>
    <m/>
    <m/>
  </r>
  <r>
    <n v="990"/>
    <s v="Donor_015"/>
    <d v="2024-08-12T00:00:00"/>
    <s v="North"/>
    <x v="3"/>
    <m/>
    <n v="2239"/>
    <s v="Cheque"/>
    <s v="2024-08"/>
    <d v="2025-05-02T00:00:00"/>
    <s v="ACTIVE"/>
    <m/>
    <m/>
    <m/>
    <m/>
  </r>
  <r>
    <n v="742"/>
    <s v="Donor_117"/>
    <d v="2025-03-09T00:00:00"/>
    <s v="Central"/>
    <x v="1"/>
    <m/>
    <n v="400"/>
    <s v="Cash"/>
    <s v="2025-03"/>
    <d v="2025-04-05T00:00:00"/>
    <s v="ACTIVE"/>
    <m/>
    <m/>
    <m/>
    <m/>
  </r>
  <r>
    <n v="1722"/>
    <s v="Donor_025"/>
    <d v="2024-05-21T00:00:00"/>
    <s v="NOT KNOWN"/>
    <x v="5"/>
    <m/>
    <n v="860"/>
    <s v="Cheque"/>
    <s v="2024-05"/>
    <d v="2025-06-07T00:00:00"/>
    <s v="ACTIVE"/>
    <m/>
    <m/>
    <m/>
    <m/>
  </r>
  <r>
    <n v="1311"/>
    <s v="Donor_111"/>
    <d v="2024-11-22T00:00:00"/>
    <s v="Central"/>
    <x v="3"/>
    <m/>
    <n v="562"/>
    <s v="UPI"/>
    <s v="2024-11"/>
    <d v="2025-04-26T00:00:00"/>
    <s v="ACTIVE"/>
    <m/>
    <m/>
    <m/>
    <m/>
  </r>
  <r>
    <n v="1148"/>
    <s v="Donor_049"/>
    <d v="2024-04-13T00:00:00"/>
    <s v="Central"/>
    <x v="2"/>
    <m/>
    <n v="935"/>
    <s v="Bank Transfer"/>
    <s v="2024-04"/>
    <d v="2025-06-19T00:00:00"/>
    <s v="ACTIVE"/>
    <m/>
    <m/>
    <m/>
    <m/>
  </r>
  <r>
    <n v="34"/>
    <s v="Donor_080"/>
    <d v="2025-02-20T00:00:00"/>
    <s v="South"/>
    <x v="4"/>
    <m/>
    <n v="1786"/>
    <s v="Credit Card"/>
    <s v="2025-02"/>
    <d v="2025-05-11T00:00:00"/>
    <s v="ACTIVE"/>
    <m/>
    <m/>
    <m/>
    <m/>
  </r>
  <r>
    <n v="788"/>
    <s v="Donor_049"/>
    <d v="2025-02-04T00:00:00"/>
    <s v="South"/>
    <x v="1"/>
    <m/>
    <n v="1014"/>
    <s v="Credit Card"/>
    <s v="2025-02"/>
    <d v="2025-06-19T00:00:00"/>
    <s v="ACTIVE"/>
    <m/>
    <m/>
    <m/>
    <m/>
  </r>
  <r>
    <n v="1541"/>
    <s v="Donor_015"/>
    <d v="2024-04-08T00:00:00"/>
    <s v="South"/>
    <x v="1"/>
    <m/>
    <n v="588"/>
    <s v="Credit Card"/>
    <s v="2024-04"/>
    <d v="2025-05-02T00:00:00"/>
    <s v="ACTIVE"/>
    <m/>
    <m/>
    <m/>
    <m/>
  </r>
  <r>
    <n v="924"/>
    <s v="Donor_055"/>
    <d v="2024-08-20T00:00:00"/>
    <s v="South"/>
    <x v="5"/>
    <m/>
    <n v="1009"/>
    <s v="Credit Card"/>
    <s v="2024-08"/>
    <d v="2025-05-11T00:00:00"/>
    <s v="ACTIVE"/>
    <m/>
    <m/>
    <m/>
    <m/>
  </r>
  <r>
    <n v="1044"/>
    <s v="Donor_039"/>
    <d v="2025-01-28T00:00:00"/>
    <s v="North"/>
    <x v="3"/>
    <m/>
    <n v="2855"/>
    <s v="Cash"/>
    <s v="2025-01"/>
    <d v="2025-04-25T00:00:00"/>
    <s v="ACTIVE"/>
    <m/>
    <m/>
    <m/>
    <m/>
  </r>
  <r>
    <n v="1742"/>
    <s v="Donor_001"/>
    <d v="2025-01-15T00:00:00"/>
    <s v="Central"/>
    <x v="4"/>
    <m/>
    <n v="346"/>
    <s v="UPI"/>
    <s v="2025-01"/>
    <d v="2025-05-18T00:00:00"/>
    <s v="ACTIVE"/>
    <m/>
    <m/>
    <m/>
    <m/>
  </r>
  <r>
    <n v="1244"/>
    <s v="Donor_027"/>
    <d v="2024-06-13T00:00:00"/>
    <s v="Central"/>
    <x v="0"/>
    <m/>
    <n v="5481"/>
    <s v="Bank Transfer"/>
    <s v="2024-06"/>
    <d v="2025-06-06T00:00:00"/>
    <s v="ACTIVE"/>
    <m/>
    <m/>
    <m/>
    <m/>
  </r>
  <r>
    <n v="580"/>
    <s v="Donor_031"/>
    <d v="2025-02-25T00:00:00"/>
    <s v="South"/>
    <x v="0"/>
    <m/>
    <n v="519"/>
    <s v="Cash"/>
    <s v="2025-02"/>
    <d v="2025-05-17T00:00:00"/>
    <s v="ACTIVE"/>
    <m/>
    <m/>
    <m/>
    <m/>
  </r>
  <r>
    <n v="482"/>
    <s v="Donor_051"/>
    <d v="2025-05-14T00:00:00"/>
    <s v="Central"/>
    <x v="4"/>
    <m/>
    <n v="10464"/>
    <s v="Cheque"/>
    <s v="2025-05"/>
    <d v="2025-06-11T00:00:00"/>
    <s v="ACTIVE"/>
    <m/>
    <m/>
    <m/>
    <m/>
  </r>
  <r>
    <n v="932"/>
    <s v="Donor_120"/>
    <d v="2025-06-19T00:00:00"/>
    <s v="East"/>
    <x v="1"/>
    <m/>
    <n v="1403"/>
    <s v="Bank Transfer"/>
    <s v="2025-06"/>
    <d v="2025-06-19T00:00:00"/>
    <s v="ACTIVE"/>
    <m/>
    <m/>
    <m/>
    <m/>
  </r>
  <r>
    <n v="357"/>
    <s v="Donor_015"/>
    <d v="2024-06-19T00:00:00"/>
    <s v="South"/>
    <x v="2"/>
    <m/>
    <n v="596"/>
    <s v="Credit Card"/>
    <s v="2024-06"/>
    <d v="2025-05-02T00:00:00"/>
    <s v="ACTIVE"/>
    <m/>
    <m/>
    <m/>
    <m/>
  </r>
  <r>
    <n v="1686"/>
    <s v="Donor_076"/>
    <d v="2024-12-14T00:00:00"/>
    <s v="East"/>
    <x v="5"/>
    <m/>
    <n v="422"/>
    <s v="Cheque"/>
    <s v="2024-12"/>
    <d v="2025-06-08T00:00:00"/>
    <s v="ACTIVE"/>
    <m/>
    <m/>
    <m/>
    <m/>
  </r>
  <r>
    <n v="1249"/>
    <s v="Donor_069"/>
    <d v="2024-12-14T00:00:00"/>
    <s v="East"/>
    <x v="1"/>
    <m/>
    <n v="1753"/>
    <s v="UPI"/>
    <s v="2024-12"/>
    <d v="2025-06-13T00:00:00"/>
    <s v="ACTIVE"/>
    <m/>
    <m/>
    <m/>
    <m/>
  </r>
  <r>
    <n v="760"/>
    <s v="Donor_072"/>
    <d v="2024-02-27T00:00:00"/>
    <s v="North"/>
    <x v="5"/>
    <m/>
    <n v="721"/>
    <s v="Cheque"/>
    <s v="2024-02"/>
    <d v="2025-04-13T00:00:00"/>
    <s v="ACTIVE"/>
    <m/>
    <m/>
    <m/>
    <m/>
  </r>
  <r>
    <n v="93"/>
    <s v="Donor_014"/>
    <d v="2025-05-09T00:00:00"/>
    <s v="NOT KNOWN"/>
    <x v="1"/>
    <m/>
    <n v="5150"/>
    <s v="Bank Transfer"/>
    <s v="2025-05"/>
    <d v="2025-06-03T00:00:00"/>
    <s v="ACTIVE"/>
    <m/>
    <m/>
    <m/>
    <m/>
  </r>
  <r>
    <n v="1176"/>
    <s v="Donor_020"/>
    <d v="2024-08-17T00:00:00"/>
    <s v="NOT KNOWN"/>
    <x v="0"/>
    <m/>
    <n v="1060"/>
    <s v="Bank Transfer"/>
    <s v="2024-08"/>
    <d v="2025-05-31T00:00:00"/>
    <s v="ACTIVE"/>
    <m/>
    <m/>
    <m/>
    <m/>
  </r>
  <r>
    <n v="1416"/>
    <s v="Donor_101"/>
    <d v="2024-09-08T00:00:00"/>
    <s v="North"/>
    <x v="5"/>
    <m/>
    <n v="1660"/>
    <s v="Cheque"/>
    <s v="2024-09"/>
    <d v="2025-05-11T00:00:00"/>
    <s v="ACTIVE"/>
    <m/>
    <m/>
    <m/>
    <m/>
  </r>
  <r>
    <n v="1342"/>
    <s v="Donor_097"/>
    <d v="2024-12-17T00:00:00"/>
    <s v="North"/>
    <x v="1"/>
    <m/>
    <n v="764"/>
    <s v="Cheque"/>
    <s v="2024-12"/>
    <d v="2025-06-04T00:00:00"/>
    <s v="ACTIVE"/>
    <m/>
    <m/>
    <m/>
    <m/>
  </r>
  <r>
    <n v="1473"/>
    <s v="Donor_040"/>
    <d v="2024-10-10T00:00:00"/>
    <s v="Central"/>
    <x v="0"/>
    <m/>
    <n v="1125"/>
    <s v="Cheque"/>
    <s v="2024-10"/>
    <d v="2025-05-15T00:00:00"/>
    <s v="ACTIVE"/>
    <m/>
    <m/>
    <m/>
    <m/>
  </r>
  <r>
    <n v="804"/>
    <s v="Donor_113"/>
    <d v="2024-08-13T00:00:00"/>
    <s v="North"/>
    <x v="2"/>
    <m/>
    <n v="1634"/>
    <s v="UPI"/>
    <s v="2024-08"/>
    <d v="2025-04-17T00:00:00"/>
    <s v="ACTIVE"/>
    <m/>
    <m/>
    <m/>
    <m/>
  </r>
  <r>
    <n v="746"/>
    <s v="Donor_035"/>
    <d v="2025-04-08T00:00:00"/>
    <s v="South"/>
    <x v="2"/>
    <m/>
    <n v="4683"/>
    <s v="Cash"/>
    <s v="2025-04"/>
    <d v="2025-06-15T00:00:00"/>
    <s v="ACTIVE"/>
    <m/>
    <m/>
    <m/>
    <m/>
  </r>
  <r>
    <n v="1547"/>
    <s v="Donor_078"/>
    <d v="2024-01-19T00:00:00"/>
    <s v="North"/>
    <x v="0"/>
    <m/>
    <n v="5986"/>
    <s v="Cheque"/>
    <s v="2024-01"/>
    <d v="2025-03-13T00:00:00"/>
    <s v="LAPSED"/>
    <m/>
    <m/>
    <m/>
    <m/>
  </r>
  <r>
    <n v="280"/>
    <s v="Donor_048"/>
    <d v="2024-06-19T00:00:00"/>
    <s v="South"/>
    <x v="5"/>
    <m/>
    <n v="1158"/>
    <s v="UPI"/>
    <s v="2024-06"/>
    <d v="2025-06-08T00:00:00"/>
    <s v="ACTIVE"/>
    <m/>
    <m/>
    <m/>
    <m/>
  </r>
  <r>
    <n v="1608"/>
    <s v="Donor_072"/>
    <d v="2025-03-11T00:00:00"/>
    <s v="South"/>
    <x v="2"/>
    <m/>
    <n v="914"/>
    <s v="Bank Transfer"/>
    <s v="2025-03"/>
    <d v="2025-04-13T00:00:00"/>
    <s v="ACTIVE"/>
    <m/>
    <m/>
    <m/>
    <m/>
  </r>
  <r>
    <n v="765"/>
    <s v="Donor_002"/>
    <d v="2025-01-12T00:00:00"/>
    <s v="Central"/>
    <x v="0"/>
    <m/>
    <n v="1234"/>
    <s v="Cheque"/>
    <s v="2025-01"/>
    <d v="2025-04-12T00:00:00"/>
    <s v="ACTIVE"/>
    <m/>
    <m/>
    <m/>
    <m/>
  </r>
  <r>
    <n v="605"/>
    <s v="Donor_019"/>
    <d v="2024-02-18T00:00:00"/>
    <s v="East"/>
    <x v="5"/>
    <m/>
    <n v="355"/>
    <s v="Cheque"/>
    <s v="2024-02"/>
    <d v="2025-05-28T00:00:00"/>
    <s v="ACTIVE"/>
    <m/>
    <m/>
    <m/>
    <m/>
  </r>
  <r>
    <n v="1793"/>
    <s v="Donor_059"/>
    <d v="2025-02-06T00:00:00"/>
    <s v="North"/>
    <x v="1"/>
    <m/>
    <n v="2160"/>
    <s v="Credit Card"/>
    <s v="2025-02"/>
    <d v="2025-06-16T00:00:00"/>
    <s v="ACTIVE"/>
    <m/>
    <m/>
    <m/>
    <m/>
  </r>
  <r>
    <n v="1374"/>
    <s v="Donor_049"/>
    <d v="2025-04-10T00:00:00"/>
    <s v="East"/>
    <x v="4"/>
    <m/>
    <n v="244"/>
    <s v="Bank Transfer"/>
    <s v="2025-04"/>
    <d v="2025-06-19T00:00:00"/>
    <s v="ACTIVE"/>
    <m/>
    <m/>
    <m/>
    <m/>
  </r>
  <r>
    <n v="1399"/>
    <s v="Donor_055"/>
    <d v="2024-02-22T00:00:00"/>
    <s v="West"/>
    <x v="0"/>
    <m/>
    <n v="991"/>
    <s v="Cash"/>
    <s v="2024-02"/>
    <d v="2025-05-11T00:00:00"/>
    <s v="ACTIVE"/>
    <m/>
    <m/>
    <m/>
    <m/>
  </r>
  <r>
    <n v="401"/>
    <s v="Donor_046"/>
    <d v="2025-05-10T00:00:00"/>
    <s v="North"/>
    <x v="4"/>
    <m/>
    <n v="268"/>
    <s v="Bank Transfer"/>
    <s v="2025-05"/>
    <d v="2025-05-10T00:00:00"/>
    <s v="ACTIVE"/>
    <m/>
    <m/>
    <m/>
    <m/>
  </r>
  <r>
    <n v="1729"/>
    <s v="Donor_101"/>
    <d v="2025-05-11T00:00:00"/>
    <s v="Central"/>
    <x v="3"/>
    <m/>
    <n v="4061"/>
    <s v="Cheque"/>
    <s v="2025-05"/>
    <d v="2025-05-11T00:00:00"/>
    <s v="ACTIVE"/>
    <m/>
    <m/>
    <m/>
    <m/>
  </r>
  <r>
    <n v="258"/>
    <s v="Donor_074"/>
    <d v="2024-10-23T00:00:00"/>
    <s v="East"/>
    <x v="0"/>
    <m/>
    <n v="854"/>
    <s v="Cash"/>
    <s v="2024-10"/>
    <d v="2025-06-18T00:00:00"/>
    <s v="ACTIVE"/>
    <m/>
    <m/>
    <m/>
    <m/>
  </r>
  <r>
    <n v="945"/>
    <s v="Donor_090"/>
    <d v="2024-06-13T00:00:00"/>
    <s v="West"/>
    <x v="5"/>
    <m/>
    <n v="847"/>
    <s v="Cheque"/>
    <s v="2024-06"/>
    <d v="2025-04-25T00:00:00"/>
    <s v="ACTIVE"/>
    <m/>
    <m/>
    <m/>
    <m/>
  </r>
  <r>
    <n v="1097"/>
    <s v="Donor_035"/>
    <d v="2024-01-06T00:00:00"/>
    <s v="South"/>
    <x v="0"/>
    <m/>
    <n v="305"/>
    <s v="Bank Transfer"/>
    <s v="2024-01"/>
    <d v="2025-06-15T00:00:00"/>
    <s v="ACTIVE"/>
    <m/>
    <m/>
    <m/>
    <m/>
  </r>
  <r>
    <n v="1220"/>
    <s v="Donor_043"/>
    <d v="2024-11-04T00:00:00"/>
    <s v="West"/>
    <x v="2"/>
    <m/>
    <n v="10068"/>
    <s v="Bank Transfer"/>
    <s v="2024-11"/>
    <d v="2025-06-13T00:00:00"/>
    <s v="ACTIVE"/>
    <m/>
    <m/>
    <m/>
    <m/>
  </r>
  <r>
    <n v="1508"/>
    <s v="Donor_110"/>
    <d v="2025-06-04T00:00:00"/>
    <s v="Central"/>
    <x v="0"/>
    <m/>
    <n v="897"/>
    <s v="Cheque"/>
    <s v="2025-06"/>
    <d v="2025-06-04T00:00:00"/>
    <s v="ACTIVE"/>
    <m/>
    <m/>
    <m/>
    <m/>
  </r>
  <r>
    <n v="1162"/>
    <s v="Donor_003"/>
    <d v="2025-02-22T00:00:00"/>
    <s v="East"/>
    <x v="0"/>
    <m/>
    <n v="1733"/>
    <s v="Cash"/>
    <s v="2025-02"/>
    <d v="2025-05-08T00:00:00"/>
    <s v="ACTIVE"/>
    <m/>
    <m/>
    <m/>
    <m/>
  </r>
  <r>
    <n v="495"/>
    <s v="Donor_084"/>
    <d v="2024-05-28T00:00:00"/>
    <s v="Central"/>
    <x v="4"/>
    <m/>
    <n v="4136"/>
    <s v="Cheque"/>
    <s v="2024-05"/>
    <d v="2025-05-13T00:00:00"/>
    <s v="ACTIVE"/>
    <m/>
    <m/>
    <m/>
    <m/>
  </r>
  <r>
    <n v="773"/>
    <s v="Donor_113"/>
    <d v="2025-03-20T00:00:00"/>
    <s v="North"/>
    <x v="3"/>
    <m/>
    <n v="1730"/>
    <s v="Credit Card"/>
    <s v="2025-03"/>
    <d v="2025-04-17T00:00:00"/>
    <s v="ACTIVE"/>
    <m/>
    <m/>
    <m/>
    <m/>
  </r>
  <r>
    <n v="551"/>
    <s v="Donor_103"/>
    <d v="2024-12-27T00:00:00"/>
    <s v="East"/>
    <x v="5"/>
    <m/>
    <n v="1221"/>
    <s v="Cheque"/>
    <s v="2024-12"/>
    <d v="2025-02-25T00:00:00"/>
    <s v="LAPSED"/>
    <m/>
    <m/>
    <m/>
    <m/>
  </r>
  <r>
    <n v="1487"/>
    <s v="Donor_035"/>
    <d v="2025-02-03T00:00:00"/>
    <s v="South"/>
    <x v="1"/>
    <m/>
    <n v="1951"/>
    <s v="Credit Card"/>
    <s v="2025-02"/>
    <d v="2025-06-15T00:00:00"/>
    <s v="ACTIVE"/>
    <m/>
    <m/>
    <m/>
    <m/>
  </r>
  <r>
    <n v="202"/>
    <s v="Donor_058"/>
    <d v="2025-01-26T00:00:00"/>
    <s v="West"/>
    <x v="1"/>
    <m/>
    <n v="1073"/>
    <s v="Cheque"/>
    <s v="2025-01"/>
    <d v="2025-06-22T00:00:00"/>
    <s v="ACTIVE"/>
    <m/>
    <m/>
    <m/>
    <m/>
  </r>
  <r>
    <n v="313"/>
    <s v="Donor_091"/>
    <d v="2025-05-09T00:00:00"/>
    <s v="North"/>
    <x v="1"/>
    <m/>
    <n v="1564"/>
    <s v="Cash"/>
    <s v="2025-05"/>
    <d v="2025-05-16T00:00:00"/>
    <s v="ACTIVE"/>
    <m/>
    <m/>
    <m/>
    <m/>
  </r>
  <r>
    <n v="291"/>
    <s v="Donor_034"/>
    <d v="2025-04-19T00:00:00"/>
    <s v="North"/>
    <x v="3"/>
    <m/>
    <n v="1685"/>
    <s v="Bank Transfer"/>
    <s v="2025-04"/>
    <d v="2025-06-21T00:00:00"/>
    <s v="ACTIVE"/>
    <m/>
    <m/>
    <m/>
    <m/>
  </r>
  <r>
    <n v="1214"/>
    <s v="Donor_047"/>
    <d v="2024-07-04T00:00:00"/>
    <s v="North"/>
    <x v="4"/>
    <m/>
    <n v="500"/>
    <s v="Bank Transfer"/>
    <s v="2024-07"/>
    <d v="2025-05-04T00:00:00"/>
    <s v="ACTIVE"/>
    <m/>
    <m/>
    <m/>
    <m/>
  </r>
  <r>
    <n v="764"/>
    <s v="Donor_075"/>
    <d v="2024-11-15T00:00:00"/>
    <s v="West"/>
    <x v="0"/>
    <m/>
    <n v="4622"/>
    <s v="Cheque"/>
    <s v="2024-11"/>
    <d v="2025-04-29T00:00:00"/>
    <s v="ACTIVE"/>
    <m/>
    <m/>
    <m/>
    <m/>
  </r>
  <r>
    <n v="1137"/>
    <s v="Donor_044"/>
    <d v="2025-01-05T00:00:00"/>
    <s v="Central"/>
    <x v="3"/>
    <m/>
    <n v="874"/>
    <s v="Credit Card"/>
    <s v="2025-01"/>
    <d v="2025-05-05T00:00:00"/>
    <s v="ACTIVE"/>
    <m/>
    <m/>
    <m/>
    <m/>
  </r>
  <r>
    <n v="950"/>
    <s v="Donor_015"/>
    <d v="2024-12-09T00:00:00"/>
    <s v="South"/>
    <x v="1"/>
    <m/>
    <n v="712"/>
    <s v="Cheque"/>
    <s v="2024-12"/>
    <d v="2025-05-02T00:00:00"/>
    <s v="ACTIVE"/>
    <m/>
    <m/>
    <m/>
    <m/>
  </r>
  <r>
    <n v="184"/>
    <s v="Donor_037"/>
    <d v="2024-10-07T00:00:00"/>
    <s v="North"/>
    <x v="0"/>
    <m/>
    <n v="9519"/>
    <s v="Cash"/>
    <s v="2024-10"/>
    <d v="2025-05-23T00:00:00"/>
    <s v="ACTIVE"/>
    <m/>
    <m/>
    <m/>
    <m/>
  </r>
  <r>
    <n v="1177"/>
    <s v="Donor_115"/>
    <d v="2025-06-20T00:00:00"/>
    <s v="South"/>
    <x v="2"/>
    <m/>
    <n v="1891"/>
    <s v="UPI"/>
    <s v="2025-06"/>
    <d v="2025-06-20T00:00:00"/>
    <s v="ACTIVE"/>
    <m/>
    <m/>
    <m/>
    <m/>
  </r>
  <r>
    <n v="1350"/>
    <s v="Donor_107"/>
    <d v="2024-11-01T00:00:00"/>
    <s v="South"/>
    <x v="0"/>
    <m/>
    <n v="2361"/>
    <s v="UPI"/>
    <s v="2024-11"/>
    <d v="2025-03-18T00:00:00"/>
    <s v="LAPSED"/>
    <m/>
    <m/>
    <m/>
    <m/>
  </r>
  <r>
    <n v="1728"/>
    <s v="Donor_068"/>
    <d v="2024-01-16T00:00:00"/>
    <s v="South"/>
    <x v="0"/>
    <m/>
    <n v="767"/>
    <s v="Cheque"/>
    <s v="2024-01"/>
    <d v="2025-05-16T00:00:00"/>
    <s v="ACTIVE"/>
    <m/>
    <m/>
    <m/>
    <m/>
  </r>
  <r>
    <n v="1069"/>
    <s v="Donor_030"/>
    <d v="2024-04-09T00:00:00"/>
    <s v="East"/>
    <x v="1"/>
    <m/>
    <n v="4097"/>
    <s v="Cheque"/>
    <s v="2024-04"/>
    <d v="2025-05-25T00:00:00"/>
    <s v="ACTIVE"/>
    <m/>
    <m/>
    <m/>
    <m/>
  </r>
  <r>
    <n v="1469"/>
    <s v="Donor_032"/>
    <d v="2024-11-20T00:00:00"/>
    <s v="East"/>
    <x v="0"/>
    <m/>
    <n v="688"/>
    <s v="UPI"/>
    <s v="2024-11"/>
    <d v="2025-04-29T00:00:00"/>
    <s v="ACTIVE"/>
    <m/>
    <m/>
    <m/>
    <m/>
  </r>
  <r>
    <n v="1031"/>
    <s v="Donor_009"/>
    <d v="2025-01-01T00:00:00"/>
    <s v="South"/>
    <x v="5"/>
    <m/>
    <n v="1014"/>
    <s v="Credit Card"/>
    <s v="2025-01"/>
    <d v="2025-05-15T00:00:00"/>
    <s v="ACTIVE"/>
    <m/>
    <m/>
    <m/>
    <m/>
  </r>
  <r>
    <n v="251"/>
    <s v="Donor_072"/>
    <d v="2024-06-26T00:00:00"/>
    <s v="South"/>
    <x v="1"/>
    <m/>
    <n v="2140"/>
    <s v="Bank Transfer"/>
    <s v="2024-06"/>
    <d v="2025-04-13T00:00:00"/>
    <s v="ACTIVE"/>
    <m/>
    <m/>
    <m/>
    <m/>
  </r>
  <r>
    <n v="824"/>
    <s v="Donor_107"/>
    <d v="2024-06-18T00:00:00"/>
    <s v="West"/>
    <x v="5"/>
    <m/>
    <n v="2501"/>
    <s v="Cheque"/>
    <s v="2024-06"/>
    <d v="2025-03-18T00:00:00"/>
    <s v="LAPSED"/>
    <m/>
    <m/>
    <m/>
    <m/>
  </r>
  <r>
    <n v="1100"/>
    <s v="Donor_016"/>
    <d v="2024-10-30T00:00:00"/>
    <s v="West"/>
    <x v="5"/>
    <m/>
    <n v="2522"/>
    <s v="Cheque"/>
    <s v="2024-10"/>
    <d v="2025-06-17T00:00:00"/>
    <s v="ACTIVE"/>
    <m/>
    <m/>
    <m/>
    <m/>
  </r>
  <r>
    <n v="1537"/>
    <s v="Donor_014"/>
    <d v="2024-10-20T00:00:00"/>
    <s v="Central"/>
    <x v="5"/>
    <m/>
    <n v="1785"/>
    <s v="Cheque"/>
    <s v="2024-10"/>
    <d v="2025-06-03T00:00:00"/>
    <s v="ACTIVE"/>
    <m/>
    <m/>
    <m/>
    <m/>
  </r>
  <r>
    <n v="941"/>
    <s v="Donor_015"/>
    <d v="2025-05-02T00:00:00"/>
    <s v="East"/>
    <x v="1"/>
    <m/>
    <n v="509"/>
    <s v="Cash"/>
    <s v="2025-05"/>
    <d v="2025-05-02T00:00:00"/>
    <s v="ACTIVE"/>
    <m/>
    <m/>
    <m/>
    <m/>
  </r>
  <r>
    <n v="392"/>
    <s v="Donor_040"/>
    <d v="2024-03-28T00:00:00"/>
    <s v="South"/>
    <x v="2"/>
    <m/>
    <n v="4423"/>
    <s v="Cheque"/>
    <s v="2024-03"/>
    <d v="2025-05-15T00:00:00"/>
    <s v="ACTIVE"/>
    <m/>
    <m/>
    <m/>
    <m/>
  </r>
  <r>
    <n v="1457"/>
    <s v="Donor_099"/>
    <d v="2024-11-09T00:00:00"/>
    <s v="Central"/>
    <x v="2"/>
    <m/>
    <n v="499"/>
    <s v="Cheque"/>
    <s v="2024-11"/>
    <d v="2025-05-30T00:00:00"/>
    <s v="ACTIVE"/>
    <m/>
    <m/>
    <m/>
    <m/>
  </r>
  <r>
    <n v="1093"/>
    <s v="Donor_049"/>
    <d v="2024-09-07T00:00:00"/>
    <s v="North"/>
    <x v="1"/>
    <m/>
    <n v="885"/>
    <s v="Cheque"/>
    <s v="2024-09"/>
    <d v="2025-06-19T00:00:00"/>
    <s v="ACTIVE"/>
    <m/>
    <m/>
    <m/>
    <m/>
  </r>
  <r>
    <n v="1192"/>
    <s v="Donor_080"/>
    <d v="2024-08-08T00:00:00"/>
    <s v="Central"/>
    <x v="1"/>
    <m/>
    <n v="2107"/>
    <s v="Credit Card"/>
    <s v="2024-08"/>
    <d v="2025-05-11T00:00:00"/>
    <s v="ACTIVE"/>
    <m/>
    <m/>
    <m/>
    <m/>
  </r>
  <r>
    <n v="905"/>
    <s v="Donor_009"/>
    <d v="2024-07-11T00:00:00"/>
    <s v="South"/>
    <x v="3"/>
    <m/>
    <n v="674"/>
    <s v="Cash"/>
    <s v="2024-07"/>
    <d v="2025-05-15T00:00:00"/>
    <s v="ACTIVE"/>
    <m/>
    <m/>
    <m/>
    <m/>
  </r>
  <r>
    <n v="731"/>
    <s v="Donor_098"/>
    <d v="2024-05-15T00:00:00"/>
    <s v="South"/>
    <x v="0"/>
    <m/>
    <n v="331"/>
    <s v="Cash"/>
    <s v="2024-05"/>
    <d v="2025-06-20T00:00:00"/>
    <s v="ACTIVE"/>
    <m/>
    <m/>
    <m/>
    <m/>
  </r>
  <r>
    <n v="555"/>
    <s v="Donor_019"/>
    <d v="2024-03-27T00:00:00"/>
    <s v="Central"/>
    <x v="4"/>
    <m/>
    <n v="330"/>
    <s v="Cash"/>
    <s v="2024-03"/>
    <d v="2025-05-28T00:00:00"/>
    <s v="ACTIVE"/>
    <m/>
    <m/>
    <m/>
    <m/>
  </r>
  <r>
    <n v="367"/>
    <s v="Donor_018"/>
    <d v="2025-05-19T00:00:00"/>
    <s v="West"/>
    <x v="3"/>
    <m/>
    <n v="2611"/>
    <s v="Credit Card"/>
    <s v="2025-05"/>
    <d v="2025-06-16T00:00:00"/>
    <s v="ACTIVE"/>
    <m/>
    <m/>
    <m/>
    <m/>
  </r>
  <r>
    <n v="346"/>
    <s v="Donor_059"/>
    <d v="2024-10-24T00:00:00"/>
    <s v="Central"/>
    <x v="0"/>
    <m/>
    <n v="9351"/>
    <s v="Credit Card"/>
    <s v="2024-10"/>
    <d v="2025-06-16T00:00:00"/>
    <s v="ACTIVE"/>
    <m/>
    <m/>
    <m/>
    <m/>
  </r>
  <r>
    <n v="1609"/>
    <s v="Donor_019"/>
    <d v="2025-05-17T00:00:00"/>
    <s v="West"/>
    <x v="2"/>
    <m/>
    <n v="1938"/>
    <s v="Cash"/>
    <s v="2025-05"/>
    <d v="2025-05-28T00:00:00"/>
    <s v="ACTIVE"/>
    <m/>
    <m/>
    <m/>
    <m/>
  </r>
  <r>
    <n v="536"/>
    <s v="Donor_042"/>
    <d v="2024-04-19T00:00:00"/>
    <s v="Central"/>
    <x v="2"/>
    <m/>
    <n v="1117"/>
    <s v="Cheque"/>
    <s v="2024-04"/>
    <d v="2025-02-10T00:00:00"/>
    <s v="LAPSED"/>
    <m/>
    <m/>
    <m/>
    <m/>
  </r>
  <r>
    <n v="1423"/>
    <s v="Donor_063"/>
    <d v="2024-09-15T00:00:00"/>
    <s v="West"/>
    <x v="1"/>
    <m/>
    <n v="285"/>
    <s v="Credit Card"/>
    <s v="2024-09"/>
    <d v="2025-04-20T00:00:00"/>
    <s v="ACTIVE"/>
    <m/>
    <m/>
    <m/>
    <m/>
  </r>
  <r>
    <n v="1210"/>
    <s v="Donor_103"/>
    <d v="2025-01-24T00:00:00"/>
    <s v="West"/>
    <x v="1"/>
    <m/>
    <n v="942"/>
    <s v="Bank Transfer"/>
    <s v="2025-01"/>
    <d v="2025-02-25T00:00:00"/>
    <s v="LAPSED"/>
    <m/>
    <m/>
    <m/>
    <m/>
  </r>
  <r>
    <n v="1373"/>
    <s v="Donor_005"/>
    <d v="2025-01-24T00:00:00"/>
    <s v="West"/>
    <x v="3"/>
    <m/>
    <n v="270"/>
    <s v="UPI"/>
    <s v="2025-01"/>
    <d v="2025-06-10T00:00:00"/>
    <s v="ACTIVE"/>
    <m/>
    <m/>
    <m/>
    <m/>
  </r>
  <r>
    <n v="1640"/>
    <s v="Donor_109"/>
    <d v="2024-08-05T00:00:00"/>
    <s v="North"/>
    <x v="5"/>
    <m/>
    <n v="1155"/>
    <s v="Credit Card"/>
    <s v="2024-08"/>
    <d v="2025-06-22T00:00:00"/>
    <s v="ACTIVE"/>
    <m/>
    <m/>
    <m/>
    <m/>
  </r>
  <r>
    <n v="920"/>
    <s v="Donor_048"/>
    <d v="2025-03-10T00:00:00"/>
    <s v="North"/>
    <x v="2"/>
    <m/>
    <n v="1065"/>
    <s v="UPI"/>
    <s v="2025-03"/>
    <d v="2025-06-08T00:00:00"/>
    <s v="ACTIVE"/>
    <m/>
    <m/>
    <m/>
    <m/>
  </r>
  <r>
    <n v="212"/>
    <s v="Donor_025"/>
    <d v="2024-03-15T00:00:00"/>
    <s v="NOT KNOWN"/>
    <x v="2"/>
    <m/>
    <n v="8868"/>
    <s v="Credit Card"/>
    <s v="2024-03"/>
    <d v="2025-06-07T00:00:00"/>
    <s v="ACTIVE"/>
    <m/>
    <m/>
    <m/>
    <m/>
  </r>
  <r>
    <n v="1604"/>
    <s v="Donor_066"/>
    <d v="2024-12-11T00:00:00"/>
    <s v="East"/>
    <x v="2"/>
    <m/>
    <n v="2541"/>
    <s v="Bank Transfer"/>
    <s v="2024-12"/>
    <d v="2025-03-22T00:00:00"/>
    <s v="LAPSED"/>
    <m/>
    <m/>
    <m/>
    <m/>
  </r>
  <r>
    <n v="503"/>
    <s v="Donor_038"/>
    <d v="2025-03-08T00:00:00"/>
    <s v="Central"/>
    <x v="3"/>
    <m/>
    <n v="11615"/>
    <s v="Cash"/>
    <s v="2025-03"/>
    <d v="2025-04-26T00:00:00"/>
    <s v="ACTIVE"/>
    <m/>
    <m/>
    <m/>
    <m/>
  </r>
  <r>
    <n v="538"/>
    <s v="Donor_023"/>
    <d v="2024-08-29T00:00:00"/>
    <s v="North"/>
    <x v="2"/>
    <m/>
    <n v="254"/>
    <s v="Cheque"/>
    <s v="2024-08"/>
    <d v="2025-05-24T00:00:00"/>
    <s v="ACTIVE"/>
    <m/>
    <m/>
    <m/>
    <m/>
  </r>
  <r>
    <n v="1221"/>
    <s v="Donor_096"/>
    <d v="2024-02-05T00:00:00"/>
    <s v="West"/>
    <x v="2"/>
    <m/>
    <n v="559"/>
    <s v="Credit Card"/>
    <s v="2024-02"/>
    <d v="2025-06-04T00:00:00"/>
    <s v="ACTIVE"/>
    <m/>
    <m/>
    <m/>
    <m/>
  </r>
  <r>
    <n v="176"/>
    <s v="Donor_065"/>
    <d v="2025-02-15T00:00:00"/>
    <s v="North"/>
    <x v="3"/>
    <m/>
    <n v="427"/>
    <s v="Bank Transfer"/>
    <s v="2025-02"/>
    <d v="2025-05-02T00:00:00"/>
    <s v="ACTIVE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75412-5E4C-4C73-9042-2188441F2402}" name="MONTHLY" cacheId="3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23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2" outline="0" showAll="0"/>
    <pivotField compact="0" outline="0" showAll="0"/>
    <pivotField axis="axisRow" compact="0" outline="0" showAll="0" sortType="ascending">
      <items count="39">
        <item m="1" x="37"/>
        <item x="10"/>
        <item x="14"/>
        <item x="8"/>
        <item x="3"/>
        <item x="15"/>
        <item x="2"/>
        <item x="5"/>
        <item x="1"/>
        <item x="0"/>
        <item x="12"/>
        <item x="4"/>
        <item x="9"/>
        <item m="1" x="22"/>
        <item m="1" x="20"/>
        <item m="1" x="28"/>
        <item m="1" x="33"/>
        <item m="1" x="29"/>
        <item m="1" x="24"/>
        <item m="1" x="21"/>
        <item m="1" x="27"/>
        <item m="1" x="34"/>
        <item m="1" x="23"/>
        <item m="1" x="31"/>
        <item m="1" x="19"/>
        <item x="7"/>
        <item x="13"/>
        <item x="6"/>
        <item x="17"/>
        <item x="11"/>
        <item x="16"/>
        <item m="1" x="36"/>
        <item m="1" x="32"/>
        <item m="1" x="26"/>
        <item m="1" x="35"/>
        <item m="1" x="25"/>
        <item m="1" x="30"/>
        <item x="1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2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25"/>
    </i>
    <i>
      <x v="26"/>
    </i>
    <i>
      <x v="27"/>
    </i>
    <i>
      <x v="28"/>
    </i>
    <i>
      <x v="29"/>
    </i>
    <i>
      <x v="30"/>
    </i>
    <i>
      <x v="37"/>
    </i>
    <i t="grand">
      <x/>
    </i>
  </rowItems>
  <colItems count="1">
    <i/>
  </colItems>
  <dataFields count="1">
    <dataField name="Sum of Amount-fixed" fld="6" baseField="0" baseItem="0" numFmtId="2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2B33CA-7920-4B49-A077-02DC55B99216}" name="REGION WISE" cacheId="3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1" firstHeaderRow="1" firstDataRow="1" firstDataCol="1"/>
  <pivotFields count="15">
    <pivotField compact="0" outline="0" showAll="0"/>
    <pivotField compact="0" outline="0" showAll="0"/>
    <pivotField compact="0" outline="0" showAll="0"/>
    <pivotField axis="axisRow" compact="0" outline="0" showAll="0">
      <items count="8">
        <item x="3"/>
        <item x="1"/>
        <item x="2"/>
        <item x="5"/>
        <item x="4"/>
        <item x="0"/>
        <item x="6"/>
        <item t="default"/>
      </items>
    </pivotField>
    <pivotField compact="0" outline="0" showAll="0">
      <items count="8">
        <item x="2"/>
        <item x="5"/>
        <item x="1"/>
        <item x="4"/>
        <item x="3"/>
        <item x="0"/>
        <item x="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-fix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66993-B84D-4A7D-B5D3-7EBDF1C300F0}" name="CAMPAIGN WISE" cacheId="3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10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5"/>
        <item x="1"/>
        <item x="4"/>
        <item x="3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-fixed" fld="6" baseField="0" baseItem="0"/>
  </dataField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7287E2-1B30-461F-A99B-0DE9455FFA1F}" name="PivotTable4" cacheId="3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28" firstHeaderRow="1" firstDataRow="1" firstDataCol="2"/>
  <pivotFields count="15">
    <pivotField compact="0" outline="0" showAll="0"/>
    <pivotField axis="axisRow" compact="0" outline="0" showAll="0">
      <items count="122">
        <item x="49"/>
        <item x="107"/>
        <item x="0"/>
        <item x="60"/>
        <item x="2"/>
        <item x="53"/>
        <item x="50"/>
        <item x="84"/>
        <item x="15"/>
        <item x="26"/>
        <item x="46"/>
        <item x="101"/>
        <item x="64"/>
        <item x="21"/>
        <item x="87"/>
        <item x="105"/>
        <item x="83"/>
        <item x="93"/>
        <item x="12"/>
        <item x="6"/>
        <item x="102"/>
        <item x="37"/>
        <item x="5"/>
        <item x="96"/>
        <item x="104"/>
        <item x="16"/>
        <item x="62"/>
        <item x="115"/>
        <item x="1"/>
        <item x="118"/>
        <item x="73"/>
        <item x="9"/>
        <item x="67"/>
        <item x="66"/>
        <item x="3"/>
        <item x="59"/>
        <item x="18"/>
        <item x="44"/>
        <item x="56"/>
        <item x="109"/>
        <item x="43"/>
        <item x="54"/>
        <item x="75"/>
        <item x="98"/>
        <item x="47"/>
        <item x="89"/>
        <item x="91"/>
        <item x="41"/>
        <item x="19"/>
        <item x="24"/>
        <item x="63"/>
        <item x="35"/>
        <item x="14"/>
        <item x="45"/>
        <item x="74"/>
        <item x="114"/>
        <item x="99"/>
        <item x="51"/>
        <item x="36"/>
        <item x="116"/>
        <item x="77"/>
        <item x="30"/>
        <item x="92"/>
        <item x="110"/>
        <item x="4"/>
        <item x="69"/>
        <item x="58"/>
        <item x="71"/>
        <item x="97"/>
        <item x="113"/>
        <item x="57"/>
        <item x="48"/>
        <item x="88"/>
        <item x="65"/>
        <item x="79"/>
        <item x="95"/>
        <item x="23"/>
        <item x="33"/>
        <item x="20"/>
        <item x="8"/>
        <item x="111"/>
        <item x="78"/>
        <item x="82"/>
        <item x="27"/>
        <item x="39"/>
        <item x="38"/>
        <item x="22"/>
        <item x="72"/>
        <item x="34"/>
        <item x="68"/>
        <item x="31"/>
        <item x="32"/>
        <item x="25"/>
        <item x="119"/>
        <item x="10"/>
        <item x="100"/>
        <item x="112"/>
        <item x="106"/>
        <item x="40"/>
        <item x="108"/>
        <item x="13"/>
        <item x="28"/>
        <item x="80"/>
        <item x="42"/>
        <item x="86"/>
        <item x="7"/>
        <item x="76"/>
        <item x="17"/>
        <item x="55"/>
        <item x="117"/>
        <item x="29"/>
        <item x="70"/>
        <item x="85"/>
        <item x="52"/>
        <item x="81"/>
        <item x="11"/>
        <item x="94"/>
        <item x="103"/>
        <item x="61"/>
        <item x="90"/>
        <item x="120"/>
        <item t="default"/>
      </items>
    </pivotField>
    <pivotField compact="0" outline="0" showAll="0"/>
    <pivotField compact="0" outline="0" showAll="0"/>
    <pivotField compact="0" outline="0" showAll="0">
      <items count="8">
        <item x="2"/>
        <item x="5"/>
        <item x="1"/>
        <item x="4"/>
        <item x="3"/>
        <item x="0"/>
        <item x="6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2">
    <field x="10"/>
    <field x="1"/>
  </rowFields>
  <rowItems count="125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3"/>
    </i>
    <i r="1">
      <x v="104"/>
    </i>
    <i r="1">
      <x v="105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t="default">
      <x/>
    </i>
    <i>
      <x v="1"/>
      <x v="16"/>
    </i>
    <i r="1">
      <x v="27"/>
    </i>
    <i r="1">
      <x v="41"/>
    </i>
    <i r="1">
      <x v="65"/>
    </i>
    <i r="1">
      <x v="77"/>
    </i>
    <i r="1">
      <x v="92"/>
    </i>
    <i r="1">
      <x v="102"/>
    </i>
    <i r="1">
      <x v="106"/>
    </i>
    <i t="default">
      <x v="1"/>
    </i>
    <i>
      <x v="2"/>
      <x v="120"/>
    </i>
    <i t="default">
      <x v="2"/>
    </i>
    <i t="grand">
      <x/>
    </i>
  </rowItems>
  <colItems count="1">
    <i/>
  </colItems>
  <dataFields count="1">
    <dataField name="Sum of Amount-fixed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mpaign" xr10:uid="{DF1DFB0F-FCC7-4F82-9FDC-28CA59ABF1A0}" sourceName="Campaign">
  <pivotTables>
    <pivotTable tabId="4" name="CAMPAIGN WISE"/>
  </pivotTables>
  <data>
    <tabular pivotCacheId="1481789958">
      <items count="6">
        <i x="2" s="1"/>
        <i x="5" s="1"/>
        <i x="1" s="1"/>
        <i x="4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mpaign" xr10:uid="{0D42DB36-2230-43EE-8425-7CE43369BDA6}" cache="Slicer_Campaign" caption="Campaign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27D297-CCEA-4B40-92CE-C6355DB59512}" name="Table22" displayName="Table22" ref="B33:C38" totalsRowShown="0">
  <autoFilter ref="B33:C38" xr:uid="{A51F9581-EA51-43FE-A058-ED6D0004AB61}"/>
  <tableColumns count="2">
    <tableColumn id="1" xr3:uid="{126B71D5-213E-4EAF-9B21-F51B052A9810}" name="REGION"/>
    <tableColumn id="2" xr3:uid="{FF1D9B01-66A9-4517-A863-170ECD7E2B07}" name="TOTAL DONATIONS" dataDxfId="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094D05-4F79-4B7B-81F0-5DF206E6058E}" name="Table24" displayName="Table24" ref="B33:C38" totalsRowShown="0">
  <autoFilter ref="B33:C38" xr:uid="{A51F9581-EA51-43FE-A058-ED6D0004AB61}"/>
  <tableColumns count="2">
    <tableColumn id="1" xr3:uid="{0CC6409E-DBB2-41FD-B9F7-96501D3C1B84}" name="REGION"/>
    <tableColumn id="2" xr3:uid="{37E59635-C962-4F8C-A5D0-1CD0E822C762}" name="TOTAL DONATIONS" dataDxfId="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1F9581-EA51-43FE-A058-ED6D0004AB61}" name="Table2" displayName="Table2" ref="B33:C38" totalsRowShown="0">
  <autoFilter ref="B33:C38" xr:uid="{A51F9581-EA51-43FE-A058-ED6D0004AB61}"/>
  <tableColumns count="2">
    <tableColumn id="1" xr3:uid="{84C847D3-D456-4EE5-9E88-4CBF6BE4FFA0}" name="REGION"/>
    <tableColumn id="2" xr3:uid="{DBFEAC1E-6408-43F5-AD5F-CC0AAF61E9EE}" name="TOTAL DONATION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A2E2-BF0D-4446-9293-09DB2A33750D}">
  <dimension ref="A3:B23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19.85546875" bestFit="1" customWidth="1"/>
  </cols>
  <sheetData>
    <row r="3" spans="1:2">
      <c r="A3" s="5" t="s">
        <v>0</v>
      </c>
      <c r="B3" t="s">
        <v>1</v>
      </c>
    </row>
    <row r="4" spans="1:2">
      <c r="A4" t="s">
        <v>2</v>
      </c>
      <c r="B4" s="3">
        <v>291203</v>
      </c>
    </row>
    <row r="5" spans="1:2">
      <c r="A5" t="s">
        <v>3</v>
      </c>
      <c r="B5" s="3">
        <v>298204</v>
      </c>
    </row>
    <row r="6" spans="1:2">
      <c r="A6" t="s">
        <v>4</v>
      </c>
      <c r="B6" s="3">
        <v>251308</v>
      </c>
    </row>
    <row r="7" spans="1:2">
      <c r="A7" t="s">
        <v>5</v>
      </c>
      <c r="B7" s="3">
        <v>211725</v>
      </c>
    </row>
    <row r="8" spans="1:2">
      <c r="A8" t="s">
        <v>6</v>
      </c>
      <c r="B8" s="3">
        <v>277922</v>
      </c>
    </row>
    <row r="9" spans="1:2">
      <c r="A9" t="s">
        <v>7</v>
      </c>
      <c r="B9" s="3">
        <v>281054</v>
      </c>
    </row>
    <row r="10" spans="1:2">
      <c r="A10" t="s">
        <v>8</v>
      </c>
      <c r="B10" s="3">
        <v>288698</v>
      </c>
    </row>
    <row r="11" spans="1:2">
      <c r="A11" t="s">
        <v>9</v>
      </c>
      <c r="B11" s="3">
        <v>236243</v>
      </c>
    </row>
    <row r="12" spans="1:2">
      <c r="A12" t="s">
        <v>10</v>
      </c>
      <c r="B12" s="3">
        <v>187983</v>
      </c>
    </row>
    <row r="13" spans="1:2">
      <c r="A13" t="s">
        <v>11</v>
      </c>
      <c r="B13" s="3">
        <v>369848</v>
      </c>
    </row>
    <row r="14" spans="1:2">
      <c r="A14" t="s">
        <v>12</v>
      </c>
      <c r="B14" s="3">
        <v>343939</v>
      </c>
    </row>
    <row r="15" spans="1:2">
      <c r="A15" t="s">
        <v>13</v>
      </c>
      <c r="B15" s="3">
        <v>284812</v>
      </c>
    </row>
    <row r="16" spans="1:2">
      <c r="A16" t="s">
        <v>14</v>
      </c>
      <c r="B16" s="3">
        <v>193890</v>
      </c>
    </row>
    <row r="17" spans="1:2">
      <c r="A17" t="s">
        <v>15</v>
      </c>
      <c r="B17" s="3">
        <v>207372</v>
      </c>
    </row>
    <row r="18" spans="1:2">
      <c r="A18" t="s">
        <v>16</v>
      </c>
      <c r="B18" s="3">
        <v>286020</v>
      </c>
    </row>
    <row r="19" spans="1:2">
      <c r="A19" t="s">
        <v>17</v>
      </c>
      <c r="B19" s="3">
        <v>214868</v>
      </c>
    </row>
    <row r="20" spans="1:2">
      <c r="A20" t="s">
        <v>18</v>
      </c>
      <c r="B20" s="3">
        <v>294244</v>
      </c>
    </row>
    <row r="21" spans="1:2">
      <c r="A21" t="s">
        <v>19</v>
      </c>
      <c r="B21" s="3">
        <v>175220</v>
      </c>
    </row>
    <row r="22" spans="1:2">
      <c r="A22" t="s">
        <v>20</v>
      </c>
      <c r="B22" s="3"/>
    </row>
    <row r="23" spans="1:2">
      <c r="A23" t="s">
        <v>21</v>
      </c>
      <c r="B23" s="3">
        <v>4694553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7D87-10A9-417C-B1FC-E9EE5CB882E3}">
  <dimension ref="A3:B11"/>
  <sheetViews>
    <sheetView workbookViewId="0">
      <selection activeCell="A3" sqref="A3"/>
    </sheetView>
  </sheetViews>
  <sheetFormatPr defaultRowHeight="15"/>
  <cols>
    <col min="1" max="1" width="15.140625" bestFit="1" customWidth="1"/>
    <col min="2" max="2" width="19.85546875" bestFit="1" customWidth="1"/>
  </cols>
  <sheetData>
    <row r="3" spans="1:2">
      <c r="A3" s="5" t="s">
        <v>22</v>
      </c>
      <c r="B3" t="s">
        <v>1</v>
      </c>
    </row>
    <row r="4" spans="1:2">
      <c r="A4" t="s">
        <v>23</v>
      </c>
      <c r="B4" s="6">
        <v>1085468</v>
      </c>
    </row>
    <row r="5" spans="1:2">
      <c r="A5" t="s">
        <v>24</v>
      </c>
      <c r="B5" s="6">
        <v>755171</v>
      </c>
    </row>
    <row r="6" spans="1:2">
      <c r="A6" t="s">
        <v>25</v>
      </c>
      <c r="B6" s="6">
        <v>989801</v>
      </c>
    </row>
    <row r="7" spans="1:2">
      <c r="A7" t="s">
        <v>26</v>
      </c>
      <c r="B7" s="6">
        <v>87019</v>
      </c>
    </row>
    <row r="8" spans="1:2">
      <c r="A8" t="s">
        <v>27</v>
      </c>
      <c r="B8" s="6">
        <v>829556</v>
      </c>
    </row>
    <row r="9" spans="1:2">
      <c r="A9" t="s">
        <v>28</v>
      </c>
      <c r="B9" s="6">
        <v>947538</v>
      </c>
    </row>
    <row r="10" spans="1:2">
      <c r="A10" t="s">
        <v>20</v>
      </c>
      <c r="B10" s="6"/>
    </row>
    <row r="11" spans="1:2">
      <c r="A11" t="s">
        <v>21</v>
      </c>
      <c r="B11" s="6">
        <v>4694553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39268-4947-45FC-84D7-5389FA2376F6}">
  <dimension ref="A3:B10"/>
  <sheetViews>
    <sheetView workbookViewId="0">
      <selection activeCell="B6" sqref="B6"/>
    </sheetView>
  </sheetViews>
  <sheetFormatPr defaultRowHeight="15"/>
  <cols>
    <col min="1" max="1" width="19.140625" bestFit="1" customWidth="1"/>
    <col min="2" max="2" width="19.85546875" bestFit="1" customWidth="1"/>
  </cols>
  <sheetData>
    <row r="3" spans="1:2">
      <c r="A3" s="5" t="s">
        <v>29</v>
      </c>
      <c r="B3" t="s">
        <v>1</v>
      </c>
    </row>
    <row r="4" spans="1:2">
      <c r="A4" t="s">
        <v>30</v>
      </c>
      <c r="B4" s="6">
        <v>885899</v>
      </c>
    </row>
    <row r="5" spans="1:2">
      <c r="A5" t="s">
        <v>31</v>
      </c>
      <c r="B5" s="6">
        <v>723916</v>
      </c>
    </row>
    <row r="6" spans="1:2">
      <c r="A6" t="s">
        <v>32</v>
      </c>
      <c r="B6" s="6">
        <v>789822</v>
      </c>
    </row>
    <row r="7" spans="1:2">
      <c r="A7" t="s">
        <v>33</v>
      </c>
      <c r="B7" s="6">
        <v>802130</v>
      </c>
    </row>
    <row r="8" spans="1:2">
      <c r="A8" t="s">
        <v>34</v>
      </c>
      <c r="B8" s="6">
        <v>765625</v>
      </c>
    </row>
    <row r="9" spans="1:2">
      <c r="A9" t="s">
        <v>35</v>
      </c>
      <c r="B9" s="6">
        <v>727161</v>
      </c>
    </row>
    <row r="10" spans="1:2">
      <c r="A10" t="s">
        <v>21</v>
      </c>
      <c r="B10" s="6">
        <v>4694553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986A-E214-405A-B855-F65182E8A2C4}">
  <dimension ref="A3:C128"/>
  <sheetViews>
    <sheetView topLeftCell="A112" workbookViewId="0">
      <selection activeCell="C124" sqref="C124"/>
    </sheetView>
  </sheetViews>
  <sheetFormatPr defaultRowHeight="15"/>
  <cols>
    <col min="1" max="1" width="11.42578125" bestFit="1" customWidth="1"/>
    <col min="2" max="2" width="15.140625" bestFit="1" customWidth="1"/>
    <col min="3" max="3" width="19.85546875" bestFit="1" customWidth="1"/>
  </cols>
  <sheetData>
    <row r="3" spans="1:3">
      <c r="A3" s="5" t="s">
        <v>36</v>
      </c>
      <c r="B3" s="5" t="s">
        <v>37</v>
      </c>
      <c r="C3" t="s">
        <v>1</v>
      </c>
    </row>
    <row r="4" spans="1:3">
      <c r="A4" t="s">
        <v>38</v>
      </c>
      <c r="B4" t="s">
        <v>39</v>
      </c>
      <c r="C4" s="6">
        <v>41876</v>
      </c>
    </row>
    <row r="5" spans="1:3">
      <c r="B5" t="s">
        <v>40</v>
      </c>
      <c r="C5" s="6">
        <v>29434</v>
      </c>
    </row>
    <row r="6" spans="1:3">
      <c r="B6" t="s">
        <v>41</v>
      </c>
      <c r="C6" s="6">
        <v>33565</v>
      </c>
    </row>
    <row r="7" spans="1:3">
      <c r="B7" t="s">
        <v>42</v>
      </c>
      <c r="C7" s="6">
        <v>45812</v>
      </c>
    </row>
    <row r="8" spans="1:3">
      <c r="B8" t="s">
        <v>43</v>
      </c>
      <c r="C8" s="6">
        <v>38113</v>
      </c>
    </row>
    <row r="9" spans="1:3">
      <c r="B9" t="s">
        <v>44</v>
      </c>
      <c r="C9" s="6">
        <v>51127</v>
      </c>
    </row>
    <row r="10" spans="1:3">
      <c r="B10" t="s">
        <v>45</v>
      </c>
      <c r="C10" s="6">
        <v>41087</v>
      </c>
    </row>
    <row r="11" spans="1:3">
      <c r="B11" t="s">
        <v>46</v>
      </c>
      <c r="C11" s="6">
        <v>19367</v>
      </c>
    </row>
    <row r="12" spans="1:3">
      <c r="B12" t="s">
        <v>47</v>
      </c>
      <c r="C12" s="6">
        <v>44882</v>
      </c>
    </row>
    <row r="13" spans="1:3">
      <c r="B13" t="s">
        <v>48</v>
      </c>
      <c r="C13" s="6">
        <v>32684</v>
      </c>
    </row>
    <row r="14" spans="1:3">
      <c r="B14" t="s">
        <v>49</v>
      </c>
      <c r="C14" s="6">
        <v>47217</v>
      </c>
    </row>
    <row r="15" spans="1:3">
      <c r="B15" t="s">
        <v>50</v>
      </c>
      <c r="C15" s="6">
        <v>60644</v>
      </c>
    </row>
    <row r="16" spans="1:3">
      <c r="B16" t="s">
        <v>51</v>
      </c>
      <c r="C16" s="6">
        <v>44972</v>
      </c>
    </row>
    <row r="17" spans="2:3">
      <c r="B17" t="s">
        <v>52</v>
      </c>
      <c r="C17" s="6">
        <v>53359</v>
      </c>
    </row>
    <row r="18" spans="2:3">
      <c r="B18" t="s">
        <v>53</v>
      </c>
      <c r="C18" s="6">
        <v>24660</v>
      </c>
    </row>
    <row r="19" spans="2:3">
      <c r="B19" t="s">
        <v>54</v>
      </c>
      <c r="C19" s="6">
        <v>29996</v>
      </c>
    </row>
    <row r="20" spans="2:3">
      <c r="B20" t="s">
        <v>55</v>
      </c>
      <c r="C20" s="6">
        <v>58311</v>
      </c>
    </row>
    <row r="21" spans="2:3">
      <c r="B21" t="s">
        <v>56</v>
      </c>
      <c r="C21" s="6">
        <v>23077</v>
      </c>
    </row>
    <row r="22" spans="2:3">
      <c r="B22" t="s">
        <v>57</v>
      </c>
      <c r="C22" s="6">
        <v>14798</v>
      </c>
    </row>
    <row r="23" spans="2:3">
      <c r="B23" t="s">
        <v>58</v>
      </c>
      <c r="C23" s="6">
        <v>28833</v>
      </c>
    </row>
    <row r="24" spans="2:3">
      <c r="B24" t="s">
        <v>59</v>
      </c>
      <c r="C24" s="6">
        <v>36929</v>
      </c>
    </row>
    <row r="25" spans="2:3">
      <c r="B25" t="s">
        <v>60</v>
      </c>
      <c r="C25" s="6">
        <v>47497</v>
      </c>
    </row>
    <row r="26" spans="2:3">
      <c r="B26" t="s">
        <v>61</v>
      </c>
      <c r="C26" s="6">
        <v>48926</v>
      </c>
    </row>
    <row r="27" spans="2:3">
      <c r="B27" t="s">
        <v>62</v>
      </c>
      <c r="C27" s="6">
        <v>37045</v>
      </c>
    </row>
    <row r="28" spans="2:3">
      <c r="B28" t="s">
        <v>63</v>
      </c>
      <c r="C28" s="6">
        <v>30226</v>
      </c>
    </row>
    <row r="29" spans="2:3">
      <c r="B29" t="s">
        <v>64</v>
      </c>
      <c r="C29" s="6">
        <v>48091</v>
      </c>
    </row>
    <row r="30" spans="2:3">
      <c r="B30" t="s">
        <v>65</v>
      </c>
      <c r="C30" s="6">
        <v>14074</v>
      </c>
    </row>
    <row r="31" spans="2:3">
      <c r="B31" t="s">
        <v>66</v>
      </c>
      <c r="C31" s="6">
        <v>38971</v>
      </c>
    </row>
    <row r="32" spans="2:3">
      <c r="B32" t="s">
        <v>67</v>
      </c>
      <c r="C32" s="6">
        <v>47217</v>
      </c>
    </row>
    <row r="33" spans="2:3">
      <c r="B33" t="s">
        <v>68</v>
      </c>
      <c r="C33" s="6">
        <v>27937</v>
      </c>
    </row>
    <row r="34" spans="2:3">
      <c r="B34" t="s">
        <v>69</v>
      </c>
      <c r="C34" s="6">
        <v>31330</v>
      </c>
    </row>
    <row r="35" spans="2:3">
      <c r="B35" t="s">
        <v>70</v>
      </c>
      <c r="C35" s="6">
        <v>46771</v>
      </c>
    </row>
    <row r="36" spans="2:3">
      <c r="B36" t="s">
        <v>71</v>
      </c>
      <c r="C36" s="6">
        <v>46678</v>
      </c>
    </row>
    <row r="37" spans="2:3">
      <c r="B37" t="s">
        <v>72</v>
      </c>
      <c r="C37" s="6">
        <v>51856</v>
      </c>
    </row>
    <row r="38" spans="2:3">
      <c r="B38" t="s">
        <v>73</v>
      </c>
      <c r="C38" s="6">
        <v>26486</v>
      </c>
    </row>
    <row r="39" spans="2:3">
      <c r="B39" t="s">
        <v>74</v>
      </c>
      <c r="C39" s="6">
        <v>45335</v>
      </c>
    </row>
    <row r="40" spans="2:3">
      <c r="B40" t="s">
        <v>75</v>
      </c>
      <c r="C40" s="6">
        <v>32135</v>
      </c>
    </row>
    <row r="41" spans="2:3">
      <c r="B41" t="s">
        <v>76</v>
      </c>
      <c r="C41" s="6">
        <v>49489</v>
      </c>
    </row>
    <row r="42" spans="2:3">
      <c r="B42" t="s">
        <v>77</v>
      </c>
      <c r="C42" s="6">
        <v>26210</v>
      </c>
    </row>
    <row r="43" spans="2:3">
      <c r="B43" t="s">
        <v>78</v>
      </c>
      <c r="C43" s="6">
        <v>47008</v>
      </c>
    </row>
    <row r="44" spans="2:3">
      <c r="B44" t="s">
        <v>79</v>
      </c>
      <c r="C44" s="6">
        <v>34232</v>
      </c>
    </row>
    <row r="45" spans="2:3">
      <c r="B45" t="s">
        <v>80</v>
      </c>
      <c r="C45" s="6">
        <v>50715</v>
      </c>
    </row>
    <row r="46" spans="2:3">
      <c r="B46" t="s">
        <v>81</v>
      </c>
      <c r="C46" s="6">
        <v>36035</v>
      </c>
    </row>
    <row r="47" spans="2:3">
      <c r="B47" t="s">
        <v>82</v>
      </c>
      <c r="C47" s="6">
        <v>35831</v>
      </c>
    </row>
    <row r="48" spans="2:3">
      <c r="B48" t="s">
        <v>83</v>
      </c>
      <c r="C48" s="6">
        <v>39428</v>
      </c>
    </row>
    <row r="49" spans="2:3">
      <c r="B49" t="s">
        <v>84</v>
      </c>
      <c r="C49" s="6">
        <v>48696</v>
      </c>
    </row>
    <row r="50" spans="2:3">
      <c r="B50" t="s">
        <v>85</v>
      </c>
      <c r="C50" s="6">
        <v>27440</v>
      </c>
    </row>
    <row r="51" spans="2:3">
      <c r="B51" t="s">
        <v>86</v>
      </c>
      <c r="C51" s="6">
        <v>34700</v>
      </c>
    </row>
    <row r="52" spans="2:3">
      <c r="B52" t="s">
        <v>87</v>
      </c>
      <c r="C52" s="6">
        <v>45674</v>
      </c>
    </row>
    <row r="53" spans="2:3">
      <c r="B53" t="s">
        <v>88</v>
      </c>
      <c r="C53" s="6">
        <v>23776</v>
      </c>
    </row>
    <row r="54" spans="2:3">
      <c r="B54" t="s">
        <v>89</v>
      </c>
      <c r="C54" s="6">
        <v>72785</v>
      </c>
    </row>
    <row r="55" spans="2:3">
      <c r="B55" t="s">
        <v>90</v>
      </c>
      <c r="C55" s="6">
        <v>20537</v>
      </c>
    </row>
    <row r="56" spans="2:3">
      <c r="B56" t="s">
        <v>91</v>
      </c>
      <c r="C56" s="6">
        <v>50114</v>
      </c>
    </row>
    <row r="57" spans="2:3">
      <c r="B57" t="s">
        <v>92</v>
      </c>
      <c r="C57" s="6">
        <v>38395</v>
      </c>
    </row>
    <row r="58" spans="2:3">
      <c r="B58" t="s">
        <v>93</v>
      </c>
      <c r="C58" s="6">
        <v>55334</v>
      </c>
    </row>
    <row r="59" spans="2:3">
      <c r="B59" t="s">
        <v>94</v>
      </c>
      <c r="C59" s="6">
        <v>90941</v>
      </c>
    </row>
    <row r="60" spans="2:3">
      <c r="B60" t="s">
        <v>95</v>
      </c>
      <c r="C60" s="6">
        <v>30507</v>
      </c>
    </row>
    <row r="61" spans="2:3">
      <c r="B61" t="s">
        <v>96</v>
      </c>
      <c r="C61" s="6">
        <v>40002</v>
      </c>
    </row>
    <row r="62" spans="2:3">
      <c r="B62" t="s">
        <v>97</v>
      </c>
      <c r="C62" s="6">
        <v>22745</v>
      </c>
    </row>
    <row r="63" spans="2:3">
      <c r="B63" t="s">
        <v>98</v>
      </c>
      <c r="C63" s="6">
        <v>20488</v>
      </c>
    </row>
    <row r="64" spans="2:3">
      <c r="B64" t="s">
        <v>99</v>
      </c>
      <c r="C64" s="6">
        <v>29316</v>
      </c>
    </row>
    <row r="65" spans="2:3">
      <c r="B65" t="s">
        <v>100</v>
      </c>
      <c r="C65" s="6">
        <v>40486</v>
      </c>
    </row>
    <row r="66" spans="2:3">
      <c r="B66" t="s">
        <v>101</v>
      </c>
      <c r="C66" s="6">
        <v>44851</v>
      </c>
    </row>
    <row r="67" spans="2:3">
      <c r="B67" t="s">
        <v>102</v>
      </c>
      <c r="C67" s="6">
        <v>36657</v>
      </c>
    </row>
    <row r="68" spans="2:3">
      <c r="B68" t="s">
        <v>103</v>
      </c>
      <c r="C68" s="6">
        <v>14814</v>
      </c>
    </row>
    <row r="69" spans="2:3">
      <c r="B69" t="s">
        <v>104</v>
      </c>
      <c r="C69" s="6">
        <v>26885</v>
      </c>
    </row>
    <row r="70" spans="2:3">
      <c r="B70" t="s">
        <v>105</v>
      </c>
      <c r="C70" s="6">
        <v>17547</v>
      </c>
    </row>
    <row r="71" spans="2:3">
      <c r="B71" t="s">
        <v>106</v>
      </c>
      <c r="C71" s="6">
        <v>30881</v>
      </c>
    </row>
    <row r="72" spans="2:3">
      <c r="B72" t="s">
        <v>107</v>
      </c>
      <c r="C72" s="6">
        <v>49904</v>
      </c>
    </row>
    <row r="73" spans="2:3">
      <c r="B73" t="s">
        <v>108</v>
      </c>
      <c r="C73" s="6">
        <v>47997</v>
      </c>
    </row>
    <row r="74" spans="2:3">
      <c r="B74" t="s">
        <v>109</v>
      </c>
      <c r="C74" s="6">
        <v>28285</v>
      </c>
    </row>
    <row r="75" spans="2:3">
      <c r="B75" t="s">
        <v>110</v>
      </c>
      <c r="C75" s="6">
        <v>44930</v>
      </c>
    </row>
    <row r="76" spans="2:3">
      <c r="B76" t="s">
        <v>111</v>
      </c>
      <c r="C76" s="6">
        <v>26862</v>
      </c>
    </row>
    <row r="77" spans="2:3">
      <c r="B77" t="s">
        <v>112</v>
      </c>
      <c r="C77" s="6">
        <v>69150</v>
      </c>
    </row>
    <row r="78" spans="2:3">
      <c r="B78" t="s">
        <v>113</v>
      </c>
      <c r="C78" s="6">
        <v>34070</v>
      </c>
    </row>
    <row r="79" spans="2:3">
      <c r="B79" t="s">
        <v>114</v>
      </c>
      <c r="C79" s="6">
        <v>35683</v>
      </c>
    </row>
    <row r="80" spans="2:3">
      <c r="B80" t="s">
        <v>115</v>
      </c>
      <c r="C80" s="6">
        <v>51030</v>
      </c>
    </row>
    <row r="81" spans="2:3">
      <c r="B81" t="s">
        <v>116</v>
      </c>
      <c r="C81" s="6">
        <v>44965</v>
      </c>
    </row>
    <row r="82" spans="2:3">
      <c r="B82" t="s">
        <v>117</v>
      </c>
      <c r="C82" s="6">
        <v>34819</v>
      </c>
    </row>
    <row r="83" spans="2:3">
      <c r="B83" t="s">
        <v>118</v>
      </c>
      <c r="C83" s="6">
        <v>27806</v>
      </c>
    </row>
    <row r="84" spans="2:3">
      <c r="B84" t="s">
        <v>119</v>
      </c>
      <c r="C84" s="6">
        <v>29772</v>
      </c>
    </row>
    <row r="85" spans="2:3">
      <c r="B85" t="s">
        <v>120</v>
      </c>
      <c r="C85" s="6">
        <v>36041</v>
      </c>
    </row>
    <row r="86" spans="2:3">
      <c r="B86" t="s">
        <v>121</v>
      </c>
      <c r="C86" s="6">
        <v>35699</v>
      </c>
    </row>
    <row r="87" spans="2:3">
      <c r="B87" t="s">
        <v>122</v>
      </c>
      <c r="C87" s="6">
        <v>56480</v>
      </c>
    </row>
    <row r="88" spans="2:3">
      <c r="B88" t="s">
        <v>123</v>
      </c>
      <c r="C88" s="6">
        <v>35080</v>
      </c>
    </row>
    <row r="89" spans="2:3">
      <c r="B89" t="s">
        <v>124</v>
      </c>
      <c r="C89" s="6">
        <v>37643</v>
      </c>
    </row>
    <row r="90" spans="2:3">
      <c r="B90" t="s">
        <v>125</v>
      </c>
      <c r="C90" s="6">
        <v>47168</v>
      </c>
    </row>
    <row r="91" spans="2:3">
      <c r="B91" t="s">
        <v>126</v>
      </c>
      <c r="C91" s="6">
        <v>19490</v>
      </c>
    </row>
    <row r="92" spans="2:3">
      <c r="B92" t="s">
        <v>127</v>
      </c>
      <c r="C92" s="6">
        <v>20609</v>
      </c>
    </row>
    <row r="93" spans="2:3">
      <c r="B93" t="s">
        <v>128</v>
      </c>
      <c r="C93" s="6">
        <v>12870</v>
      </c>
    </row>
    <row r="94" spans="2:3">
      <c r="B94" t="s">
        <v>129</v>
      </c>
      <c r="C94" s="6">
        <v>58115</v>
      </c>
    </row>
    <row r="95" spans="2:3">
      <c r="B95" t="s">
        <v>130</v>
      </c>
      <c r="C95" s="6">
        <v>60511</v>
      </c>
    </row>
    <row r="96" spans="2:3">
      <c r="B96" t="s">
        <v>131</v>
      </c>
      <c r="C96" s="6">
        <v>50757</v>
      </c>
    </row>
    <row r="97" spans="2:3">
      <c r="B97" t="s">
        <v>132</v>
      </c>
      <c r="C97" s="6">
        <v>36584</v>
      </c>
    </row>
    <row r="98" spans="2:3">
      <c r="B98" t="s">
        <v>133</v>
      </c>
      <c r="C98" s="6">
        <v>29600</v>
      </c>
    </row>
    <row r="99" spans="2:3">
      <c r="B99" t="s">
        <v>134</v>
      </c>
      <c r="C99" s="6">
        <v>27956</v>
      </c>
    </row>
    <row r="100" spans="2:3">
      <c r="B100" t="s">
        <v>135</v>
      </c>
      <c r="C100" s="6">
        <v>63076</v>
      </c>
    </row>
    <row r="101" spans="2:3">
      <c r="B101" t="s">
        <v>136</v>
      </c>
      <c r="C101" s="6">
        <v>28372</v>
      </c>
    </row>
    <row r="102" spans="2:3">
      <c r="B102" t="s">
        <v>137</v>
      </c>
      <c r="C102" s="6">
        <v>10314</v>
      </c>
    </row>
    <row r="103" spans="2:3">
      <c r="B103" t="s">
        <v>138</v>
      </c>
      <c r="C103" s="6">
        <v>28706</v>
      </c>
    </row>
    <row r="104" spans="2:3">
      <c r="B104" t="s">
        <v>139</v>
      </c>
      <c r="C104" s="6">
        <v>65704</v>
      </c>
    </row>
    <row r="105" spans="2:3">
      <c r="B105" t="s">
        <v>140</v>
      </c>
      <c r="C105" s="6">
        <v>31025</v>
      </c>
    </row>
    <row r="106" spans="2:3">
      <c r="B106" t="s">
        <v>141</v>
      </c>
      <c r="C106" s="6">
        <v>26316</v>
      </c>
    </row>
    <row r="107" spans="2:3">
      <c r="B107" t="s">
        <v>142</v>
      </c>
      <c r="C107" s="6">
        <v>67786</v>
      </c>
    </row>
    <row r="108" spans="2:3">
      <c r="B108" t="s">
        <v>143</v>
      </c>
      <c r="C108" s="6">
        <v>51631</v>
      </c>
    </row>
    <row r="109" spans="2:3">
      <c r="B109" t="s">
        <v>144</v>
      </c>
      <c r="C109" s="6">
        <v>66044</v>
      </c>
    </row>
    <row r="110" spans="2:3">
      <c r="B110" t="s">
        <v>145</v>
      </c>
      <c r="C110" s="6">
        <v>45426</v>
      </c>
    </row>
    <row r="111" spans="2:3">
      <c r="B111" t="s">
        <v>146</v>
      </c>
      <c r="C111" s="6">
        <v>8487</v>
      </c>
    </row>
    <row r="112" spans="2:3">
      <c r="B112" t="s">
        <v>147</v>
      </c>
      <c r="C112" s="6">
        <v>31183</v>
      </c>
    </row>
    <row r="113" spans="1:3">
      <c r="B113" t="s">
        <v>148</v>
      </c>
      <c r="C113" s="6">
        <v>33935</v>
      </c>
    </row>
    <row r="114" spans="1:3">
      <c r="B114" t="s">
        <v>149</v>
      </c>
      <c r="C114" s="6">
        <v>39866</v>
      </c>
    </row>
    <row r="115" spans="1:3">
      <c r="B115" t="s">
        <v>150</v>
      </c>
      <c r="C115" s="6">
        <v>35151</v>
      </c>
    </row>
    <row r="116" spans="1:3">
      <c r="A116" t="s">
        <v>151</v>
      </c>
      <c r="C116" s="6">
        <v>4326735</v>
      </c>
    </row>
    <row r="117" spans="1:3">
      <c r="A117" t="s">
        <v>152</v>
      </c>
      <c r="B117" t="s">
        <v>153</v>
      </c>
      <c r="C117" s="6">
        <v>37163</v>
      </c>
    </row>
    <row r="118" spans="1:3">
      <c r="B118" t="s">
        <v>154</v>
      </c>
      <c r="C118" s="6">
        <v>30647</v>
      </c>
    </row>
    <row r="119" spans="1:3">
      <c r="B119" t="s">
        <v>155</v>
      </c>
      <c r="C119" s="6">
        <v>29863</v>
      </c>
    </row>
    <row r="120" spans="1:3">
      <c r="B120" t="s">
        <v>156</v>
      </c>
      <c r="C120" s="6">
        <v>36670</v>
      </c>
    </row>
    <row r="121" spans="1:3">
      <c r="B121" t="s">
        <v>157</v>
      </c>
      <c r="C121" s="6">
        <v>76761</v>
      </c>
    </row>
    <row r="122" spans="1:3">
      <c r="B122" t="s">
        <v>158</v>
      </c>
      <c r="C122" s="6">
        <v>54550</v>
      </c>
    </row>
    <row r="123" spans="1:3">
      <c r="B123" t="s">
        <v>159</v>
      </c>
      <c r="C123" s="6">
        <v>38502</v>
      </c>
    </row>
    <row r="124" spans="1:3">
      <c r="B124" t="s">
        <v>160</v>
      </c>
      <c r="C124" s="6">
        <v>63662</v>
      </c>
    </row>
    <row r="125" spans="1:3">
      <c r="A125" t="s">
        <v>161</v>
      </c>
      <c r="C125" s="6">
        <v>367818</v>
      </c>
    </row>
    <row r="126" spans="1:3">
      <c r="A126" t="s">
        <v>20</v>
      </c>
      <c r="B126" t="s">
        <v>20</v>
      </c>
      <c r="C126" s="6"/>
    </row>
    <row r="127" spans="1:3">
      <c r="A127" t="s">
        <v>162</v>
      </c>
      <c r="C127" s="6"/>
    </row>
    <row r="128" spans="1:3">
      <c r="A128" t="s">
        <v>21</v>
      </c>
      <c r="C128" s="6">
        <v>4694553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16"/>
  <sheetViews>
    <sheetView workbookViewId="0">
      <selection activeCell="Q5" sqref="Q5"/>
    </sheetView>
  </sheetViews>
  <sheetFormatPr defaultRowHeight="15"/>
  <cols>
    <col min="1" max="1" width="23.28515625" customWidth="1"/>
    <col min="2" max="2" width="18.85546875" customWidth="1"/>
    <col min="3" max="3" width="21.85546875" style="1" customWidth="1"/>
    <col min="4" max="4" width="36.5703125" bestFit="1" customWidth="1"/>
    <col min="5" max="5" width="26" customWidth="1"/>
    <col min="6" max="6" width="25.85546875" hidden="1" customWidth="1"/>
    <col min="7" max="7" width="20.85546875" style="3" customWidth="1"/>
    <col min="8" max="8" width="18.5703125" customWidth="1"/>
    <col min="9" max="9" width="29.7109375" style="3" customWidth="1"/>
    <col min="10" max="10" width="21.140625" style="1" customWidth="1"/>
    <col min="11" max="11" width="12.140625" bestFit="1" customWidth="1"/>
    <col min="12" max="12" width="18.140625" customWidth="1"/>
    <col min="13" max="13" width="14.85546875" bestFit="1" customWidth="1"/>
    <col min="14" max="14" width="12" bestFit="1" customWidth="1"/>
    <col min="15" max="15" width="32.28515625" bestFit="1" customWidth="1"/>
    <col min="16" max="16" width="15" customWidth="1"/>
  </cols>
  <sheetData>
    <row r="1" spans="1:17" ht="30.75">
      <c r="A1" t="s">
        <v>163</v>
      </c>
      <c r="B1" s="2" t="s">
        <v>37</v>
      </c>
      <c r="C1" s="1" t="s">
        <v>164</v>
      </c>
      <c r="D1" t="s">
        <v>22</v>
      </c>
      <c r="E1" t="s">
        <v>29</v>
      </c>
      <c r="G1" s="3" t="s">
        <v>165</v>
      </c>
      <c r="H1" t="s">
        <v>166</v>
      </c>
      <c r="I1" s="3" t="s">
        <v>0</v>
      </c>
      <c r="J1" s="1" t="s">
        <v>167</v>
      </c>
      <c r="K1" t="s">
        <v>36</v>
      </c>
      <c r="L1" s="2" t="s">
        <v>168</v>
      </c>
      <c r="M1" t="s">
        <v>169</v>
      </c>
      <c r="N1" t="s">
        <v>170</v>
      </c>
      <c r="O1" t="s">
        <v>171</v>
      </c>
    </row>
    <row r="2" spans="1:17">
      <c r="A2">
        <v>1566</v>
      </c>
      <c r="B2" t="s">
        <v>41</v>
      </c>
      <c r="C2" s="1">
        <v>45561</v>
      </c>
      <c r="D2" s="2" t="s">
        <v>28</v>
      </c>
      <c r="E2" t="s">
        <v>35</v>
      </c>
      <c r="G2" s="3">
        <v>9051</v>
      </c>
      <c r="H2" t="s">
        <v>172</v>
      </c>
      <c r="I2" s="3" t="str">
        <f>TEXT(C2, "yyyy-mm")</f>
        <v>2024-09</v>
      </c>
      <c r="J2" s="1">
        <f>_xlfn.MAXIFS(C:C, B:B, B2)</f>
        <v>45785</v>
      </c>
      <c r="K2" t="str">
        <f>IF($L$3-J2&gt;90, "LAPSED","ACTIVE")</f>
        <v>ACTIVE</v>
      </c>
      <c r="M2" t="s">
        <v>41</v>
      </c>
      <c r="N2" t="str">
        <f>_xlfn.XLOOKUP(M2, B2:B1801, K2:K1801)</f>
        <v>ACTIVE</v>
      </c>
      <c r="O2">
        <f>SUMIFS( G2:G1801,  B2:B1801,M2)</f>
        <v>33565</v>
      </c>
      <c r="P2" s="3">
        <f>SUM(G2:G1801)</f>
        <v>4694553</v>
      </c>
      <c r="Q2">
        <f>COUNTBLANK(E2:E1801)</f>
        <v>0</v>
      </c>
    </row>
    <row r="3" spans="1:17">
      <c r="A3">
        <v>888</v>
      </c>
      <c r="B3" t="s">
        <v>65</v>
      </c>
      <c r="C3" s="1">
        <v>45528</v>
      </c>
      <c r="D3" s="2" t="s">
        <v>24</v>
      </c>
      <c r="E3" t="s">
        <v>32</v>
      </c>
      <c r="G3" s="3">
        <v>247</v>
      </c>
      <c r="H3" t="s">
        <v>173</v>
      </c>
      <c r="I3" s="3" t="str">
        <f t="shared" ref="I3:I66" si="0">TEXT(C3, "yyyy-mm")</f>
        <v>2024-08</v>
      </c>
      <c r="J3" s="1">
        <f t="shared" ref="J3:J66" si="1">_xlfn.MAXIFS(C:C, B:B, B3)</f>
        <v>45813</v>
      </c>
      <c r="K3" t="str">
        <f t="shared" ref="K3:K66" si="2">IF($L$3-J3&gt;90, "LAPSED","ACTIVE")</f>
        <v>ACTIVE</v>
      </c>
      <c r="L3" s="1">
        <f>MAX(C:C)</f>
        <v>45831</v>
      </c>
      <c r="Q3">
        <f>COUNTIF(E2:E1801,"")</f>
        <v>0</v>
      </c>
    </row>
    <row r="4" spans="1:17">
      <c r="A4">
        <v>38</v>
      </c>
      <c r="B4" t="s">
        <v>43</v>
      </c>
      <c r="C4" s="1">
        <v>45563</v>
      </c>
      <c r="D4" s="2" t="s">
        <v>25</v>
      </c>
      <c r="E4" t="s">
        <v>35</v>
      </c>
      <c r="G4" s="3">
        <v>704</v>
      </c>
      <c r="H4" t="s">
        <v>174</v>
      </c>
      <c r="I4" s="3" t="str">
        <f t="shared" si="0"/>
        <v>2024-09</v>
      </c>
      <c r="J4" s="1">
        <f t="shared" si="1"/>
        <v>45818</v>
      </c>
      <c r="K4" t="str">
        <f t="shared" si="2"/>
        <v>ACTIVE</v>
      </c>
      <c r="L4" s="4">
        <f>SUMIFS(G:G, E:E, "WinterMealDrive")</f>
        <v>765625</v>
      </c>
      <c r="Q4" cm="1">
        <f t="array" ref="Q4">SUMPRODUCT((LEN(TRIM(E2:E1801))=0)*1)</f>
        <v>0</v>
      </c>
    </row>
    <row r="5" spans="1:17">
      <c r="A5">
        <v>1503</v>
      </c>
      <c r="B5" t="s">
        <v>71</v>
      </c>
      <c r="C5" s="1">
        <v>45462</v>
      </c>
      <c r="D5" s="2" t="s">
        <v>23</v>
      </c>
      <c r="E5" t="s">
        <v>30</v>
      </c>
      <c r="G5" s="3">
        <v>11535</v>
      </c>
      <c r="H5" t="s">
        <v>175</v>
      </c>
      <c r="I5" s="3" t="str">
        <f t="shared" si="0"/>
        <v>2024-06</v>
      </c>
      <c r="J5" s="1">
        <f t="shared" si="1"/>
        <v>45823</v>
      </c>
      <c r="K5" t="str">
        <f t="shared" si="2"/>
        <v>ACTIVE</v>
      </c>
      <c r="L5" s="2">
        <f>SUMIFS(G:G, E:E, "YearEndGiving")</f>
        <v>727161</v>
      </c>
    </row>
    <row r="6" spans="1:17">
      <c r="A6">
        <v>288</v>
      </c>
      <c r="B6" t="s">
        <v>100</v>
      </c>
      <c r="C6" s="1">
        <v>45389</v>
      </c>
      <c r="D6" s="2" t="s">
        <v>27</v>
      </c>
      <c r="E6" t="s">
        <v>30</v>
      </c>
      <c r="G6" s="3">
        <v>622</v>
      </c>
      <c r="H6" t="s">
        <v>175</v>
      </c>
      <c r="I6" s="3" t="str">
        <f t="shared" si="0"/>
        <v>2024-04</v>
      </c>
      <c r="J6" s="1">
        <f t="shared" si="1"/>
        <v>45779</v>
      </c>
      <c r="K6" t="str">
        <f t="shared" si="2"/>
        <v>ACTIVE</v>
      </c>
      <c r="L6">
        <f>SUMIFS(G:G, E:E, "EmergencyFoodBank")</f>
        <v>885899</v>
      </c>
    </row>
    <row r="7" spans="1:17">
      <c r="A7">
        <v>708</v>
      </c>
      <c r="B7" t="s">
        <v>60</v>
      </c>
      <c r="C7" s="1">
        <v>45454</v>
      </c>
      <c r="D7" s="2" t="s">
        <v>23</v>
      </c>
      <c r="E7" t="s">
        <v>34</v>
      </c>
      <c r="G7" s="3">
        <v>935</v>
      </c>
      <c r="H7" t="s">
        <v>176</v>
      </c>
      <c r="I7" s="3" t="str">
        <f t="shared" si="0"/>
        <v>2024-06</v>
      </c>
      <c r="J7" s="1">
        <f t="shared" si="1"/>
        <v>45801</v>
      </c>
      <c r="K7" t="str">
        <f t="shared" si="2"/>
        <v>ACTIVE</v>
      </c>
      <c r="L7">
        <f>SUMIFS(G:G, E:E, "RamadanFeeding")</f>
        <v>789822</v>
      </c>
    </row>
    <row r="8" spans="1:17">
      <c r="A8">
        <v>128</v>
      </c>
      <c r="B8" t="s">
        <v>57</v>
      </c>
      <c r="C8" s="1">
        <v>45615</v>
      </c>
      <c r="D8" s="2" t="s">
        <v>28</v>
      </c>
      <c r="E8" t="s">
        <v>34</v>
      </c>
      <c r="G8" s="3">
        <v>293</v>
      </c>
      <c r="H8" t="s">
        <v>174</v>
      </c>
      <c r="I8" s="3" t="str">
        <f t="shared" si="0"/>
        <v>2024-11</v>
      </c>
      <c r="J8" s="1">
        <f t="shared" si="1"/>
        <v>45808</v>
      </c>
      <c r="K8" t="str">
        <f t="shared" si="2"/>
        <v>ACTIVE</v>
      </c>
      <c r="L8">
        <f>SUMIFS(G:G, E:E, "SchoolLunchFund")</f>
        <v>802130</v>
      </c>
    </row>
    <row r="9" spans="1:17">
      <c r="A9">
        <v>1678</v>
      </c>
      <c r="B9" t="s">
        <v>137</v>
      </c>
      <c r="C9" s="1">
        <v>45459</v>
      </c>
      <c r="D9" s="2" t="s">
        <v>27</v>
      </c>
      <c r="E9" t="s">
        <v>30</v>
      </c>
      <c r="G9" s="3">
        <v>0</v>
      </c>
      <c r="H9" t="s">
        <v>172</v>
      </c>
      <c r="I9" s="3" t="str">
        <f t="shared" si="0"/>
        <v>2024-06</v>
      </c>
      <c r="J9" s="1">
        <f t="shared" si="1"/>
        <v>45819</v>
      </c>
      <c r="K9" t="str">
        <f t="shared" si="2"/>
        <v>ACTIVE</v>
      </c>
      <c r="L9" s="2">
        <f>SUMIFS(G:G, E:E, "FloodReliefMeals")</f>
        <v>723916</v>
      </c>
    </row>
    <row r="10" spans="1:17">
      <c r="A10">
        <v>1465</v>
      </c>
      <c r="B10" t="s">
        <v>113</v>
      </c>
      <c r="C10" s="1">
        <v>45486</v>
      </c>
      <c r="D10" s="2" t="s">
        <v>28</v>
      </c>
      <c r="E10" t="s">
        <v>35</v>
      </c>
      <c r="G10" s="3">
        <v>1190</v>
      </c>
      <c r="H10" t="s">
        <v>172</v>
      </c>
      <c r="I10" s="3" t="str">
        <f t="shared" si="0"/>
        <v>2024-07</v>
      </c>
      <c r="J10" s="1">
        <f t="shared" si="1"/>
        <v>45788</v>
      </c>
      <c r="K10" t="str">
        <f t="shared" si="2"/>
        <v>ACTIVE</v>
      </c>
    </row>
    <row r="11" spans="1:17">
      <c r="A11">
        <v>919</v>
      </c>
      <c r="B11" t="s">
        <v>68</v>
      </c>
      <c r="C11" s="1">
        <v>45723</v>
      </c>
      <c r="D11" s="2" t="s">
        <v>27</v>
      </c>
      <c r="E11" t="s">
        <v>33</v>
      </c>
      <c r="G11" s="3">
        <v>549</v>
      </c>
      <c r="H11" t="s">
        <v>176</v>
      </c>
      <c r="I11" s="3" t="str">
        <f t="shared" si="0"/>
        <v>2025-03</v>
      </c>
      <c r="J11" s="1">
        <f t="shared" si="1"/>
        <v>45776</v>
      </c>
      <c r="K11" t="str">
        <f t="shared" si="2"/>
        <v>ACTIVE</v>
      </c>
    </row>
    <row r="12" spans="1:17">
      <c r="A12">
        <v>485</v>
      </c>
      <c r="B12" t="s">
        <v>127</v>
      </c>
      <c r="C12" s="1">
        <v>45407</v>
      </c>
      <c r="D12" s="2" t="s">
        <v>25</v>
      </c>
      <c r="E12" t="s">
        <v>33</v>
      </c>
      <c r="G12" s="3">
        <v>1721</v>
      </c>
      <c r="H12" t="s">
        <v>174</v>
      </c>
      <c r="I12" s="3" t="str">
        <f t="shared" si="0"/>
        <v>2024-04</v>
      </c>
      <c r="J12" s="1">
        <f t="shared" si="1"/>
        <v>45794</v>
      </c>
      <c r="K12" t="str">
        <f t="shared" si="2"/>
        <v>ACTIVE</v>
      </c>
    </row>
    <row r="13" spans="1:17">
      <c r="A13">
        <v>1296</v>
      </c>
      <c r="B13" t="s">
        <v>146</v>
      </c>
      <c r="C13" s="1">
        <v>45599</v>
      </c>
      <c r="D13" s="2" t="s">
        <v>23</v>
      </c>
      <c r="E13" t="s">
        <v>32</v>
      </c>
      <c r="G13" s="3">
        <v>440</v>
      </c>
      <c r="H13" t="s">
        <v>174</v>
      </c>
      <c r="I13" s="3" t="str">
        <f t="shared" si="0"/>
        <v>2024-11</v>
      </c>
      <c r="J13" s="1">
        <f t="shared" si="1"/>
        <v>45819</v>
      </c>
      <c r="K13" t="str">
        <f t="shared" si="2"/>
        <v>ACTIVE</v>
      </c>
    </row>
    <row r="14" spans="1:17">
      <c r="A14">
        <v>1089</v>
      </c>
      <c r="B14" t="s">
        <v>43</v>
      </c>
      <c r="C14" s="1">
        <v>45545</v>
      </c>
      <c r="D14" s="2" t="s">
        <v>24</v>
      </c>
      <c r="E14" t="s">
        <v>30</v>
      </c>
      <c r="G14" s="3">
        <v>1125</v>
      </c>
      <c r="H14" t="s">
        <v>173</v>
      </c>
      <c r="I14" s="3" t="str">
        <f t="shared" si="0"/>
        <v>2024-09</v>
      </c>
      <c r="J14" s="1">
        <f t="shared" si="1"/>
        <v>45818</v>
      </c>
      <c r="K14" t="str">
        <f t="shared" si="2"/>
        <v>ACTIVE</v>
      </c>
    </row>
    <row r="15" spans="1:17">
      <c r="A15">
        <v>180</v>
      </c>
      <c r="B15" t="s">
        <v>56</v>
      </c>
      <c r="C15" s="1">
        <v>45681</v>
      </c>
      <c r="D15" s="2" t="s">
        <v>27</v>
      </c>
      <c r="E15" t="s">
        <v>34</v>
      </c>
      <c r="G15" s="3">
        <v>876</v>
      </c>
      <c r="H15" t="s">
        <v>173</v>
      </c>
      <c r="I15" s="3" t="str">
        <f t="shared" si="0"/>
        <v>2025-01</v>
      </c>
      <c r="J15" s="1">
        <f t="shared" si="1"/>
        <v>45805</v>
      </c>
      <c r="K15" t="str">
        <f t="shared" si="2"/>
        <v>ACTIVE</v>
      </c>
    </row>
    <row r="16" spans="1:17">
      <c r="A16">
        <v>695</v>
      </c>
      <c r="B16" t="s">
        <v>133</v>
      </c>
      <c r="C16" s="1">
        <v>45475</v>
      </c>
      <c r="D16" s="2" t="s">
        <v>27</v>
      </c>
      <c r="E16" t="s">
        <v>32</v>
      </c>
      <c r="G16" s="3">
        <v>417</v>
      </c>
      <c r="H16" t="s">
        <v>174</v>
      </c>
      <c r="I16" s="3" t="str">
        <f t="shared" si="0"/>
        <v>2024-07</v>
      </c>
      <c r="J16" s="1">
        <f t="shared" si="1"/>
        <v>45788</v>
      </c>
      <c r="K16" t="str">
        <f t="shared" si="2"/>
        <v>ACTIVE</v>
      </c>
    </row>
    <row r="17" spans="1:11">
      <c r="A17">
        <v>1386</v>
      </c>
      <c r="B17" t="s">
        <v>56</v>
      </c>
      <c r="C17" s="1">
        <v>45364</v>
      </c>
      <c r="D17" s="2" t="s">
        <v>27</v>
      </c>
      <c r="E17" t="s">
        <v>35</v>
      </c>
      <c r="G17" s="3">
        <v>1717</v>
      </c>
      <c r="H17" t="s">
        <v>176</v>
      </c>
      <c r="I17" s="3" t="str">
        <f t="shared" si="0"/>
        <v>2024-03</v>
      </c>
      <c r="J17" s="1">
        <f t="shared" si="1"/>
        <v>45805</v>
      </c>
      <c r="K17" t="str">
        <f t="shared" si="2"/>
        <v>ACTIVE</v>
      </c>
    </row>
    <row r="18" spans="1:11">
      <c r="A18">
        <v>1555</v>
      </c>
      <c r="B18" t="s">
        <v>88</v>
      </c>
      <c r="C18" s="1">
        <v>45644</v>
      </c>
      <c r="D18" s="2" t="s">
        <v>25</v>
      </c>
      <c r="E18" t="s">
        <v>33</v>
      </c>
      <c r="G18" s="3">
        <v>702</v>
      </c>
      <c r="H18" t="s">
        <v>175</v>
      </c>
      <c r="I18" s="3" t="str">
        <f t="shared" si="0"/>
        <v>2024-12</v>
      </c>
      <c r="J18" s="1">
        <f t="shared" si="1"/>
        <v>45763</v>
      </c>
      <c r="K18" t="str">
        <f t="shared" si="2"/>
        <v>ACTIVE</v>
      </c>
    </row>
    <row r="19" spans="1:11">
      <c r="A19">
        <v>976</v>
      </c>
      <c r="B19" t="s">
        <v>47</v>
      </c>
      <c r="C19" s="1">
        <v>45308</v>
      </c>
      <c r="D19" s="2" t="s">
        <v>28</v>
      </c>
      <c r="E19" t="s">
        <v>34</v>
      </c>
      <c r="G19" s="3">
        <v>817</v>
      </c>
      <c r="H19" t="s">
        <v>174</v>
      </c>
      <c r="I19" s="3" t="str">
        <f t="shared" si="0"/>
        <v>2024-01</v>
      </c>
      <c r="J19" s="1">
        <f t="shared" si="1"/>
        <v>45792</v>
      </c>
      <c r="K19" t="str">
        <f t="shared" si="2"/>
        <v>ACTIVE</v>
      </c>
    </row>
    <row r="20" spans="1:11">
      <c r="A20">
        <v>351</v>
      </c>
      <c r="B20" t="s">
        <v>63</v>
      </c>
      <c r="C20" s="1">
        <v>45801</v>
      </c>
      <c r="D20" s="2" t="s">
        <v>23</v>
      </c>
      <c r="E20" t="s">
        <v>33</v>
      </c>
      <c r="G20" s="3">
        <v>2831</v>
      </c>
      <c r="H20" t="s">
        <v>172</v>
      </c>
      <c r="I20" s="3" t="str">
        <f t="shared" si="0"/>
        <v>2025-05</v>
      </c>
      <c r="J20" s="1">
        <f t="shared" si="1"/>
        <v>45805</v>
      </c>
      <c r="K20" t="str">
        <f t="shared" si="2"/>
        <v>ACTIVE</v>
      </c>
    </row>
    <row r="21" spans="1:11">
      <c r="A21">
        <v>397</v>
      </c>
      <c r="B21" t="s">
        <v>138</v>
      </c>
      <c r="C21" s="1">
        <v>45375</v>
      </c>
      <c r="D21" s="2" t="s">
        <v>24</v>
      </c>
      <c r="E21" t="s">
        <v>33</v>
      </c>
      <c r="G21" s="3">
        <v>8786</v>
      </c>
      <c r="H21" t="s">
        <v>176</v>
      </c>
      <c r="I21" s="3" t="str">
        <f t="shared" si="0"/>
        <v>2024-03</v>
      </c>
      <c r="J21" s="1">
        <f t="shared" si="1"/>
        <v>45798</v>
      </c>
      <c r="K21" t="str">
        <f t="shared" si="2"/>
        <v>ACTIVE</v>
      </c>
    </row>
    <row r="22" spans="1:11">
      <c r="A22">
        <v>451</v>
      </c>
      <c r="B22" t="s">
        <v>73</v>
      </c>
      <c r="C22" s="1">
        <v>45570</v>
      </c>
      <c r="D22" s="2" t="s">
        <v>23</v>
      </c>
      <c r="E22" t="s">
        <v>31</v>
      </c>
      <c r="G22" s="3">
        <v>656</v>
      </c>
      <c r="H22" t="s">
        <v>176</v>
      </c>
      <c r="I22" s="3" t="str">
        <f t="shared" si="0"/>
        <v>2024-10</v>
      </c>
      <c r="J22" s="1">
        <f t="shared" si="1"/>
        <v>45800</v>
      </c>
      <c r="K22" t="str">
        <f t="shared" si="2"/>
        <v>ACTIVE</v>
      </c>
    </row>
    <row r="23" spans="1:11">
      <c r="A23">
        <v>489</v>
      </c>
      <c r="B23" t="s">
        <v>84</v>
      </c>
      <c r="C23" s="1">
        <v>45528</v>
      </c>
      <c r="D23" s="2" t="s">
        <v>23</v>
      </c>
      <c r="E23" t="s">
        <v>30</v>
      </c>
      <c r="G23" s="3">
        <v>1162</v>
      </c>
      <c r="H23" t="s">
        <v>173</v>
      </c>
      <c r="I23" s="3" t="str">
        <f t="shared" si="0"/>
        <v>2024-08</v>
      </c>
      <c r="J23" s="1">
        <f t="shared" si="1"/>
        <v>45827</v>
      </c>
      <c r="K23" t="str">
        <f t="shared" si="2"/>
        <v>ACTIVE</v>
      </c>
    </row>
    <row r="24" spans="1:11">
      <c r="A24">
        <v>205</v>
      </c>
      <c r="B24" t="s">
        <v>112</v>
      </c>
      <c r="C24" s="1">
        <v>45721</v>
      </c>
      <c r="D24" s="2" t="s">
        <v>25</v>
      </c>
      <c r="E24" t="s">
        <v>33</v>
      </c>
      <c r="G24" s="3">
        <v>1654</v>
      </c>
      <c r="H24" t="s">
        <v>175</v>
      </c>
      <c r="I24" s="3" t="str">
        <f t="shared" si="0"/>
        <v>2025-03</v>
      </c>
      <c r="J24" s="1">
        <f t="shared" si="1"/>
        <v>45815</v>
      </c>
      <c r="K24" t="str">
        <f t="shared" si="2"/>
        <v>ACTIVE</v>
      </c>
    </row>
    <row r="25" spans="1:11">
      <c r="A25">
        <v>59</v>
      </c>
      <c r="B25" t="s">
        <v>52</v>
      </c>
      <c r="C25" s="1">
        <v>45793</v>
      </c>
      <c r="D25" s="2" t="s">
        <v>28</v>
      </c>
      <c r="E25" t="s">
        <v>31</v>
      </c>
      <c r="G25" s="3">
        <v>325</v>
      </c>
      <c r="H25" t="s">
        <v>173</v>
      </c>
      <c r="I25" s="3" t="str">
        <f t="shared" si="0"/>
        <v>2025-05</v>
      </c>
      <c r="J25" s="1">
        <f t="shared" si="1"/>
        <v>45811</v>
      </c>
      <c r="K25" t="str">
        <f t="shared" si="2"/>
        <v>ACTIVE</v>
      </c>
    </row>
    <row r="26" spans="1:11">
      <c r="A26">
        <v>872</v>
      </c>
      <c r="B26" t="s">
        <v>120</v>
      </c>
      <c r="C26" s="1">
        <v>45726</v>
      </c>
      <c r="D26" s="2" t="s">
        <v>23</v>
      </c>
      <c r="E26" t="s">
        <v>30</v>
      </c>
      <c r="G26" s="3">
        <v>1488</v>
      </c>
      <c r="H26" t="s">
        <v>175</v>
      </c>
      <c r="I26" s="3" t="str">
        <f t="shared" si="0"/>
        <v>2025-03</v>
      </c>
      <c r="J26" s="1">
        <f t="shared" si="1"/>
        <v>45817</v>
      </c>
      <c r="K26" t="str">
        <f t="shared" si="2"/>
        <v>ACTIVE</v>
      </c>
    </row>
    <row r="27" spans="1:11">
      <c r="A27">
        <v>1361</v>
      </c>
      <c r="B27" t="s">
        <v>111</v>
      </c>
      <c r="C27" s="1">
        <v>45382</v>
      </c>
      <c r="D27" s="2" t="s">
        <v>24</v>
      </c>
      <c r="E27" t="s">
        <v>32</v>
      </c>
      <c r="G27" s="3">
        <v>305</v>
      </c>
      <c r="H27" t="s">
        <v>174</v>
      </c>
      <c r="I27" s="3" t="str">
        <f t="shared" si="0"/>
        <v>2024-03</v>
      </c>
      <c r="J27" s="1">
        <f t="shared" si="1"/>
        <v>45829</v>
      </c>
      <c r="K27" t="str">
        <f t="shared" si="2"/>
        <v>ACTIVE</v>
      </c>
    </row>
    <row r="28" spans="1:11">
      <c r="A28">
        <v>1138</v>
      </c>
      <c r="B28" t="s">
        <v>85</v>
      </c>
      <c r="C28" s="1">
        <v>45639</v>
      </c>
      <c r="D28" s="2" t="s">
        <v>27</v>
      </c>
      <c r="E28" t="s">
        <v>32</v>
      </c>
      <c r="G28" s="3">
        <v>1371</v>
      </c>
      <c r="H28" t="s">
        <v>173</v>
      </c>
      <c r="I28" s="3" t="str">
        <f t="shared" si="0"/>
        <v>2024-12</v>
      </c>
      <c r="J28" s="1">
        <f t="shared" si="1"/>
        <v>45826</v>
      </c>
      <c r="K28" t="str">
        <f t="shared" si="2"/>
        <v>ACTIVE</v>
      </c>
    </row>
    <row r="29" spans="1:11">
      <c r="A29">
        <v>631</v>
      </c>
      <c r="B29" t="s">
        <v>158</v>
      </c>
      <c r="C29" s="1">
        <v>45296</v>
      </c>
      <c r="D29" s="2" t="s">
        <v>25</v>
      </c>
      <c r="E29" t="s">
        <v>33</v>
      </c>
      <c r="G29" s="3">
        <v>11405</v>
      </c>
      <c r="H29" t="s">
        <v>173</v>
      </c>
      <c r="I29" s="3" t="str">
        <f t="shared" si="0"/>
        <v>2024-01</v>
      </c>
      <c r="J29" s="1">
        <f t="shared" si="1"/>
        <v>45740</v>
      </c>
      <c r="K29" t="str">
        <f t="shared" si="2"/>
        <v>LAPSED</v>
      </c>
    </row>
    <row r="30" spans="1:11">
      <c r="A30">
        <v>1276</v>
      </c>
      <c r="B30" t="s">
        <v>48</v>
      </c>
      <c r="C30" s="1">
        <v>45619</v>
      </c>
      <c r="D30" s="2" t="s">
        <v>27</v>
      </c>
      <c r="E30" t="s">
        <v>32</v>
      </c>
      <c r="G30" s="3">
        <v>2057</v>
      </c>
      <c r="H30" t="s">
        <v>175</v>
      </c>
      <c r="I30" s="3" t="str">
        <f t="shared" si="0"/>
        <v>2024-11</v>
      </c>
      <c r="J30" s="1">
        <f t="shared" si="1"/>
        <v>45809</v>
      </c>
      <c r="K30" t="str">
        <f t="shared" si="2"/>
        <v>ACTIVE</v>
      </c>
    </row>
    <row r="31" spans="1:11">
      <c r="A31">
        <v>900</v>
      </c>
      <c r="B31" t="s">
        <v>117</v>
      </c>
      <c r="C31" s="1">
        <v>45293</v>
      </c>
      <c r="D31" s="2" t="s">
        <v>24</v>
      </c>
      <c r="E31" t="s">
        <v>30</v>
      </c>
      <c r="G31" s="3">
        <v>4649</v>
      </c>
      <c r="H31" t="s">
        <v>175</v>
      </c>
      <c r="I31" s="3" t="str">
        <f t="shared" si="0"/>
        <v>2024-01</v>
      </c>
      <c r="J31" s="1">
        <f t="shared" si="1"/>
        <v>45790</v>
      </c>
      <c r="K31" t="str">
        <f t="shared" si="2"/>
        <v>ACTIVE</v>
      </c>
    </row>
    <row r="32" spans="1:11">
      <c r="A32">
        <v>1345</v>
      </c>
      <c r="B32" t="s">
        <v>41</v>
      </c>
      <c r="C32" s="1">
        <v>45697</v>
      </c>
      <c r="D32" s="2" t="s">
        <v>23</v>
      </c>
      <c r="E32" t="s">
        <v>31</v>
      </c>
      <c r="G32" s="3">
        <v>243</v>
      </c>
      <c r="H32" t="s">
        <v>173</v>
      </c>
      <c r="I32" s="3" t="str">
        <f t="shared" si="0"/>
        <v>2025-02</v>
      </c>
      <c r="J32" s="1">
        <f t="shared" si="1"/>
        <v>45785</v>
      </c>
      <c r="K32" t="str">
        <f t="shared" si="2"/>
        <v>ACTIVE</v>
      </c>
    </row>
    <row r="33" spans="1:11">
      <c r="A33">
        <v>364</v>
      </c>
      <c r="B33" t="s">
        <v>134</v>
      </c>
      <c r="C33" s="1">
        <v>45385</v>
      </c>
      <c r="D33" s="2" t="s">
        <v>23</v>
      </c>
      <c r="E33" t="s">
        <v>35</v>
      </c>
      <c r="G33" s="3">
        <v>2890</v>
      </c>
      <c r="H33" t="s">
        <v>175</v>
      </c>
      <c r="I33" s="3" t="str">
        <f t="shared" si="0"/>
        <v>2024-04</v>
      </c>
      <c r="J33" s="1">
        <f t="shared" si="1"/>
        <v>45776</v>
      </c>
      <c r="K33" t="str">
        <f t="shared" si="2"/>
        <v>ACTIVE</v>
      </c>
    </row>
    <row r="34" spans="1:11">
      <c r="A34">
        <v>1095</v>
      </c>
      <c r="B34" t="s">
        <v>141</v>
      </c>
      <c r="C34" s="1">
        <v>45504</v>
      </c>
      <c r="D34" s="2" t="s">
        <v>28</v>
      </c>
      <c r="E34" t="s">
        <v>35</v>
      </c>
      <c r="G34" s="3">
        <v>1667</v>
      </c>
      <c r="H34" t="s">
        <v>173</v>
      </c>
      <c r="I34" s="3" t="str">
        <f t="shared" si="0"/>
        <v>2024-07</v>
      </c>
      <c r="J34" s="1">
        <f t="shared" si="1"/>
        <v>45773</v>
      </c>
      <c r="K34" t="str">
        <f t="shared" si="2"/>
        <v>ACTIVE</v>
      </c>
    </row>
    <row r="35" spans="1:11">
      <c r="A35">
        <v>1051</v>
      </c>
      <c r="B35" t="s">
        <v>97</v>
      </c>
      <c r="C35" s="1">
        <v>45659</v>
      </c>
      <c r="D35" s="2" t="s">
        <v>23</v>
      </c>
      <c r="E35" t="s">
        <v>33</v>
      </c>
      <c r="G35" s="3">
        <v>618</v>
      </c>
      <c r="H35" t="s">
        <v>176</v>
      </c>
      <c r="I35" s="3" t="str">
        <f t="shared" si="0"/>
        <v>2025-01</v>
      </c>
      <c r="J35" s="1">
        <f t="shared" si="1"/>
        <v>45794</v>
      </c>
      <c r="K35" t="str">
        <f t="shared" si="2"/>
        <v>ACTIVE</v>
      </c>
    </row>
    <row r="36" spans="1:11">
      <c r="A36">
        <v>1412</v>
      </c>
      <c r="B36" t="s">
        <v>124</v>
      </c>
      <c r="C36" s="1">
        <v>45384</v>
      </c>
      <c r="D36" s="2" t="s">
        <v>27</v>
      </c>
      <c r="E36" t="s">
        <v>34</v>
      </c>
      <c r="G36" s="3">
        <v>8200</v>
      </c>
      <c r="H36" t="s">
        <v>176</v>
      </c>
      <c r="I36" s="3" t="str">
        <f t="shared" si="0"/>
        <v>2024-04</v>
      </c>
      <c r="J36" s="1">
        <f t="shared" si="1"/>
        <v>45793</v>
      </c>
      <c r="K36" t="str">
        <f t="shared" si="2"/>
        <v>ACTIVE</v>
      </c>
    </row>
    <row r="37" spans="1:11">
      <c r="A37">
        <v>368</v>
      </c>
      <c r="B37" t="s">
        <v>125</v>
      </c>
      <c r="C37" s="1">
        <v>45487</v>
      </c>
      <c r="D37" s="2" t="s">
        <v>24</v>
      </c>
      <c r="E37" t="s">
        <v>34</v>
      </c>
      <c r="G37" s="3">
        <v>614</v>
      </c>
      <c r="H37" t="s">
        <v>175</v>
      </c>
      <c r="I37" s="3" t="str">
        <f t="shared" si="0"/>
        <v>2024-07</v>
      </c>
      <c r="J37" s="1">
        <f t="shared" si="1"/>
        <v>45784</v>
      </c>
      <c r="K37" t="str">
        <f t="shared" si="2"/>
        <v>ACTIVE</v>
      </c>
    </row>
    <row r="38" spans="1:11">
      <c r="A38">
        <v>1151</v>
      </c>
      <c r="B38" t="s">
        <v>157</v>
      </c>
      <c r="C38" s="1">
        <v>45338</v>
      </c>
      <c r="D38" s="2" t="s">
        <v>28</v>
      </c>
      <c r="E38" t="s">
        <v>33</v>
      </c>
      <c r="G38" s="3">
        <v>2273</v>
      </c>
      <c r="H38" t="s">
        <v>173</v>
      </c>
      <c r="I38" s="3" t="str">
        <f t="shared" si="0"/>
        <v>2024-02</v>
      </c>
      <c r="J38" s="1">
        <f t="shared" si="1"/>
        <v>45729</v>
      </c>
      <c r="K38" t="str">
        <f t="shared" si="2"/>
        <v>LAPSED</v>
      </c>
    </row>
    <row r="39" spans="1:11">
      <c r="A39">
        <v>1626</v>
      </c>
      <c r="B39" t="s">
        <v>122</v>
      </c>
      <c r="C39" s="1">
        <v>45507</v>
      </c>
      <c r="D39" s="2" t="s">
        <v>24</v>
      </c>
      <c r="E39" t="s">
        <v>30</v>
      </c>
      <c r="G39" s="3">
        <v>9429</v>
      </c>
      <c r="H39" t="s">
        <v>172</v>
      </c>
      <c r="I39" s="3" t="str">
        <f t="shared" si="0"/>
        <v>2024-08</v>
      </c>
      <c r="J39" s="1">
        <f t="shared" si="1"/>
        <v>45793</v>
      </c>
      <c r="K39" t="str">
        <f t="shared" si="2"/>
        <v>ACTIVE</v>
      </c>
    </row>
    <row r="40" spans="1:11">
      <c r="A40">
        <v>573</v>
      </c>
      <c r="B40" t="s">
        <v>87</v>
      </c>
      <c r="C40" s="1">
        <v>45335</v>
      </c>
      <c r="D40" s="2" t="s">
        <v>25</v>
      </c>
      <c r="E40" t="s">
        <v>33</v>
      </c>
      <c r="G40" s="3">
        <v>9833</v>
      </c>
      <c r="H40" t="s">
        <v>175</v>
      </c>
      <c r="I40" s="3" t="str">
        <f t="shared" si="0"/>
        <v>2024-02</v>
      </c>
      <c r="J40" s="1">
        <f t="shared" si="1"/>
        <v>45821</v>
      </c>
      <c r="K40" t="str">
        <f t="shared" si="2"/>
        <v>ACTIVE</v>
      </c>
    </row>
    <row r="41" spans="1:11">
      <c r="A41">
        <v>1211</v>
      </c>
      <c r="B41" t="s">
        <v>117</v>
      </c>
      <c r="C41" s="1">
        <v>45378</v>
      </c>
      <c r="D41" s="2" t="s">
        <v>28</v>
      </c>
      <c r="E41" t="s">
        <v>32</v>
      </c>
      <c r="G41" s="3">
        <v>590</v>
      </c>
      <c r="H41" t="s">
        <v>174</v>
      </c>
      <c r="I41" s="3" t="str">
        <f t="shared" si="0"/>
        <v>2024-03</v>
      </c>
      <c r="J41" s="1">
        <f t="shared" si="1"/>
        <v>45790</v>
      </c>
      <c r="K41" t="str">
        <f t="shared" si="2"/>
        <v>ACTIVE</v>
      </c>
    </row>
    <row r="42" spans="1:11">
      <c r="A42">
        <v>604</v>
      </c>
      <c r="B42" t="s">
        <v>94</v>
      </c>
      <c r="C42" s="1">
        <v>45747</v>
      </c>
      <c r="D42" s="2" t="s">
        <v>24</v>
      </c>
      <c r="E42" t="s">
        <v>35</v>
      </c>
      <c r="G42" s="3">
        <v>1739</v>
      </c>
      <c r="H42" t="s">
        <v>174</v>
      </c>
      <c r="I42" s="3" t="str">
        <f t="shared" si="0"/>
        <v>2025-03</v>
      </c>
      <c r="J42" s="1">
        <f t="shared" si="1"/>
        <v>45824</v>
      </c>
      <c r="K42" t="str">
        <f t="shared" si="2"/>
        <v>ACTIVE</v>
      </c>
    </row>
    <row r="43" spans="1:11">
      <c r="A43">
        <v>1017</v>
      </c>
      <c r="B43" t="s">
        <v>59</v>
      </c>
      <c r="C43" s="1">
        <v>45538</v>
      </c>
      <c r="D43" s="2" t="s">
        <v>23</v>
      </c>
      <c r="E43" t="s">
        <v>30</v>
      </c>
      <c r="G43" s="3">
        <v>8801</v>
      </c>
      <c r="H43" t="s">
        <v>173</v>
      </c>
      <c r="I43" s="3" t="str">
        <f t="shared" si="0"/>
        <v>2024-09</v>
      </c>
      <c r="J43" s="1">
        <f t="shared" si="1"/>
        <v>45829</v>
      </c>
      <c r="K43" t="str">
        <f t="shared" si="2"/>
        <v>ACTIVE</v>
      </c>
    </row>
    <row r="44" spans="1:11">
      <c r="A44">
        <v>1455</v>
      </c>
      <c r="B44" t="s">
        <v>119</v>
      </c>
      <c r="C44" s="1">
        <v>45526</v>
      </c>
      <c r="D44" s="2" t="s">
        <v>23</v>
      </c>
      <c r="E44" t="s">
        <v>31</v>
      </c>
      <c r="G44" s="3">
        <v>680</v>
      </c>
      <c r="H44" t="s">
        <v>175</v>
      </c>
      <c r="I44" s="3" t="str">
        <f t="shared" si="0"/>
        <v>2024-08</v>
      </c>
      <c r="J44" s="1">
        <f t="shared" si="1"/>
        <v>45806</v>
      </c>
      <c r="K44" t="str">
        <f t="shared" si="2"/>
        <v>ACTIVE</v>
      </c>
    </row>
    <row r="45" spans="1:11">
      <c r="A45">
        <v>456</v>
      </c>
      <c r="B45" t="s">
        <v>94</v>
      </c>
      <c r="C45" s="1">
        <v>45495</v>
      </c>
      <c r="D45" s="2" t="s">
        <v>25</v>
      </c>
      <c r="E45" t="s">
        <v>35</v>
      </c>
      <c r="G45" s="3">
        <v>1978</v>
      </c>
      <c r="H45" t="s">
        <v>174</v>
      </c>
      <c r="I45" s="3" t="str">
        <f t="shared" si="0"/>
        <v>2024-07</v>
      </c>
      <c r="J45" s="1">
        <f t="shared" si="1"/>
        <v>45824</v>
      </c>
      <c r="K45" t="str">
        <f t="shared" si="2"/>
        <v>ACTIVE</v>
      </c>
    </row>
    <row r="46" spans="1:11">
      <c r="A46">
        <v>314</v>
      </c>
      <c r="B46" t="s">
        <v>118</v>
      </c>
      <c r="C46" s="1">
        <v>45563</v>
      </c>
      <c r="D46" s="2" t="s">
        <v>24</v>
      </c>
      <c r="E46" t="s">
        <v>31</v>
      </c>
      <c r="G46" s="3">
        <v>1677</v>
      </c>
      <c r="H46" t="s">
        <v>173</v>
      </c>
      <c r="I46" s="3" t="str">
        <f t="shared" si="0"/>
        <v>2024-09</v>
      </c>
      <c r="J46" s="1">
        <f t="shared" si="1"/>
        <v>45830</v>
      </c>
      <c r="K46" t="str">
        <f t="shared" si="2"/>
        <v>ACTIVE</v>
      </c>
    </row>
    <row r="47" spans="1:11">
      <c r="A47">
        <v>507</v>
      </c>
      <c r="B47" t="s">
        <v>60</v>
      </c>
      <c r="C47" s="1">
        <v>45440</v>
      </c>
      <c r="D47" s="2" t="s">
        <v>25</v>
      </c>
      <c r="E47" t="s">
        <v>32</v>
      </c>
      <c r="G47" s="3">
        <v>2310</v>
      </c>
      <c r="H47" t="s">
        <v>173</v>
      </c>
      <c r="I47" s="3" t="str">
        <f t="shared" si="0"/>
        <v>2024-05</v>
      </c>
      <c r="J47" s="1">
        <f t="shared" si="1"/>
        <v>45801</v>
      </c>
      <c r="K47" t="str">
        <f t="shared" si="2"/>
        <v>ACTIVE</v>
      </c>
    </row>
    <row r="48" spans="1:11">
      <c r="A48">
        <v>1204</v>
      </c>
      <c r="B48" t="s">
        <v>131</v>
      </c>
      <c r="C48" s="1">
        <v>45497</v>
      </c>
      <c r="D48" s="2" t="s">
        <v>23</v>
      </c>
      <c r="E48" t="s">
        <v>31</v>
      </c>
      <c r="G48" s="3">
        <v>1313</v>
      </c>
      <c r="H48" t="s">
        <v>172</v>
      </c>
      <c r="I48" s="3" t="str">
        <f t="shared" si="0"/>
        <v>2024-07</v>
      </c>
      <c r="J48" s="1">
        <f t="shared" si="1"/>
        <v>45807</v>
      </c>
      <c r="K48" t="str">
        <f t="shared" si="2"/>
        <v>ACTIVE</v>
      </c>
    </row>
    <row r="49" spans="1:11">
      <c r="A49">
        <v>1262</v>
      </c>
      <c r="B49" t="s">
        <v>84</v>
      </c>
      <c r="C49" s="1">
        <v>45709</v>
      </c>
      <c r="D49" s="2" t="s">
        <v>28</v>
      </c>
      <c r="E49" t="s">
        <v>33</v>
      </c>
      <c r="G49" s="3">
        <v>4366</v>
      </c>
      <c r="H49" t="s">
        <v>174</v>
      </c>
      <c r="I49" s="3" t="str">
        <f t="shared" si="0"/>
        <v>2025-02</v>
      </c>
      <c r="J49" s="1">
        <f t="shared" si="1"/>
        <v>45827</v>
      </c>
      <c r="K49" t="str">
        <f t="shared" si="2"/>
        <v>ACTIVE</v>
      </c>
    </row>
    <row r="50" spans="1:11">
      <c r="A50">
        <v>1150</v>
      </c>
      <c r="B50" t="s">
        <v>83</v>
      </c>
      <c r="C50" s="1">
        <v>45342</v>
      </c>
      <c r="D50" s="2" t="s">
        <v>23</v>
      </c>
      <c r="E50" t="s">
        <v>32</v>
      </c>
      <c r="G50" s="3">
        <v>2209</v>
      </c>
      <c r="H50" t="s">
        <v>173</v>
      </c>
      <c r="I50" s="3" t="str">
        <f t="shared" si="0"/>
        <v>2024-02</v>
      </c>
      <c r="J50" s="1">
        <f t="shared" si="1"/>
        <v>45816</v>
      </c>
      <c r="K50" t="str">
        <f t="shared" si="2"/>
        <v>ACTIVE</v>
      </c>
    </row>
    <row r="51" spans="1:11">
      <c r="A51">
        <v>1047</v>
      </c>
      <c r="B51" t="s">
        <v>135</v>
      </c>
      <c r="C51" s="1">
        <v>45350</v>
      </c>
      <c r="D51" s="2" t="s">
        <v>25</v>
      </c>
      <c r="E51" t="s">
        <v>35</v>
      </c>
      <c r="G51" s="3">
        <v>886</v>
      </c>
      <c r="H51" t="s">
        <v>174</v>
      </c>
      <c r="I51" s="3" t="str">
        <f t="shared" si="0"/>
        <v>2024-02</v>
      </c>
      <c r="J51" s="1">
        <f t="shared" si="1"/>
        <v>45785</v>
      </c>
      <c r="K51" t="str">
        <f t="shared" si="2"/>
        <v>ACTIVE</v>
      </c>
    </row>
    <row r="52" spans="1:11">
      <c r="A52">
        <v>345</v>
      </c>
      <c r="B52" t="s">
        <v>65</v>
      </c>
      <c r="C52" s="1">
        <v>45546</v>
      </c>
      <c r="D52" s="2" t="s">
        <v>24</v>
      </c>
      <c r="E52" t="s">
        <v>31</v>
      </c>
      <c r="G52" s="3">
        <v>1262</v>
      </c>
      <c r="H52" t="s">
        <v>175</v>
      </c>
      <c r="I52" s="3" t="str">
        <f t="shared" si="0"/>
        <v>2024-09</v>
      </c>
      <c r="J52" s="1">
        <f t="shared" si="1"/>
        <v>45813</v>
      </c>
      <c r="K52" t="str">
        <f t="shared" si="2"/>
        <v>ACTIVE</v>
      </c>
    </row>
    <row r="53" spans="1:11">
      <c r="A53">
        <v>1597</v>
      </c>
      <c r="B53" t="s">
        <v>59</v>
      </c>
      <c r="C53" s="1">
        <v>45787</v>
      </c>
      <c r="D53" s="2" t="s">
        <v>25</v>
      </c>
      <c r="E53" t="s">
        <v>33</v>
      </c>
      <c r="G53" s="3">
        <v>11332</v>
      </c>
      <c r="H53" t="s">
        <v>174</v>
      </c>
      <c r="I53" s="3" t="str">
        <f t="shared" si="0"/>
        <v>2025-05</v>
      </c>
      <c r="J53" s="1">
        <f t="shared" si="1"/>
        <v>45829</v>
      </c>
      <c r="K53" t="str">
        <f t="shared" si="2"/>
        <v>ACTIVE</v>
      </c>
    </row>
    <row r="54" spans="1:11">
      <c r="A54">
        <v>230</v>
      </c>
      <c r="B54" t="s">
        <v>77</v>
      </c>
      <c r="C54" s="1">
        <v>45690</v>
      </c>
      <c r="D54" s="2" t="s">
        <v>24</v>
      </c>
      <c r="E54" t="s">
        <v>34</v>
      </c>
      <c r="G54" s="3">
        <v>802</v>
      </c>
      <c r="H54" t="s">
        <v>174</v>
      </c>
      <c r="I54" s="3" t="str">
        <f t="shared" si="0"/>
        <v>2025-02</v>
      </c>
      <c r="J54" s="1">
        <f t="shared" si="1"/>
        <v>45821</v>
      </c>
      <c r="K54" t="str">
        <f t="shared" si="2"/>
        <v>ACTIVE</v>
      </c>
    </row>
    <row r="55" spans="1:11">
      <c r="A55">
        <v>282</v>
      </c>
      <c r="B55" t="s">
        <v>65</v>
      </c>
      <c r="C55" s="1">
        <v>45721</v>
      </c>
      <c r="D55" s="2" t="s">
        <v>24</v>
      </c>
      <c r="E55" t="s">
        <v>33</v>
      </c>
      <c r="G55" s="3">
        <v>875</v>
      </c>
      <c r="H55" t="s">
        <v>174</v>
      </c>
      <c r="I55" s="3" t="str">
        <f t="shared" si="0"/>
        <v>2025-03</v>
      </c>
      <c r="J55" s="1">
        <f t="shared" si="1"/>
        <v>45813</v>
      </c>
      <c r="K55" t="str">
        <f t="shared" si="2"/>
        <v>ACTIVE</v>
      </c>
    </row>
    <row r="56" spans="1:11">
      <c r="A56">
        <v>867</v>
      </c>
      <c r="B56" t="s">
        <v>77</v>
      </c>
      <c r="C56" s="1">
        <v>45466</v>
      </c>
      <c r="D56" s="2" t="s">
        <v>28</v>
      </c>
      <c r="E56" t="s">
        <v>33</v>
      </c>
      <c r="G56" s="3">
        <v>5612</v>
      </c>
      <c r="H56" t="s">
        <v>175</v>
      </c>
      <c r="I56" s="3" t="str">
        <f t="shared" si="0"/>
        <v>2024-06</v>
      </c>
      <c r="J56" s="1">
        <f t="shared" si="1"/>
        <v>45821</v>
      </c>
      <c r="K56" t="str">
        <f t="shared" si="2"/>
        <v>ACTIVE</v>
      </c>
    </row>
    <row r="57" spans="1:11">
      <c r="A57">
        <v>876</v>
      </c>
      <c r="B57" t="s">
        <v>74</v>
      </c>
      <c r="C57" s="1">
        <v>45412</v>
      </c>
      <c r="D57" s="2" t="s">
        <v>24</v>
      </c>
      <c r="E57" t="s">
        <v>32</v>
      </c>
      <c r="G57" s="3">
        <v>2265</v>
      </c>
      <c r="H57" t="s">
        <v>176</v>
      </c>
      <c r="I57" s="3" t="str">
        <f t="shared" si="0"/>
        <v>2024-04</v>
      </c>
      <c r="J57" s="1">
        <f t="shared" si="1"/>
        <v>45773</v>
      </c>
      <c r="K57" t="str">
        <f t="shared" si="2"/>
        <v>ACTIVE</v>
      </c>
    </row>
    <row r="58" spans="1:11">
      <c r="A58">
        <v>877</v>
      </c>
      <c r="B58" t="s">
        <v>137</v>
      </c>
      <c r="C58" s="1">
        <v>45819</v>
      </c>
      <c r="D58" s="2" t="s">
        <v>26</v>
      </c>
      <c r="E58" t="s">
        <v>32</v>
      </c>
      <c r="G58" s="3">
        <v>247</v>
      </c>
      <c r="H58" t="s">
        <v>176</v>
      </c>
      <c r="I58" s="3" t="str">
        <f t="shared" si="0"/>
        <v>2025-06</v>
      </c>
      <c r="J58" s="1">
        <f t="shared" si="1"/>
        <v>45819</v>
      </c>
      <c r="K58" t="str">
        <f t="shared" si="2"/>
        <v>ACTIVE</v>
      </c>
    </row>
    <row r="59" spans="1:11">
      <c r="A59">
        <v>1355</v>
      </c>
      <c r="B59" t="s">
        <v>89</v>
      </c>
      <c r="C59" s="1">
        <v>45578</v>
      </c>
      <c r="D59" s="2" t="s">
        <v>25</v>
      </c>
      <c r="E59" t="s">
        <v>31</v>
      </c>
      <c r="G59" s="3">
        <v>580</v>
      </c>
      <c r="H59" t="s">
        <v>174</v>
      </c>
      <c r="I59" s="3" t="str">
        <f t="shared" si="0"/>
        <v>2024-10</v>
      </c>
      <c r="J59" s="1">
        <f t="shared" si="1"/>
        <v>45826</v>
      </c>
      <c r="K59" t="str">
        <f t="shared" si="2"/>
        <v>ACTIVE</v>
      </c>
    </row>
    <row r="60" spans="1:11">
      <c r="A60">
        <v>1581</v>
      </c>
      <c r="B60" t="s">
        <v>133</v>
      </c>
      <c r="C60" s="1">
        <v>45587</v>
      </c>
      <c r="D60" s="2" t="s">
        <v>23</v>
      </c>
      <c r="E60" t="s">
        <v>34</v>
      </c>
      <c r="G60" s="3">
        <v>1276</v>
      </c>
      <c r="H60" t="s">
        <v>176</v>
      </c>
      <c r="I60" s="3" t="str">
        <f t="shared" si="0"/>
        <v>2024-10</v>
      </c>
      <c r="J60" s="1">
        <f t="shared" si="1"/>
        <v>45788</v>
      </c>
      <c r="K60" t="str">
        <f t="shared" si="2"/>
        <v>ACTIVE</v>
      </c>
    </row>
    <row r="61" spans="1:11">
      <c r="A61">
        <v>420</v>
      </c>
      <c r="B61" t="s">
        <v>49</v>
      </c>
      <c r="C61" s="1">
        <v>45671</v>
      </c>
      <c r="D61" s="2" t="s">
        <v>23</v>
      </c>
      <c r="E61" t="s">
        <v>34</v>
      </c>
      <c r="G61" s="3">
        <v>879</v>
      </c>
      <c r="H61" t="s">
        <v>173</v>
      </c>
      <c r="I61" s="3" t="str">
        <f t="shared" si="0"/>
        <v>2025-01</v>
      </c>
      <c r="J61" s="1">
        <f t="shared" si="1"/>
        <v>45812</v>
      </c>
      <c r="K61" t="str">
        <f t="shared" si="2"/>
        <v>ACTIVE</v>
      </c>
    </row>
    <row r="62" spans="1:11">
      <c r="A62">
        <v>375</v>
      </c>
      <c r="B62" t="s">
        <v>73</v>
      </c>
      <c r="C62" s="1">
        <v>45456</v>
      </c>
      <c r="D62" s="2" t="s">
        <v>24</v>
      </c>
      <c r="E62" t="s">
        <v>33</v>
      </c>
      <c r="G62" s="3">
        <v>538</v>
      </c>
      <c r="H62" t="s">
        <v>174</v>
      </c>
      <c r="I62" s="3" t="str">
        <f t="shared" si="0"/>
        <v>2024-06</v>
      </c>
      <c r="J62" s="1">
        <f t="shared" si="1"/>
        <v>45800</v>
      </c>
      <c r="K62" t="str">
        <f t="shared" si="2"/>
        <v>ACTIVE</v>
      </c>
    </row>
    <row r="63" spans="1:11">
      <c r="A63">
        <v>1196</v>
      </c>
      <c r="B63" t="s">
        <v>122</v>
      </c>
      <c r="C63" s="1">
        <v>45590</v>
      </c>
      <c r="D63" s="2" t="s">
        <v>25</v>
      </c>
      <c r="E63" t="s">
        <v>33</v>
      </c>
      <c r="G63" s="3">
        <v>1148</v>
      </c>
      <c r="H63" t="s">
        <v>174</v>
      </c>
      <c r="I63" s="3" t="str">
        <f t="shared" si="0"/>
        <v>2024-10</v>
      </c>
      <c r="J63" s="1">
        <f t="shared" si="1"/>
        <v>45793</v>
      </c>
      <c r="K63" t="str">
        <f t="shared" si="2"/>
        <v>ACTIVE</v>
      </c>
    </row>
    <row r="64" spans="1:11">
      <c r="A64">
        <v>299</v>
      </c>
      <c r="B64" t="s">
        <v>80</v>
      </c>
      <c r="C64" s="1">
        <v>45788</v>
      </c>
      <c r="D64" s="2" t="s">
        <v>23</v>
      </c>
      <c r="E64" t="s">
        <v>35</v>
      </c>
      <c r="G64" s="3">
        <v>4777</v>
      </c>
      <c r="H64" t="s">
        <v>172</v>
      </c>
      <c r="I64" s="3" t="str">
        <f t="shared" si="0"/>
        <v>2025-05</v>
      </c>
      <c r="J64" s="1">
        <f t="shared" si="1"/>
        <v>45788</v>
      </c>
      <c r="K64" t="str">
        <f t="shared" si="2"/>
        <v>ACTIVE</v>
      </c>
    </row>
    <row r="65" spans="1:11">
      <c r="A65">
        <v>1279</v>
      </c>
      <c r="B65" t="s">
        <v>88</v>
      </c>
      <c r="C65" s="1">
        <v>45571</v>
      </c>
      <c r="D65" s="2" t="s">
        <v>25</v>
      </c>
      <c r="E65" t="s">
        <v>32</v>
      </c>
      <c r="G65" s="3">
        <v>713</v>
      </c>
      <c r="H65" t="s">
        <v>172</v>
      </c>
      <c r="I65" s="3" t="str">
        <f t="shared" si="0"/>
        <v>2024-10</v>
      </c>
      <c r="J65" s="1">
        <f t="shared" si="1"/>
        <v>45763</v>
      </c>
      <c r="K65" t="str">
        <f t="shared" si="2"/>
        <v>ACTIVE</v>
      </c>
    </row>
    <row r="66" spans="1:11">
      <c r="A66">
        <v>756</v>
      </c>
      <c r="B66" t="s">
        <v>127</v>
      </c>
      <c r="C66" s="1">
        <v>45317</v>
      </c>
      <c r="D66" s="2" t="s">
        <v>27</v>
      </c>
      <c r="E66" t="s">
        <v>30</v>
      </c>
      <c r="G66" s="3">
        <v>887</v>
      </c>
      <c r="H66" t="s">
        <v>172</v>
      </c>
      <c r="I66" s="3" t="str">
        <f t="shared" si="0"/>
        <v>2024-01</v>
      </c>
      <c r="J66" s="1">
        <f t="shared" si="1"/>
        <v>45794</v>
      </c>
      <c r="K66" t="str">
        <f t="shared" si="2"/>
        <v>ACTIVE</v>
      </c>
    </row>
    <row r="67" spans="1:11">
      <c r="A67">
        <v>417</v>
      </c>
      <c r="B67" t="s">
        <v>106</v>
      </c>
      <c r="C67" s="1">
        <v>45671</v>
      </c>
      <c r="D67" s="2" t="s">
        <v>23</v>
      </c>
      <c r="E67" t="s">
        <v>32</v>
      </c>
      <c r="G67" s="3">
        <v>2989</v>
      </c>
      <c r="H67" t="s">
        <v>175</v>
      </c>
      <c r="I67" s="3" t="str">
        <f t="shared" ref="I67:I130" si="3">TEXT(C67, "yyyy-mm")</f>
        <v>2025-01</v>
      </c>
      <c r="J67" s="1">
        <f t="shared" ref="J67:J130" si="4">_xlfn.MAXIFS(C:C, B:B, B67)</f>
        <v>45760</v>
      </c>
      <c r="K67" t="str">
        <f t="shared" ref="K67:K130" si="5">IF($L$3-J67&gt;90, "LAPSED","ACTIVE")</f>
        <v>ACTIVE</v>
      </c>
    </row>
    <row r="68" spans="1:11">
      <c r="A68">
        <v>1183</v>
      </c>
      <c r="B68" t="s">
        <v>39</v>
      </c>
      <c r="C68" s="1">
        <v>45759</v>
      </c>
      <c r="D68" s="2" t="s">
        <v>24</v>
      </c>
      <c r="E68" t="s">
        <v>32</v>
      </c>
      <c r="G68" s="3">
        <v>2493</v>
      </c>
      <c r="H68" t="s">
        <v>172</v>
      </c>
      <c r="I68" s="3" t="str">
        <f t="shared" si="3"/>
        <v>2025-04</v>
      </c>
      <c r="J68" s="1">
        <f t="shared" si="4"/>
        <v>45795</v>
      </c>
      <c r="K68" t="str">
        <f t="shared" si="5"/>
        <v>ACTIVE</v>
      </c>
    </row>
    <row r="69" spans="1:11">
      <c r="A69">
        <v>325</v>
      </c>
      <c r="B69" t="s">
        <v>45</v>
      </c>
      <c r="C69" s="1">
        <v>45535</v>
      </c>
      <c r="D69" s="2" t="s">
        <v>28</v>
      </c>
      <c r="E69" t="s">
        <v>31</v>
      </c>
      <c r="G69" s="3">
        <v>4040</v>
      </c>
      <c r="H69" t="s">
        <v>174</v>
      </c>
      <c r="I69" s="3" t="str">
        <f t="shared" si="3"/>
        <v>2024-08</v>
      </c>
      <c r="J69" s="1">
        <f t="shared" si="4"/>
        <v>45829</v>
      </c>
      <c r="K69" t="str">
        <f t="shared" si="5"/>
        <v>ACTIVE</v>
      </c>
    </row>
    <row r="70" spans="1:11">
      <c r="A70">
        <v>1427</v>
      </c>
      <c r="B70" t="s">
        <v>80</v>
      </c>
      <c r="C70" s="1">
        <v>45763</v>
      </c>
      <c r="D70" s="2" t="s">
        <v>23</v>
      </c>
      <c r="E70" t="s">
        <v>31</v>
      </c>
      <c r="G70" s="3">
        <v>2368</v>
      </c>
      <c r="H70" t="s">
        <v>175</v>
      </c>
      <c r="I70" s="3" t="str">
        <f t="shared" si="3"/>
        <v>2025-04</v>
      </c>
      <c r="J70" s="1">
        <f t="shared" si="4"/>
        <v>45788</v>
      </c>
      <c r="K70" t="str">
        <f t="shared" si="5"/>
        <v>ACTIVE</v>
      </c>
    </row>
    <row r="71" spans="1:11">
      <c r="A71">
        <v>1094</v>
      </c>
      <c r="B71" t="s">
        <v>93</v>
      </c>
      <c r="C71" s="1">
        <v>45529</v>
      </c>
      <c r="D71" s="2" t="s">
        <v>24</v>
      </c>
      <c r="E71" t="s">
        <v>32</v>
      </c>
      <c r="G71" s="3">
        <v>1057</v>
      </c>
      <c r="H71" t="s">
        <v>174</v>
      </c>
      <c r="I71" s="3" t="str">
        <f t="shared" si="3"/>
        <v>2024-08</v>
      </c>
      <c r="J71" s="1">
        <f t="shared" si="4"/>
        <v>45830</v>
      </c>
      <c r="K71" t="str">
        <f t="shared" si="5"/>
        <v>ACTIVE</v>
      </c>
    </row>
    <row r="72" spans="1:11">
      <c r="A72">
        <v>117</v>
      </c>
      <c r="B72" t="s">
        <v>47</v>
      </c>
      <c r="C72" s="1">
        <v>45702</v>
      </c>
      <c r="D72" s="2" t="s">
        <v>27</v>
      </c>
      <c r="E72" t="s">
        <v>30</v>
      </c>
      <c r="G72" s="3">
        <v>418</v>
      </c>
      <c r="H72" t="s">
        <v>175</v>
      </c>
      <c r="I72" s="3" t="str">
        <f t="shared" si="3"/>
        <v>2025-02</v>
      </c>
      <c r="J72" s="1">
        <f t="shared" si="4"/>
        <v>45792</v>
      </c>
      <c r="K72" t="str">
        <f t="shared" si="5"/>
        <v>ACTIVE</v>
      </c>
    </row>
    <row r="73" spans="1:11">
      <c r="A73">
        <v>755</v>
      </c>
      <c r="B73" t="s">
        <v>144</v>
      </c>
      <c r="C73" s="1">
        <v>45336</v>
      </c>
      <c r="D73" s="2" t="s">
        <v>27</v>
      </c>
      <c r="E73" t="s">
        <v>34</v>
      </c>
      <c r="G73" s="3">
        <v>2918</v>
      </c>
      <c r="H73" t="s">
        <v>175</v>
      </c>
      <c r="I73" s="3" t="str">
        <f t="shared" si="3"/>
        <v>2024-02</v>
      </c>
      <c r="J73" s="1">
        <f t="shared" si="4"/>
        <v>45751</v>
      </c>
      <c r="K73" t="str">
        <f t="shared" si="5"/>
        <v>ACTIVE</v>
      </c>
    </row>
    <row r="74" spans="1:11">
      <c r="A74">
        <v>770</v>
      </c>
      <c r="B74" t="s">
        <v>44</v>
      </c>
      <c r="C74" s="1">
        <v>45660</v>
      </c>
      <c r="D74" s="2" t="s">
        <v>25</v>
      </c>
      <c r="E74" t="s">
        <v>33</v>
      </c>
      <c r="G74" s="3">
        <v>1827</v>
      </c>
      <c r="H74" t="s">
        <v>172</v>
      </c>
      <c r="I74" s="3" t="str">
        <f t="shared" si="3"/>
        <v>2025-01</v>
      </c>
      <c r="J74" s="1">
        <f t="shared" si="4"/>
        <v>45814</v>
      </c>
      <c r="K74" t="str">
        <f t="shared" si="5"/>
        <v>ACTIVE</v>
      </c>
    </row>
    <row r="75" spans="1:11">
      <c r="A75">
        <v>1615</v>
      </c>
      <c r="B75" t="s">
        <v>155</v>
      </c>
      <c r="C75" s="1">
        <v>45325</v>
      </c>
      <c r="D75" s="2" t="s">
        <v>27</v>
      </c>
      <c r="E75" t="s">
        <v>35</v>
      </c>
      <c r="G75" s="3">
        <v>1004</v>
      </c>
      <c r="H75" t="s">
        <v>173</v>
      </c>
      <c r="I75" s="3" t="str">
        <f t="shared" si="3"/>
        <v>2024-02</v>
      </c>
      <c r="J75" s="1">
        <f t="shared" si="4"/>
        <v>45698</v>
      </c>
      <c r="K75" t="str">
        <f t="shared" si="5"/>
        <v>LAPSED</v>
      </c>
    </row>
    <row r="76" spans="1:11">
      <c r="A76">
        <v>141</v>
      </c>
      <c r="B76" t="s">
        <v>139</v>
      </c>
      <c r="C76" s="1">
        <v>45820</v>
      </c>
      <c r="D76" s="2" t="s">
        <v>25</v>
      </c>
      <c r="E76" t="s">
        <v>31</v>
      </c>
      <c r="G76" s="3">
        <v>1105</v>
      </c>
      <c r="H76" t="s">
        <v>174</v>
      </c>
      <c r="I76" s="3" t="str">
        <f t="shared" si="3"/>
        <v>2025-06</v>
      </c>
      <c r="J76" s="1">
        <f t="shared" si="4"/>
        <v>45830</v>
      </c>
      <c r="K76" t="str">
        <f t="shared" si="5"/>
        <v>ACTIVE</v>
      </c>
    </row>
    <row r="77" spans="1:11">
      <c r="A77">
        <v>541</v>
      </c>
      <c r="B77" t="s">
        <v>75</v>
      </c>
      <c r="C77" s="1">
        <v>45616</v>
      </c>
      <c r="D77" s="2" t="s">
        <v>23</v>
      </c>
      <c r="E77" t="s">
        <v>30</v>
      </c>
      <c r="G77" s="3">
        <v>2919</v>
      </c>
      <c r="H77" t="s">
        <v>173</v>
      </c>
      <c r="I77" s="3" t="str">
        <f t="shared" si="3"/>
        <v>2024-11</v>
      </c>
      <c r="J77" s="1">
        <f t="shared" si="4"/>
        <v>45772</v>
      </c>
      <c r="K77" t="str">
        <f t="shared" si="5"/>
        <v>ACTIVE</v>
      </c>
    </row>
    <row r="78" spans="1:11">
      <c r="A78">
        <v>1711</v>
      </c>
      <c r="B78" t="s">
        <v>45</v>
      </c>
      <c r="C78" s="1">
        <v>45729</v>
      </c>
      <c r="D78" s="2" t="s">
        <v>23</v>
      </c>
      <c r="E78" t="s">
        <v>33</v>
      </c>
      <c r="G78" s="3">
        <v>11516</v>
      </c>
      <c r="H78" t="s">
        <v>176</v>
      </c>
      <c r="I78" s="3" t="str">
        <f t="shared" si="3"/>
        <v>2025-03</v>
      </c>
      <c r="J78" s="1">
        <f t="shared" si="4"/>
        <v>45829</v>
      </c>
      <c r="K78" t="str">
        <f t="shared" si="5"/>
        <v>ACTIVE</v>
      </c>
    </row>
    <row r="79" spans="1:11">
      <c r="A79">
        <v>3</v>
      </c>
      <c r="B79" t="s">
        <v>135</v>
      </c>
      <c r="C79" s="1">
        <v>45576</v>
      </c>
      <c r="D79" s="2" t="s">
        <v>25</v>
      </c>
      <c r="E79" t="s">
        <v>33</v>
      </c>
      <c r="G79" s="3">
        <v>702</v>
      </c>
      <c r="H79" t="s">
        <v>172</v>
      </c>
      <c r="I79" s="3" t="str">
        <f t="shared" si="3"/>
        <v>2024-10</v>
      </c>
      <c r="J79" s="1">
        <f t="shared" si="4"/>
        <v>45785</v>
      </c>
      <c r="K79" t="str">
        <f t="shared" si="5"/>
        <v>ACTIVE</v>
      </c>
    </row>
    <row r="80" spans="1:11">
      <c r="A80">
        <v>377</v>
      </c>
      <c r="B80" t="s">
        <v>105</v>
      </c>
      <c r="C80" s="1">
        <v>45612</v>
      </c>
      <c r="D80" s="2" t="s">
        <v>25</v>
      </c>
      <c r="E80" t="s">
        <v>34</v>
      </c>
      <c r="G80" s="3">
        <v>2203</v>
      </c>
      <c r="H80" t="s">
        <v>173</v>
      </c>
      <c r="I80" s="3" t="str">
        <f t="shared" si="3"/>
        <v>2024-11</v>
      </c>
      <c r="J80" s="1">
        <f t="shared" si="4"/>
        <v>45816</v>
      </c>
      <c r="K80" t="str">
        <f t="shared" si="5"/>
        <v>ACTIVE</v>
      </c>
    </row>
    <row r="81" spans="1:11">
      <c r="A81">
        <v>360</v>
      </c>
      <c r="B81" t="s">
        <v>101</v>
      </c>
      <c r="C81" s="1">
        <v>45823</v>
      </c>
      <c r="D81" s="2" t="s">
        <v>23</v>
      </c>
      <c r="E81" t="s">
        <v>34</v>
      </c>
      <c r="G81" s="3">
        <v>799</v>
      </c>
      <c r="H81" t="s">
        <v>172</v>
      </c>
      <c r="I81" s="3" t="str">
        <f t="shared" si="3"/>
        <v>2025-06</v>
      </c>
      <c r="J81" s="1">
        <f t="shared" si="4"/>
        <v>45823</v>
      </c>
      <c r="K81" t="str">
        <f t="shared" si="5"/>
        <v>ACTIVE</v>
      </c>
    </row>
    <row r="82" spans="1:11">
      <c r="A82">
        <v>242</v>
      </c>
      <c r="B82" t="s">
        <v>93</v>
      </c>
      <c r="C82" s="1">
        <v>45518</v>
      </c>
      <c r="D82" s="2" t="s">
        <v>24</v>
      </c>
      <c r="E82" t="s">
        <v>32</v>
      </c>
      <c r="G82" s="3">
        <v>333</v>
      </c>
      <c r="H82" t="s">
        <v>175</v>
      </c>
      <c r="I82" s="3" t="str">
        <f t="shared" si="3"/>
        <v>2024-08</v>
      </c>
      <c r="J82" s="1">
        <f t="shared" si="4"/>
        <v>45830</v>
      </c>
      <c r="K82" t="str">
        <f t="shared" si="5"/>
        <v>ACTIVE</v>
      </c>
    </row>
    <row r="83" spans="1:11">
      <c r="A83">
        <v>588</v>
      </c>
      <c r="B83" t="s">
        <v>72</v>
      </c>
      <c r="C83" s="1">
        <v>45353</v>
      </c>
      <c r="D83" s="2" t="s">
        <v>27</v>
      </c>
      <c r="E83" t="s">
        <v>34</v>
      </c>
      <c r="G83" s="3">
        <v>295</v>
      </c>
      <c r="H83" t="s">
        <v>172</v>
      </c>
      <c r="I83" s="3" t="str">
        <f t="shared" si="3"/>
        <v>2024-03</v>
      </c>
      <c r="J83" s="1">
        <f t="shared" si="4"/>
        <v>45815</v>
      </c>
      <c r="K83" t="str">
        <f t="shared" si="5"/>
        <v>ACTIVE</v>
      </c>
    </row>
    <row r="84" spans="1:11">
      <c r="A84">
        <v>1511</v>
      </c>
      <c r="B84" t="s">
        <v>42</v>
      </c>
      <c r="C84" s="1">
        <v>45637</v>
      </c>
      <c r="D84" s="2" t="s">
        <v>25</v>
      </c>
      <c r="E84" t="s">
        <v>34</v>
      </c>
      <c r="G84" s="3">
        <v>555</v>
      </c>
      <c r="H84" t="s">
        <v>176</v>
      </c>
      <c r="I84" s="3" t="str">
        <f t="shared" si="3"/>
        <v>2024-12</v>
      </c>
      <c r="J84" s="1">
        <f t="shared" si="4"/>
        <v>45803</v>
      </c>
      <c r="K84" t="str">
        <f t="shared" si="5"/>
        <v>ACTIVE</v>
      </c>
    </row>
    <row r="85" spans="1:11">
      <c r="A85">
        <v>1126</v>
      </c>
      <c r="B85" t="s">
        <v>149</v>
      </c>
      <c r="C85" s="1">
        <v>45324</v>
      </c>
      <c r="D85" s="2" t="s">
        <v>25</v>
      </c>
      <c r="E85" t="s">
        <v>35</v>
      </c>
      <c r="G85" s="3">
        <v>1485</v>
      </c>
      <c r="H85" t="s">
        <v>173</v>
      </c>
      <c r="I85" s="3" t="str">
        <f t="shared" si="3"/>
        <v>2024-02</v>
      </c>
      <c r="J85" s="1">
        <f t="shared" si="4"/>
        <v>45795</v>
      </c>
      <c r="K85" t="str">
        <f t="shared" si="5"/>
        <v>ACTIVE</v>
      </c>
    </row>
    <row r="86" spans="1:11">
      <c r="A86">
        <v>1107</v>
      </c>
      <c r="B86" t="s">
        <v>64</v>
      </c>
      <c r="C86" s="1">
        <v>45776</v>
      </c>
      <c r="D86" s="2" t="s">
        <v>27</v>
      </c>
      <c r="E86" t="s">
        <v>34</v>
      </c>
      <c r="G86" s="3">
        <v>2391</v>
      </c>
      <c r="H86" t="s">
        <v>176</v>
      </c>
      <c r="I86" s="3" t="str">
        <f t="shared" si="3"/>
        <v>2025-04</v>
      </c>
      <c r="J86" s="1">
        <f t="shared" si="4"/>
        <v>45814</v>
      </c>
      <c r="K86" t="str">
        <f t="shared" si="5"/>
        <v>ACTIVE</v>
      </c>
    </row>
    <row r="87" spans="1:11">
      <c r="A87">
        <v>1322</v>
      </c>
      <c r="B87" t="s">
        <v>122</v>
      </c>
      <c r="C87" s="1">
        <v>45335</v>
      </c>
      <c r="D87" s="2" t="s">
        <v>24</v>
      </c>
      <c r="E87" t="s">
        <v>32</v>
      </c>
      <c r="G87" s="3">
        <v>346</v>
      </c>
      <c r="H87" t="s">
        <v>174</v>
      </c>
      <c r="I87" s="3" t="str">
        <f t="shared" si="3"/>
        <v>2024-02</v>
      </c>
      <c r="J87" s="1">
        <f t="shared" si="4"/>
        <v>45793</v>
      </c>
      <c r="K87" t="str">
        <f t="shared" si="5"/>
        <v>ACTIVE</v>
      </c>
    </row>
    <row r="88" spans="1:11">
      <c r="A88">
        <v>1574</v>
      </c>
      <c r="B88" t="s">
        <v>127</v>
      </c>
      <c r="C88" s="1">
        <v>45640</v>
      </c>
      <c r="D88" s="2" t="s">
        <v>28</v>
      </c>
      <c r="E88" t="s">
        <v>30</v>
      </c>
      <c r="G88" s="3">
        <v>268</v>
      </c>
      <c r="H88" t="s">
        <v>173</v>
      </c>
      <c r="I88" s="3" t="str">
        <f t="shared" si="3"/>
        <v>2024-12</v>
      </c>
      <c r="J88" s="1">
        <f t="shared" si="4"/>
        <v>45794</v>
      </c>
      <c r="K88" t="str">
        <f t="shared" si="5"/>
        <v>ACTIVE</v>
      </c>
    </row>
    <row r="89" spans="1:11">
      <c r="A89">
        <v>962</v>
      </c>
      <c r="B89" t="s">
        <v>86</v>
      </c>
      <c r="C89" s="1">
        <v>45504</v>
      </c>
      <c r="D89" s="2" t="s">
        <v>25</v>
      </c>
      <c r="E89" t="s">
        <v>32</v>
      </c>
      <c r="G89" s="3">
        <v>483</v>
      </c>
      <c r="H89" t="s">
        <v>173</v>
      </c>
      <c r="I89" s="3" t="str">
        <f t="shared" si="3"/>
        <v>2024-07</v>
      </c>
      <c r="J89" s="1">
        <f t="shared" si="4"/>
        <v>45819</v>
      </c>
      <c r="K89" t="str">
        <f t="shared" si="5"/>
        <v>ACTIVE</v>
      </c>
    </row>
    <row r="90" spans="1:11">
      <c r="A90">
        <v>72</v>
      </c>
      <c r="B90" t="s">
        <v>74</v>
      </c>
      <c r="C90" s="1">
        <v>45773</v>
      </c>
      <c r="D90" s="2" t="s">
        <v>25</v>
      </c>
      <c r="E90" t="s">
        <v>33</v>
      </c>
      <c r="G90" s="3">
        <v>2707</v>
      </c>
      <c r="H90" t="s">
        <v>173</v>
      </c>
      <c r="I90" s="3" t="str">
        <f t="shared" si="3"/>
        <v>2025-04</v>
      </c>
      <c r="J90" s="1">
        <f t="shared" si="4"/>
        <v>45773</v>
      </c>
      <c r="K90" t="str">
        <f t="shared" si="5"/>
        <v>ACTIVE</v>
      </c>
    </row>
    <row r="91" spans="1:11">
      <c r="A91">
        <v>1682</v>
      </c>
      <c r="B91" t="s">
        <v>131</v>
      </c>
      <c r="C91" s="1">
        <v>45358</v>
      </c>
      <c r="D91" s="2" t="s">
        <v>23</v>
      </c>
      <c r="E91" t="s">
        <v>33</v>
      </c>
      <c r="G91" s="3">
        <v>2595</v>
      </c>
      <c r="H91" t="s">
        <v>175</v>
      </c>
      <c r="I91" s="3" t="str">
        <f t="shared" si="3"/>
        <v>2024-03</v>
      </c>
      <c r="J91" s="1">
        <f t="shared" si="4"/>
        <v>45807</v>
      </c>
      <c r="K91" t="str">
        <f t="shared" si="5"/>
        <v>ACTIVE</v>
      </c>
    </row>
    <row r="92" spans="1:11">
      <c r="A92">
        <v>285</v>
      </c>
      <c r="B92" t="s">
        <v>131</v>
      </c>
      <c r="C92" s="1">
        <v>45797</v>
      </c>
      <c r="D92" s="2" t="s">
        <v>27</v>
      </c>
      <c r="E92" t="s">
        <v>30</v>
      </c>
      <c r="G92" s="3">
        <v>11042</v>
      </c>
      <c r="H92" t="s">
        <v>172</v>
      </c>
      <c r="I92" s="3" t="str">
        <f t="shared" si="3"/>
        <v>2025-05</v>
      </c>
      <c r="J92" s="1">
        <f t="shared" si="4"/>
        <v>45807</v>
      </c>
      <c r="K92" t="str">
        <f t="shared" si="5"/>
        <v>ACTIVE</v>
      </c>
    </row>
    <row r="93" spans="1:11">
      <c r="A93">
        <v>830</v>
      </c>
      <c r="B93" t="s">
        <v>51</v>
      </c>
      <c r="C93" s="1">
        <v>45334</v>
      </c>
      <c r="D93" s="2" t="s">
        <v>27</v>
      </c>
      <c r="E93" t="s">
        <v>35</v>
      </c>
      <c r="G93" s="3">
        <v>475</v>
      </c>
      <c r="H93" t="s">
        <v>175</v>
      </c>
      <c r="I93" s="3" t="str">
        <f t="shared" si="3"/>
        <v>2024-02</v>
      </c>
      <c r="J93" s="1">
        <f t="shared" si="4"/>
        <v>45775</v>
      </c>
      <c r="K93" t="str">
        <f t="shared" si="5"/>
        <v>ACTIVE</v>
      </c>
    </row>
    <row r="94" spans="1:11">
      <c r="A94">
        <v>1648</v>
      </c>
      <c r="B94" t="s">
        <v>135</v>
      </c>
      <c r="C94" s="1">
        <v>45391</v>
      </c>
      <c r="D94" s="2" t="s">
        <v>24</v>
      </c>
      <c r="E94" t="s">
        <v>32</v>
      </c>
      <c r="G94" s="3">
        <v>859</v>
      </c>
      <c r="H94" t="s">
        <v>176</v>
      </c>
      <c r="I94" s="3" t="str">
        <f t="shared" si="3"/>
        <v>2024-04</v>
      </c>
      <c r="J94" s="1">
        <f t="shared" si="4"/>
        <v>45785</v>
      </c>
      <c r="K94" t="str">
        <f t="shared" si="5"/>
        <v>ACTIVE</v>
      </c>
    </row>
    <row r="95" spans="1:11">
      <c r="A95">
        <v>5</v>
      </c>
      <c r="B95" t="s">
        <v>108</v>
      </c>
      <c r="C95" s="1">
        <v>45662</v>
      </c>
      <c r="D95" s="2" t="s">
        <v>27</v>
      </c>
      <c r="E95" t="s">
        <v>30</v>
      </c>
      <c r="G95" s="3">
        <v>818</v>
      </c>
      <c r="H95" t="s">
        <v>172</v>
      </c>
      <c r="I95" s="3" t="str">
        <f t="shared" si="3"/>
        <v>2025-01</v>
      </c>
      <c r="J95" s="1">
        <f t="shared" si="4"/>
        <v>45826</v>
      </c>
      <c r="K95" t="str">
        <f t="shared" si="5"/>
        <v>ACTIVE</v>
      </c>
    </row>
    <row r="96" spans="1:11">
      <c r="A96">
        <v>416</v>
      </c>
      <c r="B96" t="s">
        <v>70</v>
      </c>
      <c r="C96" s="1">
        <v>45551</v>
      </c>
      <c r="D96" s="2" t="s">
        <v>23</v>
      </c>
      <c r="E96" t="s">
        <v>32</v>
      </c>
      <c r="G96" s="3">
        <v>5224</v>
      </c>
      <c r="H96" t="s">
        <v>173</v>
      </c>
      <c r="I96" s="3" t="str">
        <f t="shared" si="3"/>
        <v>2024-09</v>
      </c>
      <c r="J96" s="1">
        <f t="shared" si="4"/>
        <v>45829</v>
      </c>
      <c r="K96" t="str">
        <f t="shared" si="5"/>
        <v>ACTIVE</v>
      </c>
    </row>
    <row r="97" spans="1:11">
      <c r="A97">
        <v>559</v>
      </c>
      <c r="B97" t="s">
        <v>69</v>
      </c>
      <c r="C97" s="1">
        <v>45392</v>
      </c>
      <c r="D97" s="2" t="s">
        <v>23</v>
      </c>
      <c r="E97" t="s">
        <v>32</v>
      </c>
      <c r="G97" s="3">
        <v>333</v>
      </c>
      <c r="H97" t="s">
        <v>172</v>
      </c>
      <c r="I97" s="3" t="str">
        <f t="shared" si="3"/>
        <v>2024-04</v>
      </c>
      <c r="J97" s="1">
        <f t="shared" si="4"/>
        <v>45829</v>
      </c>
      <c r="K97" t="str">
        <f t="shared" si="5"/>
        <v>ACTIVE</v>
      </c>
    </row>
    <row r="98" spans="1:11">
      <c r="A98">
        <v>1785</v>
      </c>
      <c r="B98" t="s">
        <v>123</v>
      </c>
      <c r="C98" s="1">
        <v>45492</v>
      </c>
      <c r="D98" s="2" t="s">
        <v>25</v>
      </c>
      <c r="E98" t="s">
        <v>30</v>
      </c>
      <c r="G98" s="3">
        <v>1641</v>
      </c>
      <c r="H98" t="s">
        <v>176</v>
      </c>
      <c r="I98" s="3" t="str">
        <f t="shared" si="3"/>
        <v>2024-07</v>
      </c>
      <c r="J98" s="1">
        <f t="shared" si="4"/>
        <v>45772</v>
      </c>
      <c r="K98" t="str">
        <f t="shared" si="5"/>
        <v>ACTIVE</v>
      </c>
    </row>
    <row r="99" spans="1:11">
      <c r="A99">
        <v>621</v>
      </c>
      <c r="B99" t="s">
        <v>156</v>
      </c>
      <c r="C99" s="1">
        <v>45370</v>
      </c>
      <c r="D99" s="2" t="s">
        <v>27</v>
      </c>
      <c r="E99" t="s">
        <v>30</v>
      </c>
      <c r="G99" s="3">
        <v>1659</v>
      </c>
      <c r="H99" t="s">
        <v>175</v>
      </c>
      <c r="I99" s="3" t="str">
        <f t="shared" si="3"/>
        <v>2024-03</v>
      </c>
      <c r="J99" s="1">
        <f t="shared" si="4"/>
        <v>45738</v>
      </c>
      <c r="K99" t="str">
        <f t="shared" si="5"/>
        <v>LAPSED</v>
      </c>
    </row>
    <row r="100" spans="1:11">
      <c r="A100">
        <v>1387</v>
      </c>
      <c r="B100" t="s">
        <v>138</v>
      </c>
      <c r="C100" s="1">
        <v>45715</v>
      </c>
      <c r="D100" s="2" t="s">
        <v>24</v>
      </c>
      <c r="E100" t="s">
        <v>33</v>
      </c>
      <c r="G100" s="3">
        <v>2406</v>
      </c>
      <c r="H100" t="s">
        <v>173</v>
      </c>
      <c r="I100" s="3" t="str">
        <f t="shared" si="3"/>
        <v>2025-02</v>
      </c>
      <c r="J100" s="1">
        <f t="shared" si="4"/>
        <v>45798</v>
      </c>
      <c r="K100" t="str">
        <f t="shared" si="5"/>
        <v>ACTIVE</v>
      </c>
    </row>
    <row r="101" spans="1:11">
      <c r="A101">
        <v>1237</v>
      </c>
      <c r="B101" t="s">
        <v>138</v>
      </c>
      <c r="C101" s="1">
        <v>45798</v>
      </c>
      <c r="D101" s="2" t="s">
        <v>28</v>
      </c>
      <c r="E101" t="s">
        <v>32</v>
      </c>
      <c r="G101" s="3">
        <v>528</v>
      </c>
      <c r="H101" t="s">
        <v>174</v>
      </c>
      <c r="I101" s="3" t="str">
        <f t="shared" si="3"/>
        <v>2025-05</v>
      </c>
      <c r="J101" s="1">
        <f t="shared" si="4"/>
        <v>45798</v>
      </c>
      <c r="K101" t="str">
        <f t="shared" si="5"/>
        <v>ACTIVE</v>
      </c>
    </row>
    <row r="102" spans="1:11">
      <c r="A102">
        <v>934</v>
      </c>
      <c r="B102" t="s">
        <v>105</v>
      </c>
      <c r="C102" s="1">
        <v>45608</v>
      </c>
      <c r="D102" s="2" t="s">
        <v>25</v>
      </c>
      <c r="E102" t="s">
        <v>32</v>
      </c>
      <c r="G102" s="3">
        <v>982</v>
      </c>
      <c r="H102" t="s">
        <v>172</v>
      </c>
      <c r="I102" s="3" t="str">
        <f t="shared" si="3"/>
        <v>2024-11</v>
      </c>
      <c r="J102" s="1">
        <f t="shared" si="4"/>
        <v>45816</v>
      </c>
      <c r="K102" t="str">
        <f t="shared" si="5"/>
        <v>ACTIVE</v>
      </c>
    </row>
    <row r="103" spans="1:11">
      <c r="A103">
        <v>1400</v>
      </c>
      <c r="B103" t="s">
        <v>44</v>
      </c>
      <c r="C103" s="1">
        <v>45347</v>
      </c>
      <c r="D103" s="2" t="s">
        <v>25</v>
      </c>
      <c r="E103" t="s">
        <v>31</v>
      </c>
      <c r="G103" s="3">
        <v>1019</v>
      </c>
      <c r="H103" t="s">
        <v>174</v>
      </c>
      <c r="I103" s="3" t="str">
        <f t="shared" si="3"/>
        <v>2024-02</v>
      </c>
      <c r="J103" s="1">
        <f t="shared" si="4"/>
        <v>45814</v>
      </c>
      <c r="K103" t="str">
        <f t="shared" si="5"/>
        <v>ACTIVE</v>
      </c>
    </row>
    <row r="104" spans="1:11">
      <c r="A104">
        <v>341</v>
      </c>
      <c r="B104" t="s">
        <v>142</v>
      </c>
      <c r="C104" s="1">
        <v>45347</v>
      </c>
      <c r="D104" s="2" t="s">
        <v>27</v>
      </c>
      <c r="E104" t="s">
        <v>33</v>
      </c>
      <c r="G104" s="3">
        <v>1874</v>
      </c>
      <c r="H104" t="s">
        <v>175</v>
      </c>
      <c r="I104" s="3" t="str">
        <f t="shared" si="3"/>
        <v>2024-02</v>
      </c>
      <c r="J104" s="1">
        <f t="shared" si="4"/>
        <v>45803</v>
      </c>
      <c r="K104" t="str">
        <f t="shared" si="5"/>
        <v>ACTIVE</v>
      </c>
    </row>
    <row r="105" spans="1:11">
      <c r="A105">
        <v>937</v>
      </c>
      <c r="B105" t="s">
        <v>139</v>
      </c>
      <c r="C105" s="1">
        <v>45816</v>
      </c>
      <c r="D105" s="2" t="s">
        <v>23</v>
      </c>
      <c r="E105" t="s">
        <v>31</v>
      </c>
      <c r="G105" s="3">
        <v>4167</v>
      </c>
      <c r="H105" t="s">
        <v>173</v>
      </c>
      <c r="I105" s="3" t="str">
        <f t="shared" si="3"/>
        <v>2025-06</v>
      </c>
      <c r="J105" s="1">
        <f t="shared" si="4"/>
        <v>45830</v>
      </c>
      <c r="K105" t="str">
        <f t="shared" si="5"/>
        <v>ACTIVE</v>
      </c>
    </row>
    <row r="106" spans="1:11">
      <c r="A106">
        <v>1433</v>
      </c>
      <c r="B106" t="s">
        <v>102</v>
      </c>
      <c r="C106" s="1">
        <v>45626</v>
      </c>
      <c r="D106" s="2" t="s">
        <v>27</v>
      </c>
      <c r="E106" t="s">
        <v>30</v>
      </c>
      <c r="G106" s="3">
        <v>10730</v>
      </c>
      <c r="H106" t="s">
        <v>175</v>
      </c>
      <c r="I106" s="3" t="str">
        <f t="shared" si="3"/>
        <v>2024-11</v>
      </c>
      <c r="J106" s="1">
        <f t="shared" si="4"/>
        <v>45793</v>
      </c>
      <c r="K106" t="str">
        <f t="shared" si="5"/>
        <v>ACTIVE</v>
      </c>
    </row>
    <row r="107" spans="1:11">
      <c r="A107">
        <v>681</v>
      </c>
      <c r="B107" t="s">
        <v>45</v>
      </c>
      <c r="C107" s="1">
        <v>45742</v>
      </c>
      <c r="D107" s="2" t="s">
        <v>27</v>
      </c>
      <c r="E107" t="s">
        <v>33</v>
      </c>
      <c r="G107" s="3">
        <v>446</v>
      </c>
      <c r="H107" t="s">
        <v>176</v>
      </c>
      <c r="I107" s="3" t="str">
        <f t="shared" si="3"/>
        <v>2025-03</v>
      </c>
      <c r="J107" s="1">
        <f t="shared" si="4"/>
        <v>45829</v>
      </c>
      <c r="K107" t="str">
        <f t="shared" si="5"/>
        <v>ACTIVE</v>
      </c>
    </row>
    <row r="108" spans="1:11">
      <c r="A108">
        <v>693</v>
      </c>
      <c r="B108" t="s">
        <v>121</v>
      </c>
      <c r="C108" s="1">
        <v>45422</v>
      </c>
      <c r="D108" s="2" t="s">
        <v>24</v>
      </c>
      <c r="E108" t="s">
        <v>33</v>
      </c>
      <c r="G108" s="3">
        <v>9711</v>
      </c>
      <c r="H108" t="s">
        <v>175</v>
      </c>
      <c r="I108" s="3" t="str">
        <f t="shared" si="3"/>
        <v>2024-05</v>
      </c>
      <c r="J108" s="1">
        <f t="shared" si="4"/>
        <v>45798</v>
      </c>
      <c r="K108" t="str">
        <f t="shared" si="5"/>
        <v>ACTIVE</v>
      </c>
    </row>
    <row r="109" spans="1:11">
      <c r="A109">
        <v>1344</v>
      </c>
      <c r="B109" t="s">
        <v>97</v>
      </c>
      <c r="C109" s="1">
        <v>45522</v>
      </c>
      <c r="D109" s="2" t="s">
        <v>25</v>
      </c>
      <c r="E109" t="s">
        <v>34</v>
      </c>
      <c r="G109" s="3">
        <v>2207</v>
      </c>
      <c r="H109" t="s">
        <v>172</v>
      </c>
      <c r="I109" s="3" t="str">
        <f t="shared" si="3"/>
        <v>2024-08</v>
      </c>
      <c r="J109" s="1">
        <f t="shared" si="4"/>
        <v>45794</v>
      </c>
      <c r="K109" t="str">
        <f t="shared" si="5"/>
        <v>ACTIVE</v>
      </c>
    </row>
    <row r="110" spans="1:11">
      <c r="A110">
        <v>886</v>
      </c>
      <c r="B110" t="s">
        <v>123</v>
      </c>
      <c r="C110" s="1">
        <v>45397</v>
      </c>
      <c r="D110" s="2" t="s">
        <v>23</v>
      </c>
      <c r="E110" t="s">
        <v>35</v>
      </c>
      <c r="G110" s="3">
        <v>1313</v>
      </c>
      <c r="H110" t="s">
        <v>175</v>
      </c>
      <c r="I110" s="3" t="str">
        <f t="shared" si="3"/>
        <v>2024-04</v>
      </c>
      <c r="J110" s="1">
        <f t="shared" si="4"/>
        <v>45772</v>
      </c>
      <c r="K110" t="str">
        <f t="shared" si="5"/>
        <v>ACTIVE</v>
      </c>
    </row>
    <row r="111" spans="1:11">
      <c r="A111">
        <v>526</v>
      </c>
      <c r="B111" t="s">
        <v>137</v>
      </c>
      <c r="C111" s="1">
        <v>45392</v>
      </c>
      <c r="D111" s="2" t="s">
        <v>26</v>
      </c>
      <c r="E111" t="s">
        <v>30</v>
      </c>
      <c r="G111" s="3">
        <v>1323</v>
      </c>
      <c r="H111" t="s">
        <v>176</v>
      </c>
      <c r="I111" s="3" t="str">
        <f t="shared" si="3"/>
        <v>2024-04</v>
      </c>
      <c r="J111" s="1">
        <f t="shared" si="4"/>
        <v>45819</v>
      </c>
      <c r="K111" t="str">
        <f t="shared" si="5"/>
        <v>ACTIVE</v>
      </c>
    </row>
    <row r="112" spans="1:11">
      <c r="A112">
        <v>1651</v>
      </c>
      <c r="B112" t="s">
        <v>80</v>
      </c>
      <c r="C112" s="1">
        <v>45478</v>
      </c>
      <c r="D112" s="2" t="s">
        <v>23</v>
      </c>
      <c r="E112" t="s">
        <v>35</v>
      </c>
      <c r="G112" s="3">
        <v>4894</v>
      </c>
      <c r="H112" t="s">
        <v>173</v>
      </c>
      <c r="I112" s="3" t="str">
        <f t="shared" si="3"/>
        <v>2024-07</v>
      </c>
      <c r="J112" s="1">
        <f t="shared" si="4"/>
        <v>45788</v>
      </c>
      <c r="K112" t="str">
        <f t="shared" si="5"/>
        <v>ACTIVE</v>
      </c>
    </row>
    <row r="113" spans="1:11">
      <c r="A113">
        <v>1790</v>
      </c>
      <c r="B113" t="s">
        <v>75</v>
      </c>
      <c r="C113" s="1">
        <v>45772</v>
      </c>
      <c r="D113" s="2" t="s">
        <v>28</v>
      </c>
      <c r="E113" t="s">
        <v>35</v>
      </c>
      <c r="G113" s="3">
        <v>572</v>
      </c>
      <c r="H113" t="s">
        <v>172</v>
      </c>
      <c r="I113" s="3" t="str">
        <f t="shared" si="3"/>
        <v>2025-04</v>
      </c>
      <c r="J113" s="1">
        <f t="shared" si="4"/>
        <v>45772</v>
      </c>
      <c r="K113" t="str">
        <f t="shared" si="5"/>
        <v>ACTIVE</v>
      </c>
    </row>
    <row r="114" spans="1:11">
      <c r="A114">
        <v>427</v>
      </c>
      <c r="B114" t="s">
        <v>47</v>
      </c>
      <c r="C114" s="1">
        <v>45556</v>
      </c>
      <c r="D114" s="2" t="s">
        <v>28</v>
      </c>
      <c r="E114" t="s">
        <v>30</v>
      </c>
      <c r="G114" s="3">
        <v>2142</v>
      </c>
      <c r="H114" t="s">
        <v>172</v>
      </c>
      <c r="I114" s="3" t="str">
        <f t="shared" si="3"/>
        <v>2024-09</v>
      </c>
      <c r="J114" s="1">
        <f t="shared" si="4"/>
        <v>45792</v>
      </c>
      <c r="K114" t="str">
        <f t="shared" si="5"/>
        <v>ACTIVE</v>
      </c>
    </row>
    <row r="115" spans="1:11">
      <c r="A115">
        <v>1157</v>
      </c>
      <c r="B115" t="s">
        <v>67</v>
      </c>
      <c r="C115" s="1">
        <v>45794</v>
      </c>
      <c r="D115" s="2" t="s">
        <v>28</v>
      </c>
      <c r="E115" t="s">
        <v>35</v>
      </c>
      <c r="G115" s="3">
        <v>1427</v>
      </c>
      <c r="H115" t="s">
        <v>176</v>
      </c>
      <c r="I115" s="3" t="str">
        <f t="shared" si="3"/>
        <v>2025-05</v>
      </c>
      <c r="J115" s="1">
        <f t="shared" si="4"/>
        <v>45794</v>
      </c>
      <c r="K115" t="str">
        <f t="shared" si="5"/>
        <v>ACTIVE</v>
      </c>
    </row>
    <row r="116" spans="1:11">
      <c r="A116">
        <v>685</v>
      </c>
      <c r="B116" t="s">
        <v>86</v>
      </c>
      <c r="C116" s="1">
        <v>45416</v>
      </c>
      <c r="D116" s="2" t="s">
        <v>24</v>
      </c>
      <c r="E116" t="s">
        <v>35</v>
      </c>
      <c r="G116" s="3">
        <v>1135</v>
      </c>
      <c r="H116" t="s">
        <v>172</v>
      </c>
      <c r="I116" s="3" t="str">
        <f t="shared" si="3"/>
        <v>2024-05</v>
      </c>
      <c r="J116" s="1">
        <f t="shared" si="4"/>
        <v>45819</v>
      </c>
      <c r="K116" t="str">
        <f t="shared" si="5"/>
        <v>ACTIVE</v>
      </c>
    </row>
    <row r="117" spans="1:11">
      <c r="A117">
        <v>884</v>
      </c>
      <c r="B117" t="s">
        <v>90</v>
      </c>
      <c r="C117" s="1">
        <v>45642</v>
      </c>
      <c r="D117" s="2" t="s">
        <v>23</v>
      </c>
      <c r="E117" t="s">
        <v>30</v>
      </c>
      <c r="G117" s="3">
        <v>487</v>
      </c>
      <c r="H117" t="s">
        <v>174</v>
      </c>
      <c r="I117" s="3" t="str">
        <f t="shared" si="3"/>
        <v>2024-12</v>
      </c>
      <c r="J117" s="1">
        <f t="shared" si="4"/>
        <v>45788</v>
      </c>
      <c r="K117" t="str">
        <f t="shared" si="5"/>
        <v>ACTIVE</v>
      </c>
    </row>
    <row r="118" spans="1:11">
      <c r="A118">
        <v>1658</v>
      </c>
      <c r="B118" t="s">
        <v>63</v>
      </c>
      <c r="C118" s="1">
        <v>45358</v>
      </c>
      <c r="D118" s="2" t="s">
        <v>28</v>
      </c>
      <c r="E118" t="s">
        <v>35</v>
      </c>
      <c r="G118" s="3">
        <v>322</v>
      </c>
      <c r="H118" t="s">
        <v>173</v>
      </c>
      <c r="I118" s="3" t="str">
        <f t="shared" si="3"/>
        <v>2024-03</v>
      </c>
      <c r="J118" s="1">
        <f t="shared" si="4"/>
        <v>45805</v>
      </c>
      <c r="K118" t="str">
        <f t="shared" si="5"/>
        <v>ACTIVE</v>
      </c>
    </row>
    <row r="119" spans="1:11">
      <c r="A119">
        <v>864</v>
      </c>
      <c r="B119" t="s">
        <v>48</v>
      </c>
      <c r="C119" s="1">
        <v>45545</v>
      </c>
      <c r="D119" s="2" t="s">
        <v>24</v>
      </c>
      <c r="E119" t="s">
        <v>34</v>
      </c>
      <c r="G119" s="3">
        <v>8440</v>
      </c>
      <c r="H119" t="s">
        <v>175</v>
      </c>
      <c r="I119" s="3" t="str">
        <f t="shared" si="3"/>
        <v>2024-09</v>
      </c>
      <c r="J119" s="1">
        <f t="shared" si="4"/>
        <v>45809</v>
      </c>
      <c r="K119" t="str">
        <f t="shared" si="5"/>
        <v>ACTIVE</v>
      </c>
    </row>
    <row r="120" spans="1:11">
      <c r="A120">
        <v>1709</v>
      </c>
      <c r="B120" t="s">
        <v>78</v>
      </c>
      <c r="C120" s="1">
        <v>45526</v>
      </c>
      <c r="D120" s="2" t="s">
        <v>27</v>
      </c>
      <c r="E120" t="s">
        <v>31</v>
      </c>
      <c r="G120" s="3">
        <v>407</v>
      </c>
      <c r="H120" t="s">
        <v>176</v>
      </c>
      <c r="I120" s="3" t="str">
        <f t="shared" si="3"/>
        <v>2024-08</v>
      </c>
      <c r="J120" s="1">
        <f t="shared" si="4"/>
        <v>45821</v>
      </c>
      <c r="K120" t="str">
        <f t="shared" si="5"/>
        <v>ACTIVE</v>
      </c>
    </row>
    <row r="121" spans="1:11">
      <c r="A121">
        <v>632</v>
      </c>
      <c r="B121" t="s">
        <v>160</v>
      </c>
      <c r="C121" s="1">
        <v>45477</v>
      </c>
      <c r="D121" s="2" t="s">
        <v>24</v>
      </c>
      <c r="E121" t="s">
        <v>32</v>
      </c>
      <c r="G121" s="3">
        <v>664</v>
      </c>
      <c r="H121" t="s">
        <v>172</v>
      </c>
      <c r="I121" s="3" t="str">
        <f t="shared" si="3"/>
        <v>2024-07</v>
      </c>
      <c r="J121" s="1">
        <f t="shared" si="4"/>
        <v>45734</v>
      </c>
      <c r="K121" t="str">
        <f t="shared" si="5"/>
        <v>LAPSED</v>
      </c>
    </row>
    <row r="122" spans="1:11">
      <c r="A122">
        <v>817</v>
      </c>
      <c r="B122" t="s">
        <v>41</v>
      </c>
      <c r="C122" s="1">
        <v>45785</v>
      </c>
      <c r="D122" s="2" t="s">
        <v>28</v>
      </c>
      <c r="E122" t="s">
        <v>32</v>
      </c>
      <c r="G122" s="3">
        <v>1104</v>
      </c>
      <c r="H122" t="s">
        <v>174</v>
      </c>
      <c r="I122" s="3" t="str">
        <f t="shared" si="3"/>
        <v>2025-05</v>
      </c>
      <c r="J122" s="1">
        <f t="shared" si="4"/>
        <v>45785</v>
      </c>
      <c r="K122" t="str">
        <f t="shared" si="5"/>
        <v>ACTIVE</v>
      </c>
    </row>
    <row r="123" spans="1:11">
      <c r="A123">
        <v>1454</v>
      </c>
      <c r="B123" t="s">
        <v>96</v>
      </c>
      <c r="C123" s="1">
        <v>45356</v>
      </c>
      <c r="D123" s="2" t="s">
        <v>28</v>
      </c>
      <c r="E123" t="s">
        <v>32</v>
      </c>
      <c r="G123" s="3">
        <v>2338</v>
      </c>
      <c r="H123" t="s">
        <v>175</v>
      </c>
      <c r="I123" s="3" t="str">
        <f t="shared" si="3"/>
        <v>2024-03</v>
      </c>
      <c r="J123" s="1">
        <f t="shared" si="4"/>
        <v>45798</v>
      </c>
      <c r="K123" t="str">
        <f t="shared" si="5"/>
        <v>ACTIVE</v>
      </c>
    </row>
    <row r="124" spans="1:11">
      <c r="A124">
        <v>528</v>
      </c>
      <c r="B124" t="s">
        <v>115</v>
      </c>
      <c r="C124" s="1">
        <v>45611</v>
      </c>
      <c r="D124" s="2" t="s">
        <v>27</v>
      </c>
      <c r="E124" t="s">
        <v>31</v>
      </c>
      <c r="G124" s="3">
        <v>1754</v>
      </c>
      <c r="H124" t="s">
        <v>174</v>
      </c>
      <c r="I124" s="3" t="str">
        <f t="shared" si="3"/>
        <v>2024-11</v>
      </c>
      <c r="J124" s="1">
        <f t="shared" si="4"/>
        <v>45810</v>
      </c>
      <c r="K124" t="str">
        <f t="shared" si="5"/>
        <v>ACTIVE</v>
      </c>
    </row>
    <row r="125" spans="1:11">
      <c r="A125">
        <v>670</v>
      </c>
      <c r="B125" t="s">
        <v>41</v>
      </c>
      <c r="C125" s="1">
        <v>45521</v>
      </c>
      <c r="D125" s="2" t="s">
        <v>25</v>
      </c>
      <c r="E125" t="s">
        <v>35</v>
      </c>
      <c r="G125" s="3">
        <v>2325</v>
      </c>
      <c r="H125" t="s">
        <v>173</v>
      </c>
      <c r="I125" s="3" t="str">
        <f t="shared" si="3"/>
        <v>2024-08</v>
      </c>
      <c r="J125" s="1">
        <f t="shared" si="4"/>
        <v>45785</v>
      </c>
      <c r="K125" t="str">
        <f t="shared" si="5"/>
        <v>ACTIVE</v>
      </c>
    </row>
    <row r="126" spans="1:11">
      <c r="A126">
        <v>1770</v>
      </c>
      <c r="B126" t="s">
        <v>109</v>
      </c>
      <c r="C126" s="1">
        <v>45480</v>
      </c>
      <c r="D126" s="2" t="s">
        <v>25</v>
      </c>
      <c r="E126" t="s">
        <v>30</v>
      </c>
      <c r="G126" s="3">
        <v>1597</v>
      </c>
      <c r="H126" t="s">
        <v>175</v>
      </c>
      <c r="I126" s="3" t="str">
        <f t="shared" si="3"/>
        <v>2024-07</v>
      </c>
      <c r="J126" s="1">
        <f t="shared" si="4"/>
        <v>45776</v>
      </c>
      <c r="K126" t="str">
        <f t="shared" si="5"/>
        <v>ACTIVE</v>
      </c>
    </row>
    <row r="127" spans="1:11">
      <c r="A127">
        <v>502</v>
      </c>
      <c r="B127" t="s">
        <v>106</v>
      </c>
      <c r="C127" s="1">
        <v>45332</v>
      </c>
      <c r="D127" s="2" t="s">
        <v>28</v>
      </c>
      <c r="E127" t="s">
        <v>35</v>
      </c>
      <c r="G127" s="3">
        <v>438</v>
      </c>
      <c r="H127" t="s">
        <v>173</v>
      </c>
      <c r="I127" s="3" t="str">
        <f t="shared" si="3"/>
        <v>2024-02</v>
      </c>
      <c r="J127" s="1">
        <f t="shared" si="4"/>
        <v>45760</v>
      </c>
      <c r="K127" t="str">
        <f t="shared" si="5"/>
        <v>ACTIVE</v>
      </c>
    </row>
    <row r="128" spans="1:11">
      <c r="A128">
        <v>1029</v>
      </c>
      <c r="B128" t="s">
        <v>159</v>
      </c>
      <c r="C128" s="1">
        <v>45433</v>
      </c>
      <c r="D128" s="2" t="s">
        <v>25</v>
      </c>
      <c r="E128" t="s">
        <v>32</v>
      </c>
      <c r="G128" s="3">
        <v>788</v>
      </c>
      <c r="H128" t="s">
        <v>176</v>
      </c>
      <c r="I128" s="3" t="str">
        <f t="shared" si="3"/>
        <v>2024-05</v>
      </c>
      <c r="J128" s="1">
        <f t="shared" si="4"/>
        <v>45713</v>
      </c>
      <c r="K128" t="str">
        <f t="shared" si="5"/>
        <v>LAPSED</v>
      </c>
    </row>
    <row r="129" spans="1:11">
      <c r="A129">
        <v>1434</v>
      </c>
      <c r="B129" t="s">
        <v>78</v>
      </c>
      <c r="C129" s="1">
        <v>45570</v>
      </c>
      <c r="D129" s="2" t="s">
        <v>23</v>
      </c>
      <c r="E129" t="s">
        <v>31</v>
      </c>
      <c r="G129" s="3">
        <v>357</v>
      </c>
      <c r="H129" t="s">
        <v>173</v>
      </c>
      <c r="I129" s="3" t="str">
        <f t="shared" si="3"/>
        <v>2024-10</v>
      </c>
      <c r="J129" s="1">
        <f t="shared" si="4"/>
        <v>45821</v>
      </c>
      <c r="K129" t="str">
        <f t="shared" si="5"/>
        <v>ACTIVE</v>
      </c>
    </row>
    <row r="130" spans="1:11">
      <c r="A130">
        <v>1117</v>
      </c>
      <c r="B130" t="s">
        <v>145</v>
      </c>
      <c r="C130" s="1">
        <v>45616</v>
      </c>
      <c r="D130" s="2" t="s">
        <v>27</v>
      </c>
      <c r="E130" t="s">
        <v>35</v>
      </c>
      <c r="G130" s="3">
        <v>5033</v>
      </c>
      <c r="H130" t="s">
        <v>173</v>
      </c>
      <c r="I130" s="3" t="str">
        <f t="shared" si="3"/>
        <v>2024-11</v>
      </c>
      <c r="J130" s="1">
        <f t="shared" si="4"/>
        <v>45828</v>
      </c>
      <c r="K130" t="str">
        <f t="shared" si="5"/>
        <v>ACTIVE</v>
      </c>
    </row>
    <row r="131" spans="1:11">
      <c r="A131">
        <v>1135</v>
      </c>
      <c r="B131" t="s">
        <v>85</v>
      </c>
      <c r="C131" s="1">
        <v>45390</v>
      </c>
      <c r="D131" s="2" t="s">
        <v>27</v>
      </c>
      <c r="E131" t="s">
        <v>31</v>
      </c>
      <c r="G131" s="3">
        <v>1440</v>
      </c>
      <c r="H131" t="s">
        <v>174</v>
      </c>
      <c r="I131" s="3" t="str">
        <f t="shared" ref="I131:I194" si="6">TEXT(C131, "yyyy-mm")</f>
        <v>2024-04</v>
      </c>
      <c r="J131" s="1">
        <f t="shared" ref="J131:J194" si="7">_xlfn.MAXIFS(C:C, B:B, B131)</f>
        <v>45826</v>
      </c>
      <c r="K131" t="str">
        <f t="shared" ref="K131:K194" si="8">IF($L$3-J131&gt;90, "LAPSED","ACTIVE")</f>
        <v>ACTIVE</v>
      </c>
    </row>
    <row r="132" spans="1:11">
      <c r="A132">
        <v>1715</v>
      </c>
      <c r="B132" t="s">
        <v>135</v>
      </c>
      <c r="C132" s="1">
        <v>45329</v>
      </c>
      <c r="D132" s="2" t="s">
        <v>25</v>
      </c>
      <c r="E132" t="s">
        <v>30</v>
      </c>
      <c r="G132" s="3">
        <v>10991</v>
      </c>
      <c r="H132" t="s">
        <v>173</v>
      </c>
      <c r="I132" s="3" t="str">
        <f t="shared" si="6"/>
        <v>2024-02</v>
      </c>
      <c r="J132" s="1">
        <f t="shared" si="7"/>
        <v>45785</v>
      </c>
      <c r="K132" t="str">
        <f t="shared" si="8"/>
        <v>ACTIVE</v>
      </c>
    </row>
    <row r="133" spans="1:11">
      <c r="A133">
        <v>1746</v>
      </c>
      <c r="B133" t="s">
        <v>72</v>
      </c>
      <c r="C133" s="1">
        <v>45555</v>
      </c>
      <c r="D133" s="2" t="s">
        <v>28</v>
      </c>
      <c r="E133" t="s">
        <v>34</v>
      </c>
      <c r="G133" s="3">
        <v>851</v>
      </c>
      <c r="H133" t="s">
        <v>176</v>
      </c>
      <c r="I133" s="3" t="str">
        <f t="shared" si="6"/>
        <v>2024-09</v>
      </c>
      <c r="J133" s="1">
        <f t="shared" si="7"/>
        <v>45815</v>
      </c>
      <c r="K133" t="str">
        <f t="shared" si="8"/>
        <v>ACTIVE</v>
      </c>
    </row>
    <row r="134" spans="1:11">
      <c r="A134">
        <v>801</v>
      </c>
      <c r="B134" t="s">
        <v>57</v>
      </c>
      <c r="C134" s="1">
        <v>45571</v>
      </c>
      <c r="D134" s="2" t="s">
        <v>28</v>
      </c>
      <c r="E134" t="s">
        <v>31</v>
      </c>
      <c r="G134" s="3">
        <v>1330</v>
      </c>
      <c r="H134" t="s">
        <v>176</v>
      </c>
      <c r="I134" s="3" t="str">
        <f t="shared" si="6"/>
        <v>2024-10</v>
      </c>
      <c r="J134" s="1">
        <f t="shared" si="7"/>
        <v>45808</v>
      </c>
      <c r="K134" t="str">
        <f t="shared" si="8"/>
        <v>ACTIVE</v>
      </c>
    </row>
    <row r="135" spans="1:11">
      <c r="A135">
        <v>899</v>
      </c>
      <c r="B135" t="s">
        <v>144</v>
      </c>
      <c r="C135" s="1">
        <v>45443</v>
      </c>
      <c r="D135" s="2" t="s">
        <v>24</v>
      </c>
      <c r="E135" t="s">
        <v>33</v>
      </c>
      <c r="G135" s="3">
        <v>2873</v>
      </c>
      <c r="H135" t="s">
        <v>176</v>
      </c>
      <c r="I135" s="3" t="str">
        <f t="shared" si="6"/>
        <v>2024-05</v>
      </c>
      <c r="J135" s="1">
        <f t="shared" si="7"/>
        <v>45751</v>
      </c>
      <c r="K135" t="str">
        <f t="shared" si="8"/>
        <v>ACTIVE</v>
      </c>
    </row>
    <row r="136" spans="1:11">
      <c r="A136">
        <v>737</v>
      </c>
      <c r="B136" t="s">
        <v>57</v>
      </c>
      <c r="C136" s="1">
        <v>45383</v>
      </c>
      <c r="D136" s="2" t="s">
        <v>24</v>
      </c>
      <c r="E136" t="s">
        <v>32</v>
      </c>
      <c r="G136" s="3">
        <v>1235</v>
      </c>
      <c r="H136" t="s">
        <v>174</v>
      </c>
      <c r="I136" s="3" t="str">
        <f t="shared" si="6"/>
        <v>2024-04</v>
      </c>
      <c r="J136" s="1">
        <f t="shared" si="7"/>
        <v>45808</v>
      </c>
      <c r="K136" t="str">
        <f t="shared" si="8"/>
        <v>ACTIVE</v>
      </c>
    </row>
    <row r="137" spans="1:11">
      <c r="A137">
        <v>1733</v>
      </c>
      <c r="B137" t="s">
        <v>119</v>
      </c>
      <c r="C137" s="1">
        <v>45384</v>
      </c>
      <c r="D137" s="2" t="s">
        <v>27</v>
      </c>
      <c r="E137" t="s">
        <v>32</v>
      </c>
      <c r="G137" s="3">
        <v>2385</v>
      </c>
      <c r="H137" t="s">
        <v>172</v>
      </c>
      <c r="I137" s="3" t="str">
        <f t="shared" si="6"/>
        <v>2024-04</v>
      </c>
      <c r="J137" s="1">
        <f t="shared" si="7"/>
        <v>45806</v>
      </c>
      <c r="K137" t="str">
        <f t="shared" si="8"/>
        <v>ACTIVE</v>
      </c>
    </row>
    <row r="138" spans="1:11">
      <c r="A138">
        <v>501</v>
      </c>
      <c r="B138" t="s">
        <v>116</v>
      </c>
      <c r="C138" s="1">
        <v>45829</v>
      </c>
      <c r="D138" s="2" t="s">
        <v>25</v>
      </c>
      <c r="E138" t="s">
        <v>35</v>
      </c>
      <c r="G138" s="3">
        <v>981</v>
      </c>
      <c r="H138" t="s">
        <v>176</v>
      </c>
      <c r="I138" s="3" t="str">
        <f t="shared" si="6"/>
        <v>2025-06</v>
      </c>
      <c r="J138" s="1">
        <f t="shared" si="7"/>
        <v>45829</v>
      </c>
      <c r="K138" t="str">
        <f t="shared" si="8"/>
        <v>ACTIVE</v>
      </c>
    </row>
    <row r="139" spans="1:11">
      <c r="A139">
        <v>849</v>
      </c>
      <c r="B139" t="s">
        <v>108</v>
      </c>
      <c r="C139" s="1">
        <v>45459</v>
      </c>
      <c r="D139" s="2" t="s">
        <v>27</v>
      </c>
      <c r="E139" t="s">
        <v>32</v>
      </c>
      <c r="G139" s="3">
        <v>275</v>
      </c>
      <c r="H139" t="s">
        <v>172</v>
      </c>
      <c r="I139" s="3" t="str">
        <f t="shared" si="6"/>
        <v>2024-06</v>
      </c>
      <c r="J139" s="1">
        <f t="shared" si="7"/>
        <v>45826</v>
      </c>
      <c r="K139" t="str">
        <f t="shared" si="8"/>
        <v>ACTIVE</v>
      </c>
    </row>
    <row r="140" spans="1:11">
      <c r="A140">
        <v>749</v>
      </c>
      <c r="B140" t="s">
        <v>85</v>
      </c>
      <c r="C140" s="1">
        <v>45658</v>
      </c>
      <c r="D140" s="2" t="s">
        <v>26</v>
      </c>
      <c r="E140" t="s">
        <v>30</v>
      </c>
      <c r="G140" s="3">
        <v>425</v>
      </c>
      <c r="H140" t="s">
        <v>174</v>
      </c>
      <c r="I140" s="3" t="str">
        <f t="shared" si="6"/>
        <v>2025-01</v>
      </c>
      <c r="J140" s="1">
        <f t="shared" si="7"/>
        <v>45826</v>
      </c>
      <c r="K140" t="str">
        <f t="shared" si="8"/>
        <v>ACTIVE</v>
      </c>
    </row>
    <row r="141" spans="1:11">
      <c r="A141">
        <v>147</v>
      </c>
      <c r="B141" t="s">
        <v>119</v>
      </c>
      <c r="C141" s="1">
        <v>45483</v>
      </c>
      <c r="D141" s="2" t="s">
        <v>25</v>
      </c>
      <c r="E141" t="s">
        <v>35</v>
      </c>
      <c r="G141" s="3">
        <v>4135</v>
      </c>
      <c r="H141" t="s">
        <v>175</v>
      </c>
      <c r="I141" s="3" t="str">
        <f t="shared" si="6"/>
        <v>2024-07</v>
      </c>
      <c r="J141" s="1">
        <f t="shared" si="7"/>
        <v>45806</v>
      </c>
      <c r="K141" t="str">
        <f t="shared" si="8"/>
        <v>ACTIVE</v>
      </c>
    </row>
    <row r="142" spans="1:11">
      <c r="A142">
        <v>1543</v>
      </c>
      <c r="B142" t="s">
        <v>69</v>
      </c>
      <c r="C142" s="1">
        <v>45515</v>
      </c>
      <c r="D142" s="2" t="s">
        <v>24</v>
      </c>
      <c r="E142" t="s">
        <v>31</v>
      </c>
      <c r="G142" s="3">
        <v>563</v>
      </c>
      <c r="H142" t="s">
        <v>175</v>
      </c>
      <c r="I142" s="3" t="str">
        <f t="shared" si="6"/>
        <v>2024-08</v>
      </c>
      <c r="J142" s="1">
        <f t="shared" si="7"/>
        <v>45829</v>
      </c>
      <c r="K142" t="str">
        <f t="shared" si="8"/>
        <v>ACTIVE</v>
      </c>
    </row>
    <row r="143" spans="1:11">
      <c r="A143">
        <v>453</v>
      </c>
      <c r="B143" t="s">
        <v>153</v>
      </c>
      <c r="C143" s="1">
        <v>45567</v>
      </c>
      <c r="D143" s="2" t="s">
        <v>28</v>
      </c>
      <c r="E143" t="s">
        <v>30</v>
      </c>
      <c r="G143" s="3">
        <v>447</v>
      </c>
      <c r="H143" t="s">
        <v>172</v>
      </c>
      <c r="I143" s="3" t="str">
        <f t="shared" si="6"/>
        <v>2024-10</v>
      </c>
      <c r="J143" s="1">
        <f t="shared" si="7"/>
        <v>45690</v>
      </c>
      <c r="K143" t="str">
        <f t="shared" si="8"/>
        <v>LAPSED</v>
      </c>
    </row>
    <row r="144" spans="1:11">
      <c r="A144">
        <v>603</v>
      </c>
      <c r="B144" t="s">
        <v>160</v>
      </c>
      <c r="C144" s="1">
        <v>45529</v>
      </c>
      <c r="D144" s="2" t="s">
        <v>23</v>
      </c>
      <c r="E144" t="s">
        <v>30</v>
      </c>
      <c r="G144" s="3">
        <v>4823</v>
      </c>
      <c r="H144" t="s">
        <v>174</v>
      </c>
      <c r="I144" s="3" t="str">
        <f t="shared" si="6"/>
        <v>2024-08</v>
      </c>
      <c r="J144" s="1">
        <f t="shared" si="7"/>
        <v>45734</v>
      </c>
      <c r="K144" t="str">
        <f t="shared" si="8"/>
        <v>LAPSED</v>
      </c>
    </row>
    <row r="145" spans="1:11">
      <c r="A145">
        <v>300</v>
      </c>
      <c r="B145" t="s">
        <v>46</v>
      </c>
      <c r="C145" s="1">
        <v>45579</v>
      </c>
      <c r="D145" s="2" t="s">
        <v>28</v>
      </c>
      <c r="E145" t="s">
        <v>35</v>
      </c>
      <c r="G145" s="3">
        <v>5534</v>
      </c>
      <c r="H145" t="s">
        <v>172</v>
      </c>
      <c r="I145" s="3" t="str">
        <f t="shared" si="6"/>
        <v>2024-10</v>
      </c>
      <c r="J145" s="1">
        <f t="shared" si="7"/>
        <v>45815</v>
      </c>
      <c r="K145" t="str">
        <f t="shared" si="8"/>
        <v>ACTIVE</v>
      </c>
    </row>
    <row r="146" spans="1:11">
      <c r="A146">
        <v>1776</v>
      </c>
      <c r="B146" t="s">
        <v>122</v>
      </c>
      <c r="C146" s="1">
        <v>45317</v>
      </c>
      <c r="D146" s="2" t="s">
        <v>23</v>
      </c>
      <c r="E146" t="s">
        <v>33</v>
      </c>
      <c r="G146" s="3">
        <v>581</v>
      </c>
      <c r="H146" t="s">
        <v>176</v>
      </c>
      <c r="I146" s="3" t="str">
        <f t="shared" si="6"/>
        <v>2024-01</v>
      </c>
      <c r="J146" s="1">
        <f t="shared" si="7"/>
        <v>45793</v>
      </c>
      <c r="K146" t="str">
        <f t="shared" si="8"/>
        <v>ACTIVE</v>
      </c>
    </row>
    <row r="147" spans="1:11">
      <c r="A147">
        <v>390</v>
      </c>
      <c r="B147" t="s">
        <v>96</v>
      </c>
      <c r="C147" s="1">
        <v>45323</v>
      </c>
      <c r="D147" s="2" t="s">
        <v>27</v>
      </c>
      <c r="E147" t="s">
        <v>35</v>
      </c>
      <c r="G147" s="3">
        <v>1709</v>
      </c>
      <c r="H147" t="s">
        <v>173</v>
      </c>
      <c r="I147" s="3" t="str">
        <f t="shared" si="6"/>
        <v>2024-02</v>
      </c>
      <c r="J147" s="1">
        <f t="shared" si="7"/>
        <v>45798</v>
      </c>
      <c r="K147" t="str">
        <f t="shared" si="8"/>
        <v>ACTIVE</v>
      </c>
    </row>
    <row r="148" spans="1:11">
      <c r="A148">
        <v>1734</v>
      </c>
      <c r="B148" t="s">
        <v>72</v>
      </c>
      <c r="C148" s="1">
        <v>45440</v>
      </c>
      <c r="D148" s="2" t="s">
        <v>25</v>
      </c>
      <c r="E148" t="s">
        <v>35</v>
      </c>
      <c r="G148" s="3">
        <v>882</v>
      </c>
      <c r="H148" t="s">
        <v>173</v>
      </c>
      <c r="I148" s="3" t="str">
        <f t="shared" si="6"/>
        <v>2024-05</v>
      </c>
      <c r="J148" s="1">
        <f t="shared" si="7"/>
        <v>45815</v>
      </c>
      <c r="K148" t="str">
        <f t="shared" si="8"/>
        <v>ACTIVE</v>
      </c>
    </row>
    <row r="149" spans="1:11">
      <c r="A149">
        <v>1260</v>
      </c>
      <c r="B149" t="s">
        <v>112</v>
      </c>
      <c r="C149" s="1">
        <v>45364</v>
      </c>
      <c r="D149" s="2" t="s">
        <v>25</v>
      </c>
      <c r="E149" t="s">
        <v>35</v>
      </c>
      <c r="G149" s="3">
        <v>819</v>
      </c>
      <c r="H149" t="s">
        <v>172</v>
      </c>
      <c r="I149" s="3" t="str">
        <f t="shared" si="6"/>
        <v>2024-03</v>
      </c>
      <c r="J149" s="1">
        <f t="shared" si="7"/>
        <v>45815</v>
      </c>
      <c r="K149" t="str">
        <f t="shared" si="8"/>
        <v>ACTIVE</v>
      </c>
    </row>
    <row r="150" spans="1:11">
      <c r="A150">
        <v>112</v>
      </c>
      <c r="B150" t="s">
        <v>83</v>
      </c>
      <c r="C150" s="1">
        <v>45553</v>
      </c>
      <c r="D150" s="2" t="s">
        <v>27</v>
      </c>
      <c r="E150" t="s">
        <v>30</v>
      </c>
      <c r="G150" s="3">
        <v>248</v>
      </c>
      <c r="H150" t="s">
        <v>176</v>
      </c>
      <c r="I150" s="3" t="str">
        <f t="shared" si="6"/>
        <v>2024-09</v>
      </c>
      <c r="J150" s="1">
        <f t="shared" si="7"/>
        <v>45816</v>
      </c>
      <c r="K150" t="str">
        <f t="shared" si="8"/>
        <v>ACTIVE</v>
      </c>
    </row>
    <row r="151" spans="1:11">
      <c r="A151">
        <v>688</v>
      </c>
      <c r="B151" t="s">
        <v>60</v>
      </c>
      <c r="C151" s="1">
        <v>45553</v>
      </c>
      <c r="D151" s="2" t="s">
        <v>27</v>
      </c>
      <c r="E151" t="s">
        <v>32</v>
      </c>
      <c r="G151" s="3">
        <v>808</v>
      </c>
      <c r="H151" t="s">
        <v>172</v>
      </c>
      <c r="I151" s="3" t="str">
        <f t="shared" si="6"/>
        <v>2024-09</v>
      </c>
      <c r="J151" s="1">
        <f t="shared" si="7"/>
        <v>45801</v>
      </c>
      <c r="K151" t="str">
        <f t="shared" si="8"/>
        <v>ACTIVE</v>
      </c>
    </row>
    <row r="152" spans="1:11">
      <c r="A152">
        <v>264</v>
      </c>
      <c r="B152" t="s">
        <v>143</v>
      </c>
      <c r="C152" s="1">
        <v>45427</v>
      </c>
      <c r="D152" s="2" t="s">
        <v>24</v>
      </c>
      <c r="E152" t="s">
        <v>33</v>
      </c>
      <c r="G152" s="3">
        <v>2093</v>
      </c>
      <c r="H152" t="s">
        <v>174</v>
      </c>
      <c r="I152" s="3" t="str">
        <f t="shared" si="6"/>
        <v>2024-05</v>
      </c>
      <c r="J152" s="1">
        <f t="shared" si="7"/>
        <v>45764</v>
      </c>
      <c r="K152" t="str">
        <f t="shared" si="8"/>
        <v>ACTIVE</v>
      </c>
    </row>
    <row r="153" spans="1:11">
      <c r="A153">
        <v>142</v>
      </c>
      <c r="B153" t="s">
        <v>136</v>
      </c>
      <c r="C153" s="1">
        <v>45519</v>
      </c>
      <c r="D153" s="2" t="s">
        <v>28</v>
      </c>
      <c r="E153" t="s">
        <v>31</v>
      </c>
      <c r="G153" s="3">
        <v>483</v>
      </c>
      <c r="H153" t="s">
        <v>173</v>
      </c>
      <c r="I153" s="3" t="str">
        <f t="shared" si="6"/>
        <v>2024-08</v>
      </c>
      <c r="J153" s="1">
        <f t="shared" si="7"/>
        <v>45823</v>
      </c>
      <c r="K153" t="str">
        <f t="shared" si="8"/>
        <v>ACTIVE</v>
      </c>
    </row>
    <row r="154" spans="1:11">
      <c r="A154">
        <v>965</v>
      </c>
      <c r="B154" t="s">
        <v>101</v>
      </c>
      <c r="C154" s="1">
        <v>45315</v>
      </c>
      <c r="D154" s="2" t="s">
        <v>23</v>
      </c>
      <c r="E154" t="s">
        <v>33</v>
      </c>
      <c r="G154" s="3">
        <v>2293</v>
      </c>
      <c r="H154" t="s">
        <v>176</v>
      </c>
      <c r="I154" s="3" t="str">
        <f t="shared" si="6"/>
        <v>2024-01</v>
      </c>
      <c r="J154" s="1">
        <f t="shared" si="7"/>
        <v>45823</v>
      </c>
      <c r="K154" t="str">
        <f t="shared" si="8"/>
        <v>ACTIVE</v>
      </c>
    </row>
    <row r="155" spans="1:11">
      <c r="A155">
        <v>748</v>
      </c>
      <c r="B155" t="s">
        <v>133</v>
      </c>
      <c r="C155" s="1">
        <v>45375</v>
      </c>
      <c r="D155" s="2" t="s">
        <v>25</v>
      </c>
      <c r="E155" t="s">
        <v>35</v>
      </c>
      <c r="G155" s="3">
        <v>579</v>
      </c>
      <c r="H155" t="s">
        <v>173</v>
      </c>
      <c r="I155" s="3" t="str">
        <f t="shared" si="6"/>
        <v>2024-03</v>
      </c>
      <c r="J155" s="1">
        <f t="shared" si="7"/>
        <v>45788</v>
      </c>
      <c r="K155" t="str">
        <f t="shared" si="8"/>
        <v>ACTIVE</v>
      </c>
    </row>
    <row r="156" spans="1:11">
      <c r="A156">
        <v>1756</v>
      </c>
      <c r="B156" t="s">
        <v>59</v>
      </c>
      <c r="C156" s="1">
        <v>45473</v>
      </c>
      <c r="D156" s="2" t="s">
        <v>25</v>
      </c>
      <c r="E156" t="s">
        <v>32</v>
      </c>
      <c r="G156" s="3">
        <v>5839</v>
      </c>
      <c r="H156" t="s">
        <v>174</v>
      </c>
      <c r="I156" s="3" t="str">
        <f t="shared" si="6"/>
        <v>2024-06</v>
      </c>
      <c r="J156" s="1">
        <f t="shared" si="7"/>
        <v>45829</v>
      </c>
      <c r="K156" t="str">
        <f t="shared" si="8"/>
        <v>ACTIVE</v>
      </c>
    </row>
    <row r="157" spans="1:11">
      <c r="A157">
        <v>1472</v>
      </c>
      <c r="B157" t="s">
        <v>53</v>
      </c>
      <c r="C157" s="1">
        <v>45663</v>
      </c>
      <c r="D157" s="2" t="s">
        <v>25</v>
      </c>
      <c r="E157" t="s">
        <v>31</v>
      </c>
      <c r="G157" s="3">
        <v>4637</v>
      </c>
      <c r="H157" t="s">
        <v>176</v>
      </c>
      <c r="I157" s="3" t="str">
        <f t="shared" si="6"/>
        <v>2025-01</v>
      </c>
      <c r="J157" s="1">
        <f t="shared" si="7"/>
        <v>45779</v>
      </c>
      <c r="K157" t="str">
        <f t="shared" si="8"/>
        <v>ACTIVE</v>
      </c>
    </row>
    <row r="158" spans="1:11">
      <c r="A158">
        <v>972</v>
      </c>
      <c r="B158" t="s">
        <v>107</v>
      </c>
      <c r="C158" s="1">
        <v>45768</v>
      </c>
      <c r="D158" s="2" t="s">
        <v>24</v>
      </c>
      <c r="E158" t="s">
        <v>33</v>
      </c>
      <c r="G158" s="3">
        <v>8265</v>
      </c>
      <c r="H158" t="s">
        <v>174</v>
      </c>
      <c r="I158" s="3" t="str">
        <f t="shared" si="6"/>
        <v>2025-04</v>
      </c>
      <c r="J158" s="1">
        <f t="shared" si="7"/>
        <v>45831</v>
      </c>
      <c r="K158" t="str">
        <f t="shared" si="8"/>
        <v>ACTIVE</v>
      </c>
    </row>
    <row r="159" spans="1:11">
      <c r="A159">
        <v>998</v>
      </c>
      <c r="B159" t="s">
        <v>81</v>
      </c>
      <c r="C159" s="1">
        <v>45437</v>
      </c>
      <c r="D159" s="2" t="s">
        <v>28</v>
      </c>
      <c r="E159" t="s">
        <v>34</v>
      </c>
      <c r="G159" s="3">
        <v>2062</v>
      </c>
      <c r="H159" t="s">
        <v>173</v>
      </c>
      <c r="I159" s="3" t="str">
        <f t="shared" si="6"/>
        <v>2024-05</v>
      </c>
      <c r="J159" s="1">
        <f t="shared" si="7"/>
        <v>45787</v>
      </c>
      <c r="K159" t="str">
        <f t="shared" si="8"/>
        <v>ACTIVE</v>
      </c>
    </row>
    <row r="160" spans="1:11">
      <c r="A160">
        <v>398</v>
      </c>
      <c r="B160" t="s">
        <v>131</v>
      </c>
      <c r="C160" s="1">
        <v>45706</v>
      </c>
      <c r="D160" s="2" t="s">
        <v>23</v>
      </c>
      <c r="E160" t="s">
        <v>33</v>
      </c>
      <c r="G160" s="3">
        <v>510</v>
      </c>
      <c r="H160" t="s">
        <v>175</v>
      </c>
      <c r="I160" s="3" t="str">
        <f t="shared" si="6"/>
        <v>2025-02</v>
      </c>
      <c r="J160" s="1">
        <f t="shared" si="7"/>
        <v>45807</v>
      </c>
      <c r="K160" t="str">
        <f t="shared" si="8"/>
        <v>ACTIVE</v>
      </c>
    </row>
    <row r="161" spans="1:11">
      <c r="A161">
        <v>518</v>
      </c>
      <c r="B161" t="s">
        <v>69</v>
      </c>
      <c r="C161" s="1">
        <v>45580</v>
      </c>
      <c r="D161" s="2" t="s">
        <v>25</v>
      </c>
      <c r="E161" t="s">
        <v>31</v>
      </c>
      <c r="G161" s="3">
        <v>2507</v>
      </c>
      <c r="H161" t="s">
        <v>174</v>
      </c>
      <c r="I161" s="3" t="str">
        <f t="shared" si="6"/>
        <v>2024-10</v>
      </c>
      <c r="J161" s="1">
        <f t="shared" si="7"/>
        <v>45829</v>
      </c>
      <c r="K161" t="str">
        <f t="shared" si="8"/>
        <v>ACTIVE</v>
      </c>
    </row>
    <row r="162" spans="1:11">
      <c r="A162">
        <v>1732</v>
      </c>
      <c r="B162" t="s">
        <v>150</v>
      </c>
      <c r="C162" s="1">
        <v>45669</v>
      </c>
      <c r="D162" s="2" t="s">
        <v>27</v>
      </c>
      <c r="E162" t="s">
        <v>34</v>
      </c>
      <c r="G162" s="3">
        <v>283</v>
      </c>
      <c r="H162" t="s">
        <v>175</v>
      </c>
      <c r="I162" s="3" t="str">
        <f t="shared" si="6"/>
        <v>2025-01</v>
      </c>
      <c r="J162" s="1">
        <f t="shared" si="7"/>
        <v>45827</v>
      </c>
      <c r="K162" t="str">
        <f t="shared" si="8"/>
        <v>ACTIVE</v>
      </c>
    </row>
    <row r="163" spans="1:11">
      <c r="A163">
        <v>769</v>
      </c>
      <c r="B163" t="s">
        <v>82</v>
      </c>
      <c r="C163" s="1">
        <v>45298</v>
      </c>
      <c r="D163" s="2" t="s">
        <v>25</v>
      </c>
      <c r="E163" t="s">
        <v>34</v>
      </c>
      <c r="G163" s="3">
        <v>4060</v>
      </c>
      <c r="H163" t="s">
        <v>176</v>
      </c>
      <c r="I163" s="3" t="str">
        <f t="shared" si="6"/>
        <v>2024-01</v>
      </c>
      <c r="J163" s="1">
        <f t="shared" si="7"/>
        <v>45781</v>
      </c>
      <c r="K163" t="str">
        <f t="shared" si="8"/>
        <v>ACTIVE</v>
      </c>
    </row>
    <row r="164" spans="1:11">
      <c r="A164">
        <v>1324</v>
      </c>
      <c r="B164" t="s">
        <v>87</v>
      </c>
      <c r="C164" s="1">
        <v>45444</v>
      </c>
      <c r="D164" s="2" t="s">
        <v>26</v>
      </c>
      <c r="E164" t="s">
        <v>34</v>
      </c>
      <c r="G164" s="3">
        <v>837</v>
      </c>
      <c r="H164" t="s">
        <v>172</v>
      </c>
      <c r="I164" s="3" t="str">
        <f t="shared" si="6"/>
        <v>2024-06</v>
      </c>
      <c r="J164" s="1">
        <f t="shared" si="7"/>
        <v>45821</v>
      </c>
      <c r="K164" t="str">
        <f t="shared" si="8"/>
        <v>ACTIVE</v>
      </c>
    </row>
    <row r="165" spans="1:11">
      <c r="A165">
        <v>1286</v>
      </c>
      <c r="B165" t="s">
        <v>118</v>
      </c>
      <c r="C165" s="1">
        <v>45635</v>
      </c>
      <c r="D165" s="2" t="s">
        <v>28</v>
      </c>
      <c r="E165" t="s">
        <v>34</v>
      </c>
      <c r="G165" s="3">
        <v>248</v>
      </c>
      <c r="H165" t="s">
        <v>172</v>
      </c>
      <c r="I165" s="3" t="str">
        <f t="shared" si="6"/>
        <v>2024-12</v>
      </c>
      <c r="J165" s="1">
        <f t="shared" si="7"/>
        <v>45830</v>
      </c>
      <c r="K165" t="str">
        <f t="shared" si="8"/>
        <v>ACTIVE</v>
      </c>
    </row>
    <row r="166" spans="1:11">
      <c r="A166">
        <v>1084</v>
      </c>
      <c r="B166" t="s">
        <v>98</v>
      </c>
      <c r="C166" s="1">
        <v>45566</v>
      </c>
      <c r="D166" s="2" t="s">
        <v>27</v>
      </c>
      <c r="E166" t="s">
        <v>31</v>
      </c>
      <c r="G166" s="3">
        <v>462</v>
      </c>
      <c r="H166" t="s">
        <v>173</v>
      </c>
      <c r="I166" s="3" t="str">
        <f t="shared" si="6"/>
        <v>2024-10</v>
      </c>
      <c r="J166" s="1">
        <f t="shared" si="7"/>
        <v>45767</v>
      </c>
      <c r="K166" t="str">
        <f t="shared" si="8"/>
        <v>ACTIVE</v>
      </c>
    </row>
    <row r="167" spans="1:11">
      <c r="A167">
        <v>186</v>
      </c>
      <c r="B167" t="s">
        <v>55</v>
      </c>
      <c r="C167" s="1">
        <v>45570</v>
      </c>
      <c r="D167" s="2" t="s">
        <v>25</v>
      </c>
      <c r="E167" t="s">
        <v>35</v>
      </c>
      <c r="G167" s="3">
        <v>1794</v>
      </c>
      <c r="H167" t="s">
        <v>175</v>
      </c>
      <c r="I167" s="3" t="str">
        <f t="shared" si="6"/>
        <v>2024-10</v>
      </c>
      <c r="J167" s="1">
        <f t="shared" si="7"/>
        <v>45824</v>
      </c>
      <c r="K167" t="str">
        <f t="shared" si="8"/>
        <v>ACTIVE</v>
      </c>
    </row>
    <row r="168" spans="1:11">
      <c r="A168">
        <v>1263</v>
      </c>
      <c r="B168" t="s">
        <v>70</v>
      </c>
      <c r="C168" s="1">
        <v>45480</v>
      </c>
      <c r="D168" s="2" t="s">
        <v>28</v>
      </c>
      <c r="E168" t="s">
        <v>33</v>
      </c>
      <c r="G168" s="3">
        <v>1881</v>
      </c>
      <c r="H168" t="s">
        <v>176</v>
      </c>
      <c r="I168" s="3" t="str">
        <f t="shared" si="6"/>
        <v>2024-07</v>
      </c>
      <c r="J168" s="1">
        <f t="shared" si="7"/>
        <v>45829</v>
      </c>
      <c r="K168" t="str">
        <f t="shared" si="8"/>
        <v>ACTIVE</v>
      </c>
    </row>
    <row r="169" spans="1:11">
      <c r="A169">
        <v>173</v>
      </c>
      <c r="B169" t="s">
        <v>73</v>
      </c>
      <c r="C169" s="1">
        <v>45773</v>
      </c>
      <c r="D169" s="2" t="s">
        <v>23</v>
      </c>
      <c r="E169" t="s">
        <v>34</v>
      </c>
      <c r="G169" s="3">
        <v>972</v>
      </c>
      <c r="H169" t="s">
        <v>174</v>
      </c>
      <c r="I169" s="3" t="str">
        <f t="shared" si="6"/>
        <v>2025-04</v>
      </c>
      <c r="J169" s="1">
        <f t="shared" si="7"/>
        <v>45800</v>
      </c>
      <c r="K169" t="str">
        <f t="shared" si="8"/>
        <v>ACTIVE</v>
      </c>
    </row>
    <row r="170" spans="1:11">
      <c r="A170">
        <v>340</v>
      </c>
      <c r="B170" t="s">
        <v>141</v>
      </c>
      <c r="C170" s="1">
        <v>45346</v>
      </c>
      <c r="D170" s="2" t="s">
        <v>23</v>
      </c>
      <c r="E170" t="s">
        <v>35</v>
      </c>
      <c r="G170" s="3">
        <v>989</v>
      </c>
      <c r="H170" t="s">
        <v>172</v>
      </c>
      <c r="I170" s="3" t="str">
        <f t="shared" si="6"/>
        <v>2024-02</v>
      </c>
      <c r="J170" s="1">
        <f t="shared" si="7"/>
        <v>45773</v>
      </c>
      <c r="K170" t="str">
        <f t="shared" si="8"/>
        <v>ACTIVE</v>
      </c>
    </row>
    <row r="171" spans="1:11">
      <c r="A171">
        <v>1653</v>
      </c>
      <c r="B171" t="s">
        <v>49</v>
      </c>
      <c r="C171" s="1">
        <v>45444</v>
      </c>
      <c r="D171" s="2" t="s">
        <v>24</v>
      </c>
      <c r="E171" t="s">
        <v>35</v>
      </c>
      <c r="G171" s="3">
        <v>1010</v>
      </c>
      <c r="H171" t="s">
        <v>172</v>
      </c>
      <c r="I171" s="3" t="str">
        <f t="shared" si="6"/>
        <v>2024-06</v>
      </c>
      <c r="J171" s="1">
        <f t="shared" si="7"/>
        <v>45812</v>
      </c>
      <c r="K171" t="str">
        <f t="shared" si="8"/>
        <v>ACTIVE</v>
      </c>
    </row>
    <row r="172" spans="1:11">
      <c r="A172">
        <v>1078</v>
      </c>
      <c r="B172" t="s">
        <v>73</v>
      </c>
      <c r="C172" s="1">
        <v>45800</v>
      </c>
      <c r="D172" s="2" t="s">
        <v>27</v>
      </c>
      <c r="E172" t="s">
        <v>33</v>
      </c>
      <c r="G172" s="3">
        <v>1180</v>
      </c>
      <c r="H172" t="s">
        <v>172</v>
      </c>
      <c r="I172" s="3" t="str">
        <f t="shared" si="6"/>
        <v>2025-05</v>
      </c>
      <c r="J172" s="1">
        <f t="shared" si="7"/>
        <v>45800</v>
      </c>
      <c r="K172" t="str">
        <f t="shared" si="8"/>
        <v>ACTIVE</v>
      </c>
    </row>
    <row r="173" spans="1:11">
      <c r="A173">
        <v>1602</v>
      </c>
      <c r="B173" t="s">
        <v>67</v>
      </c>
      <c r="C173" s="1">
        <v>45424</v>
      </c>
      <c r="D173" s="2" t="s">
        <v>23</v>
      </c>
      <c r="E173" t="s">
        <v>35</v>
      </c>
      <c r="G173" s="3">
        <v>11426</v>
      </c>
      <c r="H173" t="s">
        <v>174</v>
      </c>
      <c r="I173" s="3" t="str">
        <f t="shared" si="6"/>
        <v>2024-05</v>
      </c>
      <c r="J173" s="1">
        <f t="shared" si="7"/>
        <v>45794</v>
      </c>
      <c r="K173" t="str">
        <f t="shared" si="8"/>
        <v>ACTIVE</v>
      </c>
    </row>
    <row r="174" spans="1:11">
      <c r="A174">
        <v>701</v>
      </c>
      <c r="B174" t="s">
        <v>109</v>
      </c>
      <c r="C174" s="1">
        <v>45752</v>
      </c>
      <c r="D174" s="2" t="s">
        <v>27</v>
      </c>
      <c r="E174" t="s">
        <v>33</v>
      </c>
      <c r="G174" s="3">
        <v>2569</v>
      </c>
      <c r="H174" t="s">
        <v>173</v>
      </c>
      <c r="I174" s="3" t="str">
        <f t="shared" si="6"/>
        <v>2025-04</v>
      </c>
      <c r="J174" s="1">
        <f t="shared" si="7"/>
        <v>45776</v>
      </c>
      <c r="K174" t="str">
        <f t="shared" si="8"/>
        <v>ACTIVE</v>
      </c>
    </row>
    <row r="175" spans="1:11">
      <c r="A175">
        <v>493</v>
      </c>
      <c r="B175" t="s">
        <v>89</v>
      </c>
      <c r="C175" s="1">
        <v>45524</v>
      </c>
      <c r="D175" s="2" t="s">
        <v>27</v>
      </c>
      <c r="E175" t="s">
        <v>35</v>
      </c>
      <c r="G175" s="3">
        <v>1456</v>
      </c>
      <c r="H175" t="s">
        <v>174</v>
      </c>
      <c r="I175" s="3" t="str">
        <f t="shared" si="6"/>
        <v>2024-08</v>
      </c>
      <c r="J175" s="1">
        <f t="shared" si="7"/>
        <v>45826</v>
      </c>
      <c r="K175" t="str">
        <f t="shared" si="8"/>
        <v>ACTIVE</v>
      </c>
    </row>
    <row r="176" spans="1:11">
      <c r="A176">
        <v>96</v>
      </c>
      <c r="B176" t="s">
        <v>147</v>
      </c>
      <c r="C176" s="1">
        <v>45384</v>
      </c>
      <c r="D176" s="2" t="s">
        <v>24</v>
      </c>
      <c r="E176" t="s">
        <v>31</v>
      </c>
      <c r="G176" s="3">
        <v>653</v>
      </c>
      <c r="H176" t="s">
        <v>172</v>
      </c>
      <c r="I176" s="3" t="str">
        <f t="shared" si="6"/>
        <v>2024-04</v>
      </c>
      <c r="J176" s="1">
        <f t="shared" si="7"/>
        <v>45752</v>
      </c>
      <c r="K176" t="str">
        <f t="shared" si="8"/>
        <v>ACTIVE</v>
      </c>
    </row>
    <row r="177" spans="1:11">
      <c r="A177">
        <v>1692</v>
      </c>
      <c r="B177" t="s">
        <v>77</v>
      </c>
      <c r="C177" s="1">
        <v>45610</v>
      </c>
      <c r="D177" s="2" t="s">
        <v>28</v>
      </c>
      <c r="E177" t="s">
        <v>31</v>
      </c>
      <c r="G177" s="3">
        <v>331</v>
      </c>
      <c r="H177" t="s">
        <v>174</v>
      </c>
      <c r="I177" s="3" t="str">
        <f t="shared" si="6"/>
        <v>2024-11</v>
      </c>
      <c r="J177" s="1">
        <f t="shared" si="7"/>
        <v>45821</v>
      </c>
      <c r="K177" t="str">
        <f t="shared" si="8"/>
        <v>ACTIVE</v>
      </c>
    </row>
    <row r="178" spans="1:11">
      <c r="A178">
        <v>757</v>
      </c>
      <c r="B178" t="s">
        <v>97</v>
      </c>
      <c r="C178" s="1">
        <v>45320</v>
      </c>
      <c r="D178" s="2" t="s">
        <v>28</v>
      </c>
      <c r="E178" t="s">
        <v>34</v>
      </c>
      <c r="G178" s="3">
        <v>5681</v>
      </c>
      <c r="H178" t="s">
        <v>172</v>
      </c>
      <c r="I178" s="3" t="str">
        <f t="shared" si="6"/>
        <v>2024-01</v>
      </c>
      <c r="J178" s="1">
        <f t="shared" si="7"/>
        <v>45794</v>
      </c>
      <c r="K178" t="str">
        <f t="shared" si="8"/>
        <v>ACTIVE</v>
      </c>
    </row>
    <row r="179" spans="1:11">
      <c r="A179">
        <v>354</v>
      </c>
      <c r="B179" t="s">
        <v>142</v>
      </c>
      <c r="C179" s="1">
        <v>45470</v>
      </c>
      <c r="D179" s="2" t="s">
        <v>25</v>
      </c>
      <c r="E179" t="s">
        <v>31</v>
      </c>
      <c r="G179" s="3">
        <v>5603</v>
      </c>
      <c r="H179" t="s">
        <v>174</v>
      </c>
      <c r="I179" s="3" t="str">
        <f t="shared" si="6"/>
        <v>2024-06</v>
      </c>
      <c r="J179" s="1">
        <f t="shared" si="7"/>
        <v>45803</v>
      </c>
      <c r="K179" t="str">
        <f t="shared" si="8"/>
        <v>ACTIVE</v>
      </c>
    </row>
    <row r="180" spans="1:11">
      <c r="A180">
        <v>1735</v>
      </c>
      <c r="B180" t="s">
        <v>110</v>
      </c>
      <c r="C180" s="1">
        <v>45816</v>
      </c>
      <c r="D180" s="2" t="s">
        <v>25</v>
      </c>
      <c r="E180" t="s">
        <v>32</v>
      </c>
      <c r="G180" s="3">
        <v>562</v>
      </c>
      <c r="H180" t="s">
        <v>174</v>
      </c>
      <c r="I180" s="3" t="str">
        <f t="shared" si="6"/>
        <v>2025-06</v>
      </c>
      <c r="J180" s="1">
        <f t="shared" si="7"/>
        <v>45816</v>
      </c>
      <c r="K180" t="str">
        <f t="shared" si="8"/>
        <v>ACTIVE</v>
      </c>
    </row>
    <row r="181" spans="1:11">
      <c r="A181">
        <v>1039</v>
      </c>
      <c r="B181" t="s">
        <v>61</v>
      </c>
      <c r="C181" s="1">
        <v>45741</v>
      </c>
      <c r="D181" s="2" t="s">
        <v>24</v>
      </c>
      <c r="E181" t="s">
        <v>34</v>
      </c>
      <c r="G181" s="3">
        <v>4699</v>
      </c>
      <c r="H181" t="s">
        <v>172</v>
      </c>
      <c r="I181" s="3" t="str">
        <f t="shared" si="6"/>
        <v>2025-03</v>
      </c>
      <c r="J181" s="1">
        <f t="shared" si="7"/>
        <v>45815</v>
      </c>
      <c r="K181" t="str">
        <f t="shared" si="8"/>
        <v>ACTIVE</v>
      </c>
    </row>
    <row r="182" spans="1:11">
      <c r="A182">
        <v>8</v>
      </c>
      <c r="B182" t="s">
        <v>135</v>
      </c>
      <c r="C182" s="1">
        <v>45324</v>
      </c>
      <c r="D182" s="2" t="s">
        <v>24</v>
      </c>
      <c r="E182" t="s">
        <v>32</v>
      </c>
      <c r="G182" s="3">
        <v>2066</v>
      </c>
      <c r="H182" t="s">
        <v>175</v>
      </c>
      <c r="I182" s="3" t="str">
        <f t="shared" si="6"/>
        <v>2024-02</v>
      </c>
      <c r="J182" s="1">
        <f t="shared" si="7"/>
        <v>45785</v>
      </c>
      <c r="K182" t="str">
        <f t="shared" si="8"/>
        <v>ACTIVE</v>
      </c>
    </row>
    <row r="183" spans="1:11">
      <c r="A183">
        <v>102</v>
      </c>
      <c r="B183" t="s">
        <v>110</v>
      </c>
      <c r="C183" s="1">
        <v>45721</v>
      </c>
      <c r="D183" s="2" t="s">
        <v>27</v>
      </c>
      <c r="E183" t="s">
        <v>32</v>
      </c>
      <c r="G183" s="3">
        <v>1133</v>
      </c>
      <c r="H183" t="s">
        <v>175</v>
      </c>
      <c r="I183" s="3" t="str">
        <f t="shared" si="6"/>
        <v>2025-03</v>
      </c>
      <c r="J183" s="1">
        <f t="shared" si="7"/>
        <v>45816</v>
      </c>
      <c r="K183" t="str">
        <f t="shared" si="8"/>
        <v>ACTIVE</v>
      </c>
    </row>
    <row r="184" spans="1:11">
      <c r="A184">
        <v>650</v>
      </c>
      <c r="B184" t="s">
        <v>113</v>
      </c>
      <c r="C184" s="1">
        <v>45523</v>
      </c>
      <c r="D184" s="2" t="s">
        <v>25</v>
      </c>
      <c r="E184" t="s">
        <v>30</v>
      </c>
      <c r="G184" s="3">
        <v>1037</v>
      </c>
      <c r="H184" t="s">
        <v>174</v>
      </c>
      <c r="I184" s="3" t="str">
        <f t="shared" si="6"/>
        <v>2024-08</v>
      </c>
      <c r="J184" s="1">
        <f t="shared" si="7"/>
        <v>45788</v>
      </c>
      <c r="K184" t="str">
        <f t="shared" si="8"/>
        <v>ACTIVE</v>
      </c>
    </row>
    <row r="185" spans="1:11">
      <c r="A185">
        <v>1152</v>
      </c>
      <c r="B185" t="s">
        <v>111</v>
      </c>
      <c r="C185" s="1">
        <v>45765</v>
      </c>
      <c r="D185" s="2" t="s">
        <v>24</v>
      </c>
      <c r="E185" t="s">
        <v>34</v>
      </c>
      <c r="G185" s="3">
        <v>1780</v>
      </c>
      <c r="H185" t="s">
        <v>174</v>
      </c>
      <c r="I185" s="3" t="str">
        <f t="shared" si="6"/>
        <v>2025-04</v>
      </c>
      <c r="J185" s="1">
        <f t="shared" si="7"/>
        <v>45829</v>
      </c>
      <c r="K185" t="str">
        <f t="shared" si="8"/>
        <v>ACTIVE</v>
      </c>
    </row>
    <row r="186" spans="1:11">
      <c r="A186">
        <v>329</v>
      </c>
      <c r="B186" t="s">
        <v>72</v>
      </c>
      <c r="C186" s="1">
        <v>45495</v>
      </c>
      <c r="D186" s="2" t="s">
        <v>24</v>
      </c>
      <c r="E186" t="s">
        <v>32</v>
      </c>
      <c r="G186" s="3">
        <v>9588</v>
      </c>
      <c r="H186" t="s">
        <v>176</v>
      </c>
      <c r="I186" s="3" t="str">
        <f t="shared" si="6"/>
        <v>2024-07</v>
      </c>
      <c r="J186" s="1">
        <f t="shared" si="7"/>
        <v>45815</v>
      </c>
      <c r="K186" t="str">
        <f t="shared" si="8"/>
        <v>ACTIVE</v>
      </c>
    </row>
    <row r="187" spans="1:11">
      <c r="A187">
        <v>661</v>
      </c>
      <c r="B187" t="s">
        <v>103</v>
      </c>
      <c r="C187" s="1">
        <v>45794</v>
      </c>
      <c r="D187" s="2" t="s">
        <v>24</v>
      </c>
      <c r="E187" t="s">
        <v>30</v>
      </c>
      <c r="G187" s="3">
        <v>927</v>
      </c>
      <c r="H187" t="s">
        <v>173</v>
      </c>
      <c r="I187" s="3" t="str">
        <f t="shared" si="6"/>
        <v>2025-05</v>
      </c>
      <c r="J187" s="1">
        <f t="shared" si="7"/>
        <v>45821</v>
      </c>
      <c r="K187" t="str">
        <f t="shared" si="8"/>
        <v>ACTIVE</v>
      </c>
    </row>
    <row r="188" spans="1:11">
      <c r="A188">
        <v>738</v>
      </c>
      <c r="B188" t="s">
        <v>88</v>
      </c>
      <c r="C188" s="1">
        <v>45437</v>
      </c>
      <c r="D188" s="2" t="s">
        <v>24</v>
      </c>
      <c r="E188" t="s">
        <v>31</v>
      </c>
      <c r="G188" s="3">
        <v>882</v>
      </c>
      <c r="H188" t="s">
        <v>176</v>
      </c>
      <c r="I188" s="3" t="str">
        <f t="shared" si="6"/>
        <v>2024-05</v>
      </c>
      <c r="J188" s="1">
        <f t="shared" si="7"/>
        <v>45763</v>
      </c>
      <c r="K188" t="str">
        <f t="shared" si="8"/>
        <v>ACTIVE</v>
      </c>
    </row>
    <row r="189" spans="1:11">
      <c r="A189">
        <v>1028</v>
      </c>
      <c r="B189" t="s">
        <v>79</v>
      </c>
      <c r="C189" s="1">
        <v>45365</v>
      </c>
      <c r="D189" s="2" t="s">
        <v>27</v>
      </c>
      <c r="E189" t="s">
        <v>30</v>
      </c>
      <c r="G189" s="3">
        <v>9985</v>
      </c>
      <c r="H189" t="s">
        <v>172</v>
      </c>
      <c r="I189" s="3" t="str">
        <f t="shared" si="6"/>
        <v>2024-03</v>
      </c>
      <c r="J189" s="1">
        <f t="shared" si="7"/>
        <v>45782</v>
      </c>
      <c r="K189" t="str">
        <f t="shared" si="8"/>
        <v>ACTIVE</v>
      </c>
    </row>
    <row r="190" spans="1:11">
      <c r="A190">
        <v>109</v>
      </c>
      <c r="B190" t="s">
        <v>90</v>
      </c>
      <c r="C190" s="1">
        <v>45703</v>
      </c>
      <c r="D190" s="2" t="s">
        <v>25</v>
      </c>
      <c r="E190" t="s">
        <v>32</v>
      </c>
      <c r="G190" s="3">
        <v>249</v>
      </c>
      <c r="H190" t="s">
        <v>176</v>
      </c>
      <c r="I190" s="3" t="str">
        <f t="shared" si="6"/>
        <v>2025-02</v>
      </c>
      <c r="J190" s="1">
        <f t="shared" si="7"/>
        <v>45788</v>
      </c>
      <c r="K190" t="str">
        <f t="shared" si="8"/>
        <v>ACTIVE</v>
      </c>
    </row>
    <row r="191" spans="1:11">
      <c r="A191">
        <v>1191</v>
      </c>
      <c r="B191" t="s">
        <v>118</v>
      </c>
      <c r="C191" s="1">
        <v>45505</v>
      </c>
      <c r="D191" s="2" t="s">
        <v>24</v>
      </c>
      <c r="E191" t="s">
        <v>31</v>
      </c>
      <c r="G191" s="3">
        <v>4047</v>
      </c>
      <c r="H191" t="s">
        <v>173</v>
      </c>
      <c r="I191" s="3" t="str">
        <f t="shared" si="6"/>
        <v>2024-08</v>
      </c>
      <c r="J191" s="1">
        <f t="shared" si="7"/>
        <v>45830</v>
      </c>
      <c r="K191" t="str">
        <f t="shared" si="8"/>
        <v>ACTIVE</v>
      </c>
    </row>
    <row r="192" spans="1:11">
      <c r="A192">
        <v>411</v>
      </c>
      <c r="B192" t="s">
        <v>52</v>
      </c>
      <c r="C192" s="1">
        <v>45427</v>
      </c>
      <c r="D192" s="2" t="s">
        <v>25</v>
      </c>
      <c r="E192" t="s">
        <v>33</v>
      </c>
      <c r="G192" s="3">
        <v>11438</v>
      </c>
      <c r="H192" t="s">
        <v>175</v>
      </c>
      <c r="I192" s="3" t="str">
        <f t="shared" si="6"/>
        <v>2024-05</v>
      </c>
      <c r="J192" s="1">
        <f t="shared" si="7"/>
        <v>45811</v>
      </c>
      <c r="K192" t="str">
        <f t="shared" si="8"/>
        <v>ACTIVE</v>
      </c>
    </row>
    <row r="193" spans="1:11">
      <c r="A193">
        <v>1384</v>
      </c>
      <c r="B193" t="s">
        <v>156</v>
      </c>
      <c r="C193" s="1">
        <v>45353</v>
      </c>
      <c r="D193" s="2" t="s">
        <v>25</v>
      </c>
      <c r="E193" t="s">
        <v>34</v>
      </c>
      <c r="G193" s="3">
        <v>10664</v>
      </c>
      <c r="H193" t="s">
        <v>175</v>
      </c>
      <c r="I193" s="3" t="str">
        <f t="shared" si="6"/>
        <v>2024-03</v>
      </c>
      <c r="J193" s="1">
        <f t="shared" si="7"/>
        <v>45738</v>
      </c>
      <c r="K193" t="str">
        <f t="shared" si="8"/>
        <v>LAPSED</v>
      </c>
    </row>
    <row r="194" spans="1:11">
      <c r="A194">
        <v>201</v>
      </c>
      <c r="B194" t="s">
        <v>150</v>
      </c>
      <c r="C194" s="1">
        <v>45362</v>
      </c>
      <c r="D194" s="2" t="s">
        <v>28</v>
      </c>
      <c r="E194" t="s">
        <v>34</v>
      </c>
      <c r="G194" s="3">
        <v>2409</v>
      </c>
      <c r="H194" t="s">
        <v>172</v>
      </c>
      <c r="I194" s="3" t="str">
        <f t="shared" si="6"/>
        <v>2024-03</v>
      </c>
      <c r="J194" s="1">
        <f t="shared" si="7"/>
        <v>45827</v>
      </c>
      <c r="K194" t="str">
        <f t="shared" si="8"/>
        <v>ACTIVE</v>
      </c>
    </row>
    <row r="195" spans="1:11">
      <c r="A195">
        <v>352</v>
      </c>
      <c r="B195" t="s">
        <v>122</v>
      </c>
      <c r="C195" s="1">
        <v>45504</v>
      </c>
      <c r="D195" s="2" t="s">
        <v>28</v>
      </c>
      <c r="E195" t="s">
        <v>31</v>
      </c>
      <c r="G195" s="3">
        <v>1602</v>
      </c>
      <c r="H195" t="s">
        <v>176</v>
      </c>
      <c r="I195" s="3" t="str">
        <f t="shared" ref="I195:I258" si="9">TEXT(C195, "yyyy-mm")</f>
        <v>2024-07</v>
      </c>
      <c r="J195" s="1">
        <f t="shared" ref="J195:J258" si="10">_xlfn.MAXIFS(C:C, B:B, B195)</f>
        <v>45793</v>
      </c>
      <c r="K195" t="str">
        <f t="shared" ref="K195:K258" si="11">IF($L$3-J195&gt;90, "LAPSED","ACTIVE")</f>
        <v>ACTIVE</v>
      </c>
    </row>
    <row r="196" spans="1:11">
      <c r="A196">
        <v>572</v>
      </c>
      <c r="B196" t="s">
        <v>47</v>
      </c>
      <c r="C196" s="1">
        <v>45690</v>
      </c>
      <c r="D196" s="2" t="s">
        <v>23</v>
      </c>
      <c r="E196" t="s">
        <v>30</v>
      </c>
      <c r="G196" s="3">
        <v>2500</v>
      </c>
      <c r="H196" t="s">
        <v>173</v>
      </c>
      <c r="I196" s="3" t="str">
        <f t="shared" si="9"/>
        <v>2025-02</v>
      </c>
      <c r="J196" s="1">
        <f t="shared" si="10"/>
        <v>45792</v>
      </c>
      <c r="K196" t="str">
        <f t="shared" si="11"/>
        <v>ACTIVE</v>
      </c>
    </row>
    <row r="197" spans="1:11">
      <c r="A197">
        <v>946</v>
      </c>
      <c r="B197" t="s">
        <v>155</v>
      </c>
      <c r="C197" s="1">
        <v>45440</v>
      </c>
      <c r="D197" s="2" t="s">
        <v>24</v>
      </c>
      <c r="E197" t="s">
        <v>34</v>
      </c>
      <c r="G197" s="3">
        <v>1738</v>
      </c>
      <c r="H197" t="s">
        <v>172</v>
      </c>
      <c r="I197" s="3" t="str">
        <f t="shared" si="9"/>
        <v>2024-05</v>
      </c>
      <c r="J197" s="1">
        <f t="shared" si="10"/>
        <v>45698</v>
      </c>
      <c r="K197" t="str">
        <f t="shared" si="11"/>
        <v>LAPSED</v>
      </c>
    </row>
    <row r="198" spans="1:11">
      <c r="A198">
        <v>61</v>
      </c>
      <c r="B198" t="s">
        <v>107</v>
      </c>
      <c r="C198" s="1">
        <v>45767</v>
      </c>
      <c r="D198" s="2" t="s">
        <v>23</v>
      </c>
      <c r="E198" t="s">
        <v>30</v>
      </c>
      <c r="G198" s="3">
        <v>701</v>
      </c>
      <c r="H198" t="s">
        <v>173</v>
      </c>
      <c r="I198" s="3" t="str">
        <f t="shared" si="9"/>
        <v>2025-04</v>
      </c>
      <c r="J198" s="1">
        <f t="shared" si="10"/>
        <v>45831</v>
      </c>
      <c r="K198" t="str">
        <f t="shared" si="11"/>
        <v>ACTIVE</v>
      </c>
    </row>
    <row r="199" spans="1:11">
      <c r="A199">
        <v>1122</v>
      </c>
      <c r="B199" t="s">
        <v>60</v>
      </c>
      <c r="C199" s="1">
        <v>45585</v>
      </c>
      <c r="D199" s="2" t="s">
        <v>24</v>
      </c>
      <c r="E199" t="s">
        <v>33</v>
      </c>
      <c r="G199" s="3">
        <v>4828</v>
      </c>
      <c r="H199" t="s">
        <v>172</v>
      </c>
      <c r="I199" s="3" t="str">
        <f t="shared" si="9"/>
        <v>2024-10</v>
      </c>
      <c r="J199" s="1">
        <f t="shared" si="10"/>
        <v>45801</v>
      </c>
      <c r="K199" t="str">
        <f t="shared" si="11"/>
        <v>ACTIVE</v>
      </c>
    </row>
    <row r="200" spans="1:11">
      <c r="A200">
        <v>1331</v>
      </c>
      <c r="B200" t="s">
        <v>124</v>
      </c>
      <c r="C200" s="1">
        <v>45526</v>
      </c>
      <c r="D200" s="2" t="s">
        <v>23</v>
      </c>
      <c r="E200" t="s">
        <v>35</v>
      </c>
      <c r="G200" s="3">
        <v>0</v>
      </c>
      <c r="H200" t="s">
        <v>172</v>
      </c>
      <c r="I200" s="3" t="str">
        <f t="shared" si="9"/>
        <v>2024-08</v>
      </c>
      <c r="J200" s="1">
        <f t="shared" si="10"/>
        <v>45793</v>
      </c>
      <c r="K200" t="str">
        <f t="shared" si="11"/>
        <v>ACTIVE</v>
      </c>
    </row>
    <row r="201" spans="1:11">
      <c r="A201">
        <v>358</v>
      </c>
      <c r="B201" t="s">
        <v>61</v>
      </c>
      <c r="C201" s="1">
        <v>45740</v>
      </c>
      <c r="D201" s="2" t="s">
        <v>23</v>
      </c>
      <c r="E201" t="s">
        <v>32</v>
      </c>
      <c r="G201" s="3">
        <v>5223</v>
      </c>
      <c r="H201" t="s">
        <v>172</v>
      </c>
      <c r="I201" s="3" t="str">
        <f t="shared" si="9"/>
        <v>2025-03</v>
      </c>
      <c r="J201" s="1">
        <f t="shared" si="10"/>
        <v>45815</v>
      </c>
      <c r="K201" t="str">
        <f t="shared" si="11"/>
        <v>ACTIVE</v>
      </c>
    </row>
    <row r="202" spans="1:11">
      <c r="A202">
        <v>1417</v>
      </c>
      <c r="B202" t="s">
        <v>45</v>
      </c>
      <c r="C202" s="1">
        <v>45463</v>
      </c>
      <c r="D202" s="2" t="s">
        <v>28</v>
      </c>
      <c r="E202" t="s">
        <v>33</v>
      </c>
      <c r="G202" s="3">
        <v>1345</v>
      </c>
      <c r="H202" t="s">
        <v>175</v>
      </c>
      <c r="I202" s="3" t="str">
        <f t="shared" si="9"/>
        <v>2024-06</v>
      </c>
      <c r="J202" s="1">
        <f t="shared" si="10"/>
        <v>45829</v>
      </c>
      <c r="K202" t="str">
        <f t="shared" si="11"/>
        <v>ACTIVE</v>
      </c>
    </row>
    <row r="203" spans="1:11">
      <c r="A203">
        <v>1661</v>
      </c>
      <c r="B203" t="s">
        <v>47</v>
      </c>
      <c r="C203" s="1">
        <v>45307</v>
      </c>
      <c r="D203" s="2" t="s">
        <v>24</v>
      </c>
      <c r="E203" t="s">
        <v>33</v>
      </c>
      <c r="G203" s="3">
        <v>854</v>
      </c>
      <c r="H203" t="s">
        <v>172</v>
      </c>
      <c r="I203" s="3" t="str">
        <f t="shared" si="9"/>
        <v>2024-01</v>
      </c>
      <c r="J203" s="1">
        <f t="shared" si="10"/>
        <v>45792</v>
      </c>
      <c r="K203" t="str">
        <f t="shared" si="11"/>
        <v>ACTIVE</v>
      </c>
    </row>
    <row r="204" spans="1:11">
      <c r="A204">
        <v>195</v>
      </c>
      <c r="B204" t="s">
        <v>122</v>
      </c>
      <c r="C204" s="1">
        <v>45610</v>
      </c>
      <c r="D204" s="2" t="s">
        <v>25</v>
      </c>
      <c r="E204" t="s">
        <v>30</v>
      </c>
      <c r="G204" s="3">
        <v>2368</v>
      </c>
      <c r="H204" t="s">
        <v>172</v>
      </c>
      <c r="I204" s="3" t="str">
        <f t="shared" si="9"/>
        <v>2024-11</v>
      </c>
      <c r="J204" s="1">
        <f t="shared" si="10"/>
        <v>45793</v>
      </c>
      <c r="K204" t="str">
        <f t="shared" si="11"/>
        <v>ACTIVE</v>
      </c>
    </row>
    <row r="205" spans="1:11">
      <c r="A205">
        <v>839</v>
      </c>
      <c r="B205" t="s">
        <v>145</v>
      </c>
      <c r="C205" s="1">
        <v>45779</v>
      </c>
      <c r="D205" s="2" t="s">
        <v>25</v>
      </c>
      <c r="E205" t="s">
        <v>30</v>
      </c>
      <c r="G205" s="3">
        <v>1754</v>
      </c>
      <c r="H205" t="s">
        <v>173</v>
      </c>
      <c r="I205" s="3" t="str">
        <f t="shared" si="9"/>
        <v>2025-05</v>
      </c>
      <c r="J205" s="1">
        <f t="shared" si="10"/>
        <v>45828</v>
      </c>
      <c r="K205" t="str">
        <f t="shared" si="11"/>
        <v>ACTIVE</v>
      </c>
    </row>
    <row r="206" spans="1:11">
      <c r="A206">
        <v>207</v>
      </c>
      <c r="B206" t="s">
        <v>108</v>
      </c>
      <c r="C206" s="1">
        <v>45618</v>
      </c>
      <c r="D206" s="2" t="s">
        <v>23</v>
      </c>
      <c r="E206" t="s">
        <v>30</v>
      </c>
      <c r="G206" s="3">
        <v>4474</v>
      </c>
      <c r="H206" t="s">
        <v>172</v>
      </c>
      <c r="I206" s="3" t="str">
        <f t="shared" si="9"/>
        <v>2024-11</v>
      </c>
      <c r="J206" s="1">
        <f t="shared" si="10"/>
        <v>45826</v>
      </c>
      <c r="K206" t="str">
        <f t="shared" si="11"/>
        <v>ACTIVE</v>
      </c>
    </row>
    <row r="207" spans="1:11">
      <c r="A207">
        <v>279</v>
      </c>
      <c r="B207" t="s">
        <v>78</v>
      </c>
      <c r="C207" s="1">
        <v>45322</v>
      </c>
      <c r="D207" s="2" t="s">
        <v>28</v>
      </c>
      <c r="E207" t="s">
        <v>31</v>
      </c>
      <c r="G207" s="3">
        <v>8255</v>
      </c>
      <c r="H207" t="s">
        <v>175</v>
      </c>
      <c r="I207" s="3" t="str">
        <f t="shared" si="9"/>
        <v>2024-01</v>
      </c>
      <c r="J207" s="1">
        <f t="shared" si="10"/>
        <v>45821</v>
      </c>
      <c r="K207" t="str">
        <f t="shared" si="11"/>
        <v>ACTIVE</v>
      </c>
    </row>
    <row r="208" spans="1:11">
      <c r="A208">
        <v>1595</v>
      </c>
      <c r="B208" t="s">
        <v>101</v>
      </c>
      <c r="C208" s="1">
        <v>45793</v>
      </c>
      <c r="D208" s="2" t="s">
        <v>24</v>
      </c>
      <c r="E208" t="s">
        <v>32</v>
      </c>
      <c r="G208" s="3">
        <v>9298</v>
      </c>
      <c r="H208" t="s">
        <v>175</v>
      </c>
      <c r="I208" s="3" t="str">
        <f t="shared" si="9"/>
        <v>2025-05</v>
      </c>
      <c r="J208" s="1">
        <f t="shared" si="10"/>
        <v>45823</v>
      </c>
      <c r="K208" t="str">
        <f t="shared" si="11"/>
        <v>ACTIVE</v>
      </c>
    </row>
    <row r="209" spans="1:11">
      <c r="A209">
        <v>1275</v>
      </c>
      <c r="B209" t="s">
        <v>127</v>
      </c>
      <c r="C209" s="1">
        <v>45736</v>
      </c>
      <c r="D209" s="2" t="s">
        <v>23</v>
      </c>
      <c r="E209" t="s">
        <v>35</v>
      </c>
      <c r="G209" s="3">
        <v>1505</v>
      </c>
      <c r="H209" t="s">
        <v>176</v>
      </c>
      <c r="I209" s="3" t="str">
        <f t="shared" si="9"/>
        <v>2025-03</v>
      </c>
      <c r="J209" s="1">
        <f t="shared" si="10"/>
        <v>45794</v>
      </c>
      <c r="K209" t="str">
        <f t="shared" si="11"/>
        <v>ACTIVE</v>
      </c>
    </row>
    <row r="210" spans="1:11">
      <c r="A210">
        <v>238</v>
      </c>
      <c r="B210" t="s">
        <v>92</v>
      </c>
      <c r="C210" s="1">
        <v>45506</v>
      </c>
      <c r="D210" s="2" t="s">
        <v>24</v>
      </c>
      <c r="E210" t="s">
        <v>30</v>
      </c>
      <c r="G210" s="3">
        <v>1128</v>
      </c>
      <c r="H210" t="s">
        <v>173</v>
      </c>
      <c r="I210" s="3" t="str">
        <f t="shared" si="9"/>
        <v>2024-08</v>
      </c>
      <c r="J210" s="1">
        <f t="shared" si="10"/>
        <v>45746</v>
      </c>
      <c r="K210" t="str">
        <f t="shared" si="11"/>
        <v>ACTIVE</v>
      </c>
    </row>
    <row r="211" spans="1:11">
      <c r="A211">
        <v>636</v>
      </c>
      <c r="B211" t="s">
        <v>122</v>
      </c>
      <c r="C211" s="1">
        <v>45702</v>
      </c>
      <c r="D211" s="2" t="s">
        <v>23</v>
      </c>
      <c r="E211" t="s">
        <v>34</v>
      </c>
      <c r="G211" s="3">
        <v>1239</v>
      </c>
      <c r="H211" t="s">
        <v>172</v>
      </c>
      <c r="I211" s="3" t="str">
        <f t="shared" si="9"/>
        <v>2025-02</v>
      </c>
      <c r="J211" s="1">
        <f t="shared" si="10"/>
        <v>45793</v>
      </c>
      <c r="K211" t="str">
        <f t="shared" si="11"/>
        <v>ACTIVE</v>
      </c>
    </row>
    <row r="212" spans="1:11">
      <c r="A212">
        <v>1121</v>
      </c>
      <c r="B212" t="s">
        <v>94</v>
      </c>
      <c r="C212" s="1">
        <v>45675</v>
      </c>
      <c r="D212" s="2" t="s">
        <v>25</v>
      </c>
      <c r="E212" t="s">
        <v>30</v>
      </c>
      <c r="G212" s="3">
        <v>1846</v>
      </c>
      <c r="H212" t="s">
        <v>172</v>
      </c>
      <c r="I212" s="3" t="str">
        <f t="shared" si="9"/>
        <v>2025-01</v>
      </c>
      <c r="J212" s="1">
        <f t="shared" si="10"/>
        <v>45824</v>
      </c>
      <c r="K212" t="str">
        <f t="shared" si="11"/>
        <v>ACTIVE</v>
      </c>
    </row>
    <row r="213" spans="1:11">
      <c r="A213">
        <v>620</v>
      </c>
      <c r="B213" t="s">
        <v>143</v>
      </c>
      <c r="C213" s="1">
        <v>45764</v>
      </c>
      <c r="D213" s="2" t="s">
        <v>27</v>
      </c>
      <c r="E213" t="s">
        <v>31</v>
      </c>
      <c r="G213" s="3">
        <v>1232</v>
      </c>
      <c r="H213" t="s">
        <v>174</v>
      </c>
      <c r="I213" s="3" t="str">
        <f t="shared" si="9"/>
        <v>2025-04</v>
      </c>
      <c r="J213" s="1">
        <f t="shared" si="10"/>
        <v>45764</v>
      </c>
      <c r="K213" t="str">
        <f t="shared" si="11"/>
        <v>ACTIVE</v>
      </c>
    </row>
    <row r="214" spans="1:11">
      <c r="A214">
        <v>1743</v>
      </c>
      <c r="B214" t="s">
        <v>128</v>
      </c>
      <c r="C214" s="1">
        <v>45336</v>
      </c>
      <c r="D214" s="2" t="s">
        <v>24</v>
      </c>
      <c r="E214" t="s">
        <v>33</v>
      </c>
      <c r="G214" s="3">
        <v>246</v>
      </c>
      <c r="H214" t="s">
        <v>175</v>
      </c>
      <c r="I214" s="3" t="str">
        <f t="shared" si="9"/>
        <v>2024-02</v>
      </c>
      <c r="J214" s="1">
        <f t="shared" si="10"/>
        <v>45812</v>
      </c>
      <c r="K214" t="str">
        <f t="shared" si="11"/>
        <v>ACTIVE</v>
      </c>
    </row>
    <row r="215" spans="1:11">
      <c r="A215">
        <v>1554</v>
      </c>
      <c r="B215" t="s">
        <v>117</v>
      </c>
      <c r="C215" s="1">
        <v>45662</v>
      </c>
      <c r="D215" s="2" t="s">
        <v>27</v>
      </c>
      <c r="E215" t="s">
        <v>35</v>
      </c>
      <c r="G215" s="3">
        <v>1594</v>
      </c>
      <c r="H215" t="s">
        <v>175</v>
      </c>
      <c r="I215" s="3" t="str">
        <f t="shared" si="9"/>
        <v>2025-01</v>
      </c>
      <c r="J215" s="1">
        <f t="shared" si="10"/>
        <v>45790</v>
      </c>
      <c r="K215" t="str">
        <f t="shared" si="11"/>
        <v>ACTIVE</v>
      </c>
    </row>
    <row r="216" spans="1:11">
      <c r="A216">
        <v>789</v>
      </c>
      <c r="B216" t="s">
        <v>50</v>
      </c>
      <c r="C216" s="1">
        <v>45603</v>
      </c>
      <c r="D216" s="2" t="s">
        <v>27</v>
      </c>
      <c r="E216" t="s">
        <v>34</v>
      </c>
      <c r="G216" s="3">
        <v>8711</v>
      </c>
      <c r="H216" t="s">
        <v>175</v>
      </c>
      <c r="I216" s="3" t="str">
        <f t="shared" si="9"/>
        <v>2024-11</v>
      </c>
      <c r="J216" s="1">
        <f t="shared" si="10"/>
        <v>45831</v>
      </c>
      <c r="K216" t="str">
        <f t="shared" si="11"/>
        <v>ACTIVE</v>
      </c>
    </row>
    <row r="217" spans="1:11">
      <c r="A217">
        <v>1181</v>
      </c>
      <c r="B217" t="s">
        <v>77</v>
      </c>
      <c r="C217" s="1">
        <v>45344</v>
      </c>
      <c r="D217" s="2" t="s">
        <v>25</v>
      </c>
      <c r="E217" t="s">
        <v>33</v>
      </c>
      <c r="G217" s="3">
        <v>254</v>
      </c>
      <c r="H217" t="s">
        <v>176</v>
      </c>
      <c r="I217" s="3" t="str">
        <f t="shared" si="9"/>
        <v>2024-02</v>
      </c>
      <c r="J217" s="1">
        <f t="shared" si="10"/>
        <v>45821</v>
      </c>
      <c r="K217" t="str">
        <f t="shared" si="11"/>
        <v>ACTIVE</v>
      </c>
    </row>
    <row r="218" spans="1:11">
      <c r="A218">
        <v>557</v>
      </c>
      <c r="B218" t="s">
        <v>84</v>
      </c>
      <c r="C218" s="1">
        <v>45531</v>
      </c>
      <c r="D218" s="2" t="s">
        <v>28</v>
      </c>
      <c r="E218" t="s">
        <v>32</v>
      </c>
      <c r="G218" s="3">
        <v>2145</v>
      </c>
      <c r="H218" t="s">
        <v>173</v>
      </c>
      <c r="I218" s="3" t="str">
        <f t="shared" si="9"/>
        <v>2024-08</v>
      </c>
      <c r="J218" s="1">
        <f t="shared" si="10"/>
        <v>45827</v>
      </c>
      <c r="K218" t="str">
        <f t="shared" si="11"/>
        <v>ACTIVE</v>
      </c>
    </row>
    <row r="219" spans="1:11">
      <c r="A219">
        <v>424</v>
      </c>
      <c r="B219" t="s">
        <v>80</v>
      </c>
      <c r="C219" s="1">
        <v>45648</v>
      </c>
      <c r="D219" s="2" t="s">
        <v>24</v>
      </c>
      <c r="E219" t="s">
        <v>33</v>
      </c>
      <c r="G219" s="3">
        <v>1964</v>
      </c>
      <c r="H219" t="s">
        <v>173</v>
      </c>
      <c r="I219" s="3" t="str">
        <f t="shared" si="9"/>
        <v>2024-12</v>
      </c>
      <c r="J219" s="1">
        <f t="shared" si="10"/>
        <v>45788</v>
      </c>
      <c r="K219" t="str">
        <f t="shared" si="11"/>
        <v>ACTIVE</v>
      </c>
    </row>
    <row r="220" spans="1:11">
      <c r="A220">
        <v>1134</v>
      </c>
      <c r="B220" t="s">
        <v>80</v>
      </c>
      <c r="C220" s="1">
        <v>45455</v>
      </c>
      <c r="D220" s="2" t="s">
        <v>25</v>
      </c>
      <c r="E220" t="s">
        <v>32</v>
      </c>
      <c r="G220" s="3">
        <v>10747</v>
      </c>
      <c r="H220" t="s">
        <v>172</v>
      </c>
      <c r="I220" s="3" t="str">
        <f t="shared" si="9"/>
        <v>2024-06</v>
      </c>
      <c r="J220" s="1">
        <f t="shared" si="10"/>
        <v>45788</v>
      </c>
      <c r="K220" t="str">
        <f t="shared" si="11"/>
        <v>ACTIVE</v>
      </c>
    </row>
    <row r="221" spans="1:11">
      <c r="A221">
        <v>1536</v>
      </c>
      <c r="B221" t="s">
        <v>86</v>
      </c>
      <c r="C221" s="1">
        <v>45510</v>
      </c>
      <c r="D221" s="2" t="s">
        <v>24</v>
      </c>
      <c r="E221" t="s">
        <v>35</v>
      </c>
      <c r="G221" s="3">
        <v>4268</v>
      </c>
      <c r="H221" t="s">
        <v>176</v>
      </c>
      <c r="I221" s="3" t="str">
        <f t="shared" si="9"/>
        <v>2024-08</v>
      </c>
      <c r="J221" s="1">
        <f t="shared" si="10"/>
        <v>45819</v>
      </c>
      <c r="K221" t="str">
        <f t="shared" si="11"/>
        <v>ACTIVE</v>
      </c>
    </row>
    <row r="222" spans="1:11">
      <c r="A222">
        <v>1019</v>
      </c>
      <c r="B222" t="s">
        <v>43</v>
      </c>
      <c r="C222" s="1">
        <v>45602</v>
      </c>
      <c r="D222" s="2" t="s">
        <v>23</v>
      </c>
      <c r="E222" t="s">
        <v>32</v>
      </c>
      <c r="G222" s="3">
        <v>582</v>
      </c>
      <c r="H222" t="s">
        <v>174</v>
      </c>
      <c r="I222" s="3" t="str">
        <f t="shared" si="9"/>
        <v>2024-11</v>
      </c>
      <c r="J222" s="1">
        <f t="shared" si="10"/>
        <v>45818</v>
      </c>
      <c r="K222" t="str">
        <f t="shared" si="11"/>
        <v>ACTIVE</v>
      </c>
    </row>
    <row r="223" spans="1:11">
      <c r="A223">
        <v>1717</v>
      </c>
      <c r="B223" t="s">
        <v>42</v>
      </c>
      <c r="C223" s="1">
        <v>45803</v>
      </c>
      <c r="D223" s="2" t="s">
        <v>28</v>
      </c>
      <c r="E223" t="s">
        <v>33</v>
      </c>
      <c r="G223" s="3">
        <v>2387</v>
      </c>
      <c r="H223" t="s">
        <v>175</v>
      </c>
      <c r="I223" s="3" t="str">
        <f t="shared" si="9"/>
        <v>2025-05</v>
      </c>
      <c r="J223" s="1">
        <f t="shared" si="10"/>
        <v>45803</v>
      </c>
      <c r="K223" t="str">
        <f t="shared" si="11"/>
        <v>ACTIVE</v>
      </c>
    </row>
    <row r="224" spans="1:11">
      <c r="A224">
        <v>1073</v>
      </c>
      <c r="B224" t="s">
        <v>145</v>
      </c>
      <c r="C224" s="1">
        <v>45332</v>
      </c>
      <c r="D224" s="2" t="s">
        <v>23</v>
      </c>
      <c r="E224" t="s">
        <v>35</v>
      </c>
      <c r="G224" s="3">
        <v>1605</v>
      </c>
      <c r="H224" t="s">
        <v>176</v>
      </c>
      <c r="I224" s="3" t="str">
        <f t="shared" si="9"/>
        <v>2024-02</v>
      </c>
      <c r="J224" s="1">
        <f t="shared" si="10"/>
        <v>45828</v>
      </c>
      <c r="K224" t="str">
        <f t="shared" si="11"/>
        <v>ACTIVE</v>
      </c>
    </row>
    <row r="225" spans="1:11">
      <c r="A225">
        <v>790</v>
      </c>
      <c r="B225" t="s">
        <v>64</v>
      </c>
      <c r="C225" s="1">
        <v>45582</v>
      </c>
      <c r="D225" s="2" t="s">
        <v>27</v>
      </c>
      <c r="E225" t="s">
        <v>31</v>
      </c>
      <c r="G225" s="3">
        <v>8280</v>
      </c>
      <c r="H225" t="s">
        <v>176</v>
      </c>
      <c r="I225" s="3" t="str">
        <f t="shared" si="9"/>
        <v>2024-10</v>
      </c>
      <c r="J225" s="1">
        <f t="shared" si="10"/>
        <v>45814</v>
      </c>
      <c r="K225" t="str">
        <f t="shared" si="11"/>
        <v>ACTIVE</v>
      </c>
    </row>
    <row r="226" spans="1:11">
      <c r="A226">
        <v>664</v>
      </c>
      <c r="B226" t="s">
        <v>85</v>
      </c>
      <c r="C226" s="1">
        <v>45745</v>
      </c>
      <c r="D226" s="2" t="s">
        <v>25</v>
      </c>
      <c r="E226" t="s">
        <v>32</v>
      </c>
      <c r="G226" s="3">
        <v>2301</v>
      </c>
      <c r="H226" t="s">
        <v>172</v>
      </c>
      <c r="I226" s="3" t="str">
        <f t="shared" si="9"/>
        <v>2025-03</v>
      </c>
      <c r="J226" s="1">
        <f t="shared" si="10"/>
        <v>45826</v>
      </c>
      <c r="K226" t="str">
        <f t="shared" si="11"/>
        <v>ACTIVE</v>
      </c>
    </row>
    <row r="227" spans="1:11">
      <c r="A227">
        <v>730</v>
      </c>
      <c r="B227" t="s">
        <v>105</v>
      </c>
      <c r="C227" s="1">
        <v>45417</v>
      </c>
      <c r="D227" s="2" t="s">
        <v>24</v>
      </c>
      <c r="E227" t="s">
        <v>34</v>
      </c>
      <c r="G227" s="3">
        <v>484</v>
      </c>
      <c r="H227" t="s">
        <v>175</v>
      </c>
      <c r="I227" s="3" t="str">
        <f t="shared" si="9"/>
        <v>2024-05</v>
      </c>
      <c r="J227" s="1">
        <f t="shared" si="10"/>
        <v>45816</v>
      </c>
      <c r="K227" t="str">
        <f t="shared" si="11"/>
        <v>ACTIVE</v>
      </c>
    </row>
    <row r="228" spans="1:11">
      <c r="A228">
        <v>225</v>
      </c>
      <c r="B228" t="s">
        <v>60</v>
      </c>
      <c r="C228" s="1">
        <v>45325</v>
      </c>
      <c r="D228" s="2" t="s">
        <v>24</v>
      </c>
      <c r="E228" t="s">
        <v>34</v>
      </c>
      <c r="G228" s="3">
        <v>2070</v>
      </c>
      <c r="H228" t="s">
        <v>173</v>
      </c>
      <c r="I228" s="3" t="str">
        <f t="shared" si="9"/>
        <v>2024-02</v>
      </c>
      <c r="J228" s="1">
        <f t="shared" si="10"/>
        <v>45801</v>
      </c>
      <c r="K228" t="str">
        <f t="shared" si="11"/>
        <v>ACTIVE</v>
      </c>
    </row>
    <row r="229" spans="1:11">
      <c r="A229">
        <v>1160</v>
      </c>
      <c r="B229" t="s">
        <v>58</v>
      </c>
      <c r="C229" s="1">
        <v>45752</v>
      </c>
      <c r="D229" s="2" t="s">
        <v>27</v>
      </c>
      <c r="E229" t="s">
        <v>32</v>
      </c>
      <c r="G229" s="3">
        <v>2003</v>
      </c>
      <c r="H229" t="s">
        <v>174</v>
      </c>
      <c r="I229" s="3" t="str">
        <f t="shared" si="9"/>
        <v>2025-04</v>
      </c>
      <c r="J229" s="1">
        <f t="shared" si="10"/>
        <v>45752</v>
      </c>
      <c r="K229" t="str">
        <f t="shared" si="11"/>
        <v>ACTIVE</v>
      </c>
    </row>
    <row r="230" spans="1:11">
      <c r="A230">
        <v>52</v>
      </c>
      <c r="B230" t="s">
        <v>158</v>
      </c>
      <c r="C230" s="1">
        <v>45706</v>
      </c>
      <c r="D230" s="2" t="s">
        <v>27</v>
      </c>
      <c r="E230" t="s">
        <v>32</v>
      </c>
      <c r="G230" s="3">
        <v>1788</v>
      </c>
      <c r="H230" t="s">
        <v>175</v>
      </c>
      <c r="I230" s="3" t="str">
        <f t="shared" si="9"/>
        <v>2025-02</v>
      </c>
      <c r="J230" s="1">
        <f t="shared" si="10"/>
        <v>45740</v>
      </c>
      <c r="K230" t="str">
        <f t="shared" si="11"/>
        <v>LAPSED</v>
      </c>
    </row>
    <row r="231" spans="1:11">
      <c r="A231">
        <v>644</v>
      </c>
      <c r="B231" t="s">
        <v>155</v>
      </c>
      <c r="C231" s="1">
        <v>45583</v>
      </c>
      <c r="D231" s="2" t="s">
        <v>25</v>
      </c>
      <c r="E231" t="s">
        <v>34</v>
      </c>
      <c r="G231" s="3">
        <v>426</v>
      </c>
      <c r="H231" t="s">
        <v>174</v>
      </c>
      <c r="I231" s="3" t="str">
        <f t="shared" si="9"/>
        <v>2024-10</v>
      </c>
      <c r="J231" s="1">
        <f t="shared" si="10"/>
        <v>45698</v>
      </c>
      <c r="K231" t="str">
        <f t="shared" si="11"/>
        <v>LAPSED</v>
      </c>
    </row>
    <row r="232" spans="1:11">
      <c r="A232">
        <v>1620</v>
      </c>
      <c r="B232" t="s">
        <v>71</v>
      </c>
      <c r="C232" s="1">
        <v>45607</v>
      </c>
      <c r="D232" s="2" t="s">
        <v>28</v>
      </c>
      <c r="E232" t="s">
        <v>34</v>
      </c>
      <c r="G232" s="3">
        <v>327</v>
      </c>
      <c r="H232" t="s">
        <v>173</v>
      </c>
      <c r="I232" s="3" t="str">
        <f t="shared" si="9"/>
        <v>2024-11</v>
      </c>
      <c r="J232" s="1">
        <f t="shared" si="10"/>
        <v>45823</v>
      </c>
      <c r="K232" t="str">
        <f t="shared" si="11"/>
        <v>ACTIVE</v>
      </c>
    </row>
    <row r="233" spans="1:11">
      <c r="A233">
        <v>442</v>
      </c>
      <c r="B233" t="s">
        <v>144</v>
      </c>
      <c r="C233" s="1">
        <v>45569</v>
      </c>
      <c r="D233" s="2" t="s">
        <v>28</v>
      </c>
      <c r="E233" t="s">
        <v>31</v>
      </c>
      <c r="G233" s="3">
        <v>11862</v>
      </c>
      <c r="H233" t="s">
        <v>173</v>
      </c>
      <c r="I233" s="3" t="str">
        <f t="shared" si="9"/>
        <v>2024-10</v>
      </c>
      <c r="J233" s="1">
        <f t="shared" si="10"/>
        <v>45751</v>
      </c>
      <c r="K233" t="str">
        <f t="shared" si="11"/>
        <v>ACTIVE</v>
      </c>
    </row>
    <row r="234" spans="1:11">
      <c r="A234">
        <v>1713</v>
      </c>
      <c r="B234" t="s">
        <v>159</v>
      </c>
      <c r="C234" s="1">
        <v>45687</v>
      </c>
      <c r="D234" s="2" t="s">
        <v>23</v>
      </c>
      <c r="E234" t="s">
        <v>35</v>
      </c>
      <c r="G234" s="3">
        <v>896</v>
      </c>
      <c r="H234" t="s">
        <v>175</v>
      </c>
      <c r="I234" s="3" t="str">
        <f t="shared" si="9"/>
        <v>2025-01</v>
      </c>
      <c r="J234" s="1">
        <f t="shared" si="10"/>
        <v>45713</v>
      </c>
      <c r="K234" t="str">
        <f t="shared" si="11"/>
        <v>LAPSED</v>
      </c>
    </row>
    <row r="235" spans="1:11">
      <c r="A235">
        <v>490</v>
      </c>
      <c r="B235" t="s">
        <v>106</v>
      </c>
      <c r="C235" s="1">
        <v>45760</v>
      </c>
      <c r="D235" s="2" t="s">
        <v>25</v>
      </c>
      <c r="E235" t="s">
        <v>34</v>
      </c>
      <c r="G235" s="3">
        <v>2338</v>
      </c>
      <c r="H235" t="s">
        <v>174</v>
      </c>
      <c r="I235" s="3" t="str">
        <f t="shared" si="9"/>
        <v>2025-04</v>
      </c>
      <c r="J235" s="1">
        <f t="shared" si="10"/>
        <v>45760</v>
      </c>
      <c r="K235" t="str">
        <f t="shared" si="11"/>
        <v>ACTIVE</v>
      </c>
    </row>
    <row r="236" spans="1:11">
      <c r="A236">
        <v>1550</v>
      </c>
      <c r="B236" t="s">
        <v>56</v>
      </c>
      <c r="C236" s="1">
        <v>45546</v>
      </c>
      <c r="D236" s="2" t="s">
        <v>24</v>
      </c>
      <c r="E236" t="s">
        <v>35</v>
      </c>
      <c r="G236" s="3">
        <v>918</v>
      </c>
      <c r="H236" t="s">
        <v>175</v>
      </c>
      <c r="I236" s="3" t="str">
        <f t="shared" si="9"/>
        <v>2024-09</v>
      </c>
      <c r="J236" s="1">
        <f t="shared" si="10"/>
        <v>45805</v>
      </c>
      <c r="K236" t="str">
        <f t="shared" si="11"/>
        <v>ACTIVE</v>
      </c>
    </row>
    <row r="237" spans="1:11">
      <c r="A237">
        <v>1006</v>
      </c>
      <c r="B237" t="s">
        <v>111</v>
      </c>
      <c r="C237" s="1">
        <v>45601</v>
      </c>
      <c r="D237" s="2" t="s">
        <v>24</v>
      </c>
      <c r="E237" t="s">
        <v>33</v>
      </c>
      <c r="G237" s="3">
        <v>804</v>
      </c>
      <c r="H237" t="s">
        <v>174</v>
      </c>
      <c r="I237" s="3" t="str">
        <f t="shared" si="9"/>
        <v>2024-11</v>
      </c>
      <c r="J237" s="1">
        <f t="shared" si="10"/>
        <v>45829</v>
      </c>
      <c r="K237" t="str">
        <f t="shared" si="11"/>
        <v>ACTIVE</v>
      </c>
    </row>
    <row r="238" spans="1:11">
      <c r="A238">
        <v>639</v>
      </c>
      <c r="B238" t="s">
        <v>160</v>
      </c>
      <c r="C238" s="1">
        <v>45346</v>
      </c>
      <c r="D238" s="2" t="s">
        <v>25</v>
      </c>
      <c r="E238" t="s">
        <v>32</v>
      </c>
      <c r="G238" s="3">
        <v>594</v>
      </c>
      <c r="H238" t="s">
        <v>173</v>
      </c>
      <c r="I238" s="3" t="str">
        <f t="shared" si="9"/>
        <v>2024-02</v>
      </c>
      <c r="J238" s="1">
        <f t="shared" si="10"/>
        <v>45734</v>
      </c>
      <c r="K238" t="str">
        <f t="shared" si="11"/>
        <v>LAPSED</v>
      </c>
    </row>
    <row r="239" spans="1:11">
      <c r="A239">
        <v>1765</v>
      </c>
      <c r="B239" t="s">
        <v>98</v>
      </c>
      <c r="C239" s="1">
        <v>45709</v>
      </c>
      <c r="D239" s="2" t="s">
        <v>23</v>
      </c>
      <c r="E239" t="s">
        <v>35</v>
      </c>
      <c r="G239" s="3">
        <v>529</v>
      </c>
      <c r="H239" t="s">
        <v>173</v>
      </c>
      <c r="I239" s="3" t="str">
        <f t="shared" si="9"/>
        <v>2025-02</v>
      </c>
      <c r="J239" s="1">
        <f t="shared" si="10"/>
        <v>45767</v>
      </c>
      <c r="K239" t="str">
        <f t="shared" si="11"/>
        <v>ACTIVE</v>
      </c>
    </row>
    <row r="240" spans="1:11">
      <c r="A240">
        <v>948</v>
      </c>
      <c r="B240" t="s">
        <v>111</v>
      </c>
      <c r="C240" s="1">
        <v>45462</v>
      </c>
      <c r="D240" s="2" t="s">
        <v>28</v>
      </c>
      <c r="E240" t="s">
        <v>33</v>
      </c>
      <c r="G240" s="3">
        <v>0</v>
      </c>
      <c r="H240" t="s">
        <v>172</v>
      </c>
      <c r="I240" s="3" t="str">
        <f t="shared" si="9"/>
        <v>2024-06</v>
      </c>
      <c r="J240" s="1">
        <f t="shared" si="10"/>
        <v>45829</v>
      </c>
      <c r="K240" t="str">
        <f t="shared" si="11"/>
        <v>ACTIVE</v>
      </c>
    </row>
    <row r="241" spans="1:11">
      <c r="A241">
        <v>309</v>
      </c>
      <c r="B241" t="s">
        <v>137</v>
      </c>
      <c r="C241" s="1">
        <v>45382</v>
      </c>
      <c r="D241" s="2" t="s">
        <v>24</v>
      </c>
      <c r="E241" t="s">
        <v>32</v>
      </c>
      <c r="G241" s="3">
        <v>453</v>
      </c>
      <c r="H241" t="s">
        <v>172</v>
      </c>
      <c r="I241" s="3" t="str">
        <f t="shared" si="9"/>
        <v>2024-03</v>
      </c>
      <c r="J241" s="1">
        <f t="shared" si="10"/>
        <v>45819</v>
      </c>
      <c r="K241" t="str">
        <f t="shared" si="11"/>
        <v>ACTIVE</v>
      </c>
    </row>
    <row r="242" spans="1:11">
      <c r="A242">
        <v>1347</v>
      </c>
      <c r="B242" t="s">
        <v>148</v>
      </c>
      <c r="C242" s="1">
        <v>45299</v>
      </c>
      <c r="D242" s="2" t="s">
        <v>23</v>
      </c>
      <c r="E242" t="s">
        <v>31</v>
      </c>
      <c r="G242" s="3">
        <v>2556</v>
      </c>
      <c r="H242" t="s">
        <v>175</v>
      </c>
      <c r="I242" s="3" t="str">
        <f t="shared" si="9"/>
        <v>2024-01</v>
      </c>
      <c r="J242" s="1">
        <f t="shared" si="10"/>
        <v>45766</v>
      </c>
      <c r="K242" t="str">
        <f t="shared" si="11"/>
        <v>ACTIVE</v>
      </c>
    </row>
    <row r="243" spans="1:11">
      <c r="A243">
        <v>612</v>
      </c>
      <c r="B243" t="s">
        <v>46</v>
      </c>
      <c r="C243" s="1">
        <v>45815</v>
      </c>
      <c r="D243" s="2" t="s">
        <v>24</v>
      </c>
      <c r="E243" t="s">
        <v>32</v>
      </c>
      <c r="G243" s="3">
        <v>1630</v>
      </c>
      <c r="H243" t="s">
        <v>173</v>
      </c>
      <c r="I243" s="3" t="str">
        <f t="shared" si="9"/>
        <v>2025-06</v>
      </c>
      <c r="J243" s="1">
        <f t="shared" si="10"/>
        <v>45815</v>
      </c>
      <c r="K243" t="str">
        <f t="shared" si="11"/>
        <v>ACTIVE</v>
      </c>
    </row>
    <row r="244" spans="1:11">
      <c r="A244">
        <v>702</v>
      </c>
      <c r="B244" t="s">
        <v>139</v>
      </c>
      <c r="C244" s="1">
        <v>45717</v>
      </c>
      <c r="D244" s="2" t="s">
        <v>28</v>
      </c>
      <c r="E244" t="s">
        <v>30</v>
      </c>
      <c r="G244" s="3">
        <v>11996</v>
      </c>
      <c r="H244" t="s">
        <v>176</v>
      </c>
      <c r="I244" s="3" t="str">
        <f t="shared" si="9"/>
        <v>2025-03</v>
      </c>
      <c r="J244" s="1">
        <f t="shared" si="10"/>
        <v>45830</v>
      </c>
      <c r="K244" t="str">
        <f t="shared" si="11"/>
        <v>ACTIVE</v>
      </c>
    </row>
    <row r="245" spans="1:11">
      <c r="A245">
        <v>376</v>
      </c>
      <c r="B245" t="s">
        <v>128</v>
      </c>
      <c r="C245" s="1">
        <v>45521</v>
      </c>
      <c r="D245" s="2" t="s">
        <v>23</v>
      </c>
      <c r="E245" t="s">
        <v>32</v>
      </c>
      <c r="G245" s="3">
        <v>2009</v>
      </c>
      <c r="H245" t="s">
        <v>174</v>
      </c>
      <c r="I245" s="3" t="str">
        <f t="shared" si="9"/>
        <v>2024-08</v>
      </c>
      <c r="J245" s="1">
        <f t="shared" si="10"/>
        <v>45812</v>
      </c>
      <c r="K245" t="str">
        <f t="shared" si="11"/>
        <v>ACTIVE</v>
      </c>
    </row>
    <row r="246" spans="1:11">
      <c r="A246">
        <v>1063</v>
      </c>
      <c r="B246" t="s">
        <v>89</v>
      </c>
      <c r="C246" s="1">
        <v>45710</v>
      </c>
      <c r="D246" s="2" t="s">
        <v>23</v>
      </c>
      <c r="E246" t="s">
        <v>33</v>
      </c>
      <c r="G246" s="3">
        <v>0</v>
      </c>
      <c r="H246" t="s">
        <v>172</v>
      </c>
      <c r="I246" s="3" t="str">
        <f t="shared" si="9"/>
        <v>2025-02</v>
      </c>
      <c r="J246" s="1">
        <f t="shared" si="10"/>
        <v>45826</v>
      </c>
      <c r="K246" t="str">
        <f t="shared" si="11"/>
        <v>ACTIVE</v>
      </c>
    </row>
    <row r="247" spans="1:11">
      <c r="A247">
        <v>455</v>
      </c>
      <c r="B247" t="s">
        <v>145</v>
      </c>
      <c r="C247" s="1">
        <v>45488</v>
      </c>
      <c r="D247" s="2" t="s">
        <v>24</v>
      </c>
      <c r="E247" t="s">
        <v>32</v>
      </c>
      <c r="G247" s="3">
        <v>424</v>
      </c>
      <c r="H247" t="s">
        <v>172</v>
      </c>
      <c r="I247" s="3" t="str">
        <f t="shared" si="9"/>
        <v>2024-07</v>
      </c>
      <c r="J247" s="1">
        <f t="shared" si="10"/>
        <v>45828</v>
      </c>
      <c r="K247" t="str">
        <f t="shared" si="11"/>
        <v>ACTIVE</v>
      </c>
    </row>
    <row r="248" spans="1:11">
      <c r="A248">
        <v>99</v>
      </c>
      <c r="B248" t="s">
        <v>83</v>
      </c>
      <c r="C248" s="1">
        <v>45757</v>
      </c>
      <c r="D248" s="2" t="s">
        <v>24</v>
      </c>
      <c r="E248" t="s">
        <v>35</v>
      </c>
      <c r="G248" s="3">
        <v>847</v>
      </c>
      <c r="H248" t="s">
        <v>174</v>
      </c>
      <c r="I248" s="3" t="str">
        <f t="shared" si="9"/>
        <v>2025-04</v>
      </c>
      <c r="J248" s="1">
        <f t="shared" si="10"/>
        <v>45816</v>
      </c>
      <c r="K248" t="str">
        <f t="shared" si="11"/>
        <v>ACTIVE</v>
      </c>
    </row>
    <row r="249" spans="1:11">
      <c r="A249">
        <v>1671</v>
      </c>
      <c r="B249" t="s">
        <v>120</v>
      </c>
      <c r="C249" s="1">
        <v>45582</v>
      </c>
      <c r="D249" s="2" t="s">
        <v>23</v>
      </c>
      <c r="E249" t="s">
        <v>35</v>
      </c>
      <c r="G249" s="3">
        <v>1867</v>
      </c>
      <c r="H249" t="s">
        <v>173</v>
      </c>
      <c r="I249" s="3" t="str">
        <f t="shared" si="9"/>
        <v>2024-10</v>
      </c>
      <c r="J249" s="1">
        <f t="shared" si="10"/>
        <v>45817</v>
      </c>
      <c r="K249" t="str">
        <f t="shared" si="11"/>
        <v>ACTIVE</v>
      </c>
    </row>
    <row r="250" spans="1:11">
      <c r="A250">
        <v>1616</v>
      </c>
      <c r="B250" t="s">
        <v>105</v>
      </c>
      <c r="C250" s="1">
        <v>45346</v>
      </c>
      <c r="D250" s="2" t="s">
        <v>27</v>
      </c>
      <c r="E250" t="s">
        <v>30</v>
      </c>
      <c r="G250" s="3">
        <v>355</v>
      </c>
      <c r="H250" t="s">
        <v>173</v>
      </c>
      <c r="I250" s="3" t="str">
        <f t="shared" si="9"/>
        <v>2024-02</v>
      </c>
      <c r="J250" s="1">
        <f t="shared" si="10"/>
        <v>45816</v>
      </c>
      <c r="K250" t="str">
        <f t="shared" si="11"/>
        <v>ACTIVE</v>
      </c>
    </row>
    <row r="251" spans="1:11">
      <c r="A251">
        <v>1392</v>
      </c>
      <c r="B251" t="s">
        <v>96</v>
      </c>
      <c r="C251" s="1">
        <v>45432</v>
      </c>
      <c r="D251" s="2" t="s">
        <v>24</v>
      </c>
      <c r="E251" t="s">
        <v>34</v>
      </c>
      <c r="G251" s="3">
        <v>357</v>
      </c>
      <c r="H251" t="s">
        <v>175</v>
      </c>
      <c r="I251" s="3" t="str">
        <f t="shared" si="9"/>
        <v>2024-05</v>
      </c>
      <c r="J251" s="1">
        <f t="shared" si="10"/>
        <v>45798</v>
      </c>
      <c r="K251" t="str">
        <f t="shared" si="11"/>
        <v>ACTIVE</v>
      </c>
    </row>
    <row r="252" spans="1:11">
      <c r="A252">
        <v>508</v>
      </c>
      <c r="B252" t="s">
        <v>113</v>
      </c>
      <c r="C252" s="1">
        <v>45295</v>
      </c>
      <c r="D252" s="2" t="s">
        <v>24</v>
      </c>
      <c r="E252" t="s">
        <v>34</v>
      </c>
      <c r="G252" s="3">
        <v>300</v>
      </c>
      <c r="H252" t="s">
        <v>173</v>
      </c>
      <c r="I252" s="3" t="str">
        <f t="shared" si="9"/>
        <v>2024-01</v>
      </c>
      <c r="J252" s="1">
        <f t="shared" si="10"/>
        <v>45788</v>
      </c>
      <c r="K252" t="str">
        <f t="shared" si="11"/>
        <v>ACTIVE</v>
      </c>
    </row>
    <row r="253" spans="1:11">
      <c r="A253">
        <v>1655</v>
      </c>
      <c r="B253" t="s">
        <v>119</v>
      </c>
      <c r="C253" s="1">
        <v>45789</v>
      </c>
      <c r="D253" s="2" t="s">
        <v>28</v>
      </c>
      <c r="E253" t="s">
        <v>34</v>
      </c>
      <c r="G253" s="3">
        <v>2037</v>
      </c>
      <c r="H253" t="s">
        <v>174</v>
      </c>
      <c r="I253" s="3" t="str">
        <f t="shared" si="9"/>
        <v>2025-05</v>
      </c>
      <c r="J253" s="1">
        <f t="shared" si="10"/>
        <v>45806</v>
      </c>
      <c r="K253" t="str">
        <f t="shared" si="11"/>
        <v>ACTIVE</v>
      </c>
    </row>
    <row r="254" spans="1:11">
      <c r="A254">
        <v>1389</v>
      </c>
      <c r="B254" t="s">
        <v>67</v>
      </c>
      <c r="C254" s="1">
        <v>45453</v>
      </c>
      <c r="D254" s="2" t="s">
        <v>23</v>
      </c>
      <c r="E254" t="s">
        <v>35</v>
      </c>
      <c r="G254" s="3">
        <v>2497</v>
      </c>
      <c r="H254" t="s">
        <v>176</v>
      </c>
      <c r="I254" s="3" t="str">
        <f t="shared" si="9"/>
        <v>2024-06</v>
      </c>
      <c r="J254" s="1">
        <f t="shared" si="10"/>
        <v>45794</v>
      </c>
      <c r="K254" t="str">
        <f t="shared" si="11"/>
        <v>ACTIVE</v>
      </c>
    </row>
    <row r="255" spans="1:11">
      <c r="A255">
        <v>13</v>
      </c>
      <c r="B255" t="s">
        <v>100</v>
      </c>
      <c r="C255" s="1">
        <v>45474</v>
      </c>
      <c r="D255" s="2" t="s">
        <v>25</v>
      </c>
      <c r="E255" t="s">
        <v>30</v>
      </c>
      <c r="G255" s="3">
        <v>2842</v>
      </c>
      <c r="H255" t="s">
        <v>175</v>
      </c>
      <c r="I255" s="3" t="str">
        <f t="shared" si="9"/>
        <v>2024-07</v>
      </c>
      <c r="J255" s="1">
        <f t="shared" si="10"/>
        <v>45779</v>
      </c>
      <c r="K255" t="str">
        <f t="shared" si="11"/>
        <v>ACTIVE</v>
      </c>
    </row>
    <row r="256" spans="1:11">
      <c r="A256">
        <v>799</v>
      </c>
      <c r="B256" t="s">
        <v>98</v>
      </c>
      <c r="C256" s="1">
        <v>45767</v>
      </c>
      <c r="D256" s="2" t="s">
        <v>28</v>
      </c>
      <c r="E256" t="s">
        <v>34</v>
      </c>
      <c r="G256" s="3">
        <v>1019</v>
      </c>
      <c r="H256" t="s">
        <v>172</v>
      </c>
      <c r="I256" s="3" t="str">
        <f t="shared" si="9"/>
        <v>2025-04</v>
      </c>
      <c r="J256" s="1">
        <f t="shared" si="10"/>
        <v>45767</v>
      </c>
      <c r="K256" t="str">
        <f t="shared" si="11"/>
        <v>ACTIVE</v>
      </c>
    </row>
    <row r="257" spans="1:11">
      <c r="A257">
        <v>1267</v>
      </c>
      <c r="B257" t="s">
        <v>42</v>
      </c>
      <c r="C257" s="1">
        <v>45747</v>
      </c>
      <c r="D257" s="2" t="s">
        <v>23</v>
      </c>
      <c r="E257" t="s">
        <v>34</v>
      </c>
      <c r="G257" s="3">
        <v>11553</v>
      </c>
      <c r="H257" t="s">
        <v>176</v>
      </c>
      <c r="I257" s="3" t="str">
        <f t="shared" si="9"/>
        <v>2025-03</v>
      </c>
      <c r="J257" s="1">
        <f t="shared" si="10"/>
        <v>45803</v>
      </c>
      <c r="K257" t="str">
        <f t="shared" si="11"/>
        <v>ACTIVE</v>
      </c>
    </row>
    <row r="258" spans="1:11">
      <c r="A258">
        <v>168</v>
      </c>
      <c r="B258" t="s">
        <v>97</v>
      </c>
      <c r="C258" s="1">
        <v>45601</v>
      </c>
      <c r="D258" s="2" t="s">
        <v>27</v>
      </c>
      <c r="E258" t="s">
        <v>30</v>
      </c>
      <c r="G258" s="3">
        <v>689</v>
      </c>
      <c r="H258" t="s">
        <v>176</v>
      </c>
      <c r="I258" s="3" t="str">
        <f t="shared" si="9"/>
        <v>2024-11</v>
      </c>
      <c r="J258" s="1">
        <f t="shared" si="10"/>
        <v>45794</v>
      </c>
      <c r="K258" t="str">
        <f t="shared" si="11"/>
        <v>ACTIVE</v>
      </c>
    </row>
    <row r="259" spans="1:11">
      <c r="A259">
        <v>1593</v>
      </c>
      <c r="B259" t="s">
        <v>158</v>
      </c>
      <c r="C259" s="1">
        <v>45637</v>
      </c>
      <c r="D259" s="2" t="s">
        <v>28</v>
      </c>
      <c r="E259" t="s">
        <v>33</v>
      </c>
      <c r="G259" s="3">
        <v>4778</v>
      </c>
      <c r="H259" t="s">
        <v>175</v>
      </c>
      <c r="I259" s="3" t="str">
        <f t="shared" ref="I259:I322" si="12">TEXT(C259, "yyyy-mm")</f>
        <v>2024-12</v>
      </c>
      <c r="J259" s="1">
        <f t="shared" ref="J259:J322" si="13">_xlfn.MAXIFS(C:C, B:B, B259)</f>
        <v>45740</v>
      </c>
      <c r="K259" t="str">
        <f t="shared" ref="K259:K322" si="14">IF($L$3-J259&gt;90, "LAPSED","ACTIVE")</f>
        <v>LAPSED</v>
      </c>
    </row>
    <row r="260" spans="1:11">
      <c r="A260">
        <v>1227</v>
      </c>
      <c r="B260" t="s">
        <v>62</v>
      </c>
      <c r="C260" s="1">
        <v>45815</v>
      </c>
      <c r="D260" s="2" t="s">
        <v>27</v>
      </c>
      <c r="E260" t="s">
        <v>30</v>
      </c>
      <c r="G260" s="3">
        <v>2221</v>
      </c>
      <c r="H260" t="s">
        <v>172</v>
      </c>
      <c r="I260" s="3" t="str">
        <f t="shared" si="12"/>
        <v>2025-06</v>
      </c>
      <c r="J260" s="1">
        <f t="shared" si="13"/>
        <v>45815</v>
      </c>
      <c r="K260" t="str">
        <f t="shared" si="14"/>
        <v>ACTIVE</v>
      </c>
    </row>
    <row r="261" spans="1:11">
      <c r="A261">
        <v>189</v>
      </c>
      <c r="B261" t="s">
        <v>147</v>
      </c>
      <c r="C261" s="1">
        <v>45330</v>
      </c>
      <c r="D261" s="2" t="s">
        <v>27</v>
      </c>
      <c r="E261" t="s">
        <v>32</v>
      </c>
      <c r="G261" s="3">
        <v>1760</v>
      </c>
      <c r="H261" t="s">
        <v>176</v>
      </c>
      <c r="I261" s="3" t="str">
        <f t="shared" si="12"/>
        <v>2024-02</v>
      </c>
      <c r="J261" s="1">
        <f t="shared" si="13"/>
        <v>45752</v>
      </c>
      <c r="K261" t="str">
        <f t="shared" si="14"/>
        <v>ACTIVE</v>
      </c>
    </row>
    <row r="262" spans="1:11">
      <c r="A262">
        <v>1105</v>
      </c>
      <c r="B262" t="s">
        <v>106</v>
      </c>
      <c r="C262" s="1">
        <v>45552</v>
      </c>
      <c r="D262" s="2" t="s">
        <v>23</v>
      </c>
      <c r="E262" t="s">
        <v>30</v>
      </c>
      <c r="G262" s="3">
        <v>1662</v>
      </c>
      <c r="H262" t="s">
        <v>172</v>
      </c>
      <c r="I262" s="3" t="str">
        <f t="shared" si="12"/>
        <v>2024-09</v>
      </c>
      <c r="J262" s="1">
        <f t="shared" si="13"/>
        <v>45760</v>
      </c>
      <c r="K262" t="str">
        <f t="shared" si="14"/>
        <v>ACTIVE</v>
      </c>
    </row>
    <row r="263" spans="1:11">
      <c r="A263">
        <v>44</v>
      </c>
      <c r="B263" t="s">
        <v>135</v>
      </c>
      <c r="C263" s="1">
        <v>45522</v>
      </c>
      <c r="D263" s="2" t="s">
        <v>27</v>
      </c>
      <c r="E263" t="s">
        <v>33</v>
      </c>
      <c r="G263" s="3">
        <v>409</v>
      </c>
      <c r="H263" t="s">
        <v>173</v>
      </c>
      <c r="I263" s="3" t="str">
        <f t="shared" si="12"/>
        <v>2024-08</v>
      </c>
      <c r="J263" s="1">
        <f t="shared" si="13"/>
        <v>45785</v>
      </c>
      <c r="K263" t="str">
        <f t="shared" si="14"/>
        <v>ACTIVE</v>
      </c>
    </row>
    <row r="264" spans="1:11">
      <c r="A264">
        <v>1551</v>
      </c>
      <c r="B264" t="s">
        <v>144</v>
      </c>
      <c r="C264" s="1">
        <v>45471</v>
      </c>
      <c r="D264" s="2" t="s">
        <v>27</v>
      </c>
      <c r="E264" t="s">
        <v>34</v>
      </c>
      <c r="G264" s="3">
        <v>1704</v>
      </c>
      <c r="H264" t="s">
        <v>172</v>
      </c>
      <c r="I264" s="3" t="str">
        <f t="shared" si="12"/>
        <v>2024-06</v>
      </c>
      <c r="J264" s="1">
        <f t="shared" si="13"/>
        <v>45751</v>
      </c>
      <c r="K264" t="str">
        <f t="shared" si="14"/>
        <v>ACTIVE</v>
      </c>
    </row>
    <row r="265" spans="1:11">
      <c r="A265">
        <v>10</v>
      </c>
      <c r="B265" t="s">
        <v>55</v>
      </c>
      <c r="C265" s="1">
        <v>45516</v>
      </c>
      <c r="D265" s="2" t="s">
        <v>23</v>
      </c>
      <c r="E265" t="s">
        <v>32</v>
      </c>
      <c r="G265" s="3">
        <v>1102</v>
      </c>
      <c r="H265" t="s">
        <v>176</v>
      </c>
      <c r="I265" s="3" t="str">
        <f t="shared" si="12"/>
        <v>2024-08</v>
      </c>
      <c r="J265" s="1">
        <f t="shared" si="13"/>
        <v>45824</v>
      </c>
      <c r="K265" t="str">
        <f t="shared" si="14"/>
        <v>ACTIVE</v>
      </c>
    </row>
    <row r="266" spans="1:11">
      <c r="A266">
        <v>1224</v>
      </c>
      <c r="B266" t="s">
        <v>69</v>
      </c>
      <c r="C266" s="1">
        <v>45482</v>
      </c>
      <c r="D266" s="2" t="s">
        <v>24</v>
      </c>
      <c r="E266" t="s">
        <v>32</v>
      </c>
      <c r="G266" s="3">
        <v>9825</v>
      </c>
      <c r="H266" t="s">
        <v>176</v>
      </c>
      <c r="I266" s="3" t="str">
        <f t="shared" si="12"/>
        <v>2024-07</v>
      </c>
      <c r="J266" s="1">
        <f t="shared" si="13"/>
        <v>45829</v>
      </c>
      <c r="K266" t="str">
        <f t="shared" si="14"/>
        <v>ACTIVE</v>
      </c>
    </row>
    <row r="267" spans="1:11">
      <c r="A267">
        <v>148</v>
      </c>
      <c r="B267" t="s">
        <v>44</v>
      </c>
      <c r="C267" s="1">
        <v>45773</v>
      </c>
      <c r="D267" s="2" t="s">
        <v>28</v>
      </c>
      <c r="E267" t="s">
        <v>31</v>
      </c>
      <c r="G267" s="3">
        <v>2747</v>
      </c>
      <c r="H267" t="s">
        <v>174</v>
      </c>
      <c r="I267" s="3" t="str">
        <f t="shared" si="12"/>
        <v>2025-04</v>
      </c>
      <c r="J267" s="1">
        <f t="shared" si="13"/>
        <v>45814</v>
      </c>
      <c r="K267" t="str">
        <f t="shared" si="14"/>
        <v>ACTIVE</v>
      </c>
    </row>
    <row r="268" spans="1:11">
      <c r="A268">
        <v>379</v>
      </c>
      <c r="B268" t="s">
        <v>72</v>
      </c>
      <c r="C268" s="1">
        <v>45730</v>
      </c>
      <c r="D268" s="2" t="s">
        <v>23</v>
      </c>
      <c r="E268" t="s">
        <v>31</v>
      </c>
      <c r="G268" s="3">
        <v>1297</v>
      </c>
      <c r="H268" t="s">
        <v>174</v>
      </c>
      <c r="I268" s="3" t="str">
        <f t="shared" si="12"/>
        <v>2025-03</v>
      </c>
      <c r="J268" s="1">
        <f t="shared" si="13"/>
        <v>45815</v>
      </c>
      <c r="K268" t="str">
        <f t="shared" si="14"/>
        <v>ACTIVE</v>
      </c>
    </row>
    <row r="269" spans="1:11">
      <c r="A269">
        <v>14</v>
      </c>
      <c r="B269" t="s">
        <v>111</v>
      </c>
      <c r="C269" s="1">
        <v>45292</v>
      </c>
      <c r="D269" s="2" t="s">
        <v>24</v>
      </c>
      <c r="E269" t="s">
        <v>32</v>
      </c>
      <c r="G269" s="3">
        <v>422</v>
      </c>
      <c r="H269" t="s">
        <v>174</v>
      </c>
      <c r="I269" s="3" t="str">
        <f t="shared" si="12"/>
        <v>2024-01</v>
      </c>
      <c r="J269" s="1">
        <f t="shared" si="13"/>
        <v>45829</v>
      </c>
      <c r="K269" t="str">
        <f t="shared" si="14"/>
        <v>ACTIVE</v>
      </c>
    </row>
    <row r="270" spans="1:11">
      <c r="A270">
        <v>472</v>
      </c>
      <c r="B270" t="s">
        <v>150</v>
      </c>
      <c r="C270" s="1">
        <v>45745</v>
      </c>
      <c r="D270" s="2" t="s">
        <v>24</v>
      </c>
      <c r="E270" t="s">
        <v>31</v>
      </c>
      <c r="G270" s="3">
        <v>11966</v>
      </c>
      <c r="H270" t="s">
        <v>174</v>
      </c>
      <c r="I270" s="3" t="str">
        <f t="shared" si="12"/>
        <v>2025-03</v>
      </c>
      <c r="J270" s="1">
        <f t="shared" si="13"/>
        <v>45827</v>
      </c>
      <c r="K270" t="str">
        <f t="shared" si="14"/>
        <v>ACTIVE</v>
      </c>
    </row>
    <row r="271" spans="1:11">
      <c r="A271">
        <v>689</v>
      </c>
      <c r="B271" t="s">
        <v>54</v>
      </c>
      <c r="C271" s="1">
        <v>45449</v>
      </c>
      <c r="D271" s="2" t="s">
        <v>24</v>
      </c>
      <c r="E271" t="s">
        <v>32</v>
      </c>
      <c r="G271" s="3">
        <v>821</v>
      </c>
      <c r="H271" t="s">
        <v>174</v>
      </c>
      <c r="I271" s="3" t="str">
        <f t="shared" si="12"/>
        <v>2024-06</v>
      </c>
      <c r="J271" s="1">
        <f t="shared" si="13"/>
        <v>45825</v>
      </c>
      <c r="K271" t="str">
        <f t="shared" si="14"/>
        <v>ACTIVE</v>
      </c>
    </row>
    <row r="272" spans="1:11">
      <c r="A272">
        <v>784</v>
      </c>
      <c r="B272" t="s">
        <v>130</v>
      </c>
      <c r="C272" s="1">
        <v>45816</v>
      </c>
      <c r="D272" s="2" t="s">
        <v>27</v>
      </c>
      <c r="E272" t="s">
        <v>32</v>
      </c>
      <c r="G272" s="3">
        <v>1782</v>
      </c>
      <c r="H272" t="s">
        <v>172</v>
      </c>
      <c r="I272" s="3" t="str">
        <f t="shared" si="12"/>
        <v>2025-06</v>
      </c>
      <c r="J272" s="1">
        <f t="shared" si="13"/>
        <v>45828</v>
      </c>
      <c r="K272" t="str">
        <f t="shared" si="14"/>
        <v>ACTIVE</v>
      </c>
    </row>
    <row r="273" spans="1:11">
      <c r="A273">
        <v>1306</v>
      </c>
      <c r="B273" t="s">
        <v>59</v>
      </c>
      <c r="C273" s="1">
        <v>45719</v>
      </c>
      <c r="D273" s="2" t="s">
        <v>24</v>
      </c>
      <c r="E273" t="s">
        <v>31</v>
      </c>
      <c r="G273" s="3">
        <v>2011</v>
      </c>
      <c r="H273" t="s">
        <v>175</v>
      </c>
      <c r="I273" s="3" t="str">
        <f t="shared" si="12"/>
        <v>2025-03</v>
      </c>
      <c r="J273" s="1">
        <f t="shared" si="13"/>
        <v>45829</v>
      </c>
      <c r="K273" t="str">
        <f t="shared" si="14"/>
        <v>ACTIVE</v>
      </c>
    </row>
    <row r="274" spans="1:11">
      <c r="A274">
        <v>448</v>
      </c>
      <c r="B274" t="s">
        <v>40</v>
      </c>
      <c r="C274" s="1">
        <v>45602</v>
      </c>
      <c r="D274" s="2" t="s">
        <v>25</v>
      </c>
      <c r="E274" t="s">
        <v>35</v>
      </c>
      <c r="G274" s="3">
        <v>1406</v>
      </c>
      <c r="H274" t="s">
        <v>173</v>
      </c>
      <c r="I274" s="3" t="str">
        <f t="shared" si="12"/>
        <v>2024-11</v>
      </c>
      <c r="J274" s="1">
        <f t="shared" si="13"/>
        <v>45759</v>
      </c>
      <c r="K274" t="str">
        <f t="shared" si="14"/>
        <v>ACTIVE</v>
      </c>
    </row>
    <row r="275" spans="1:11">
      <c r="A275">
        <v>566</v>
      </c>
      <c r="B275" t="s">
        <v>147</v>
      </c>
      <c r="C275" s="1">
        <v>45400</v>
      </c>
      <c r="D275" s="2" t="s">
        <v>26</v>
      </c>
      <c r="E275" t="s">
        <v>30</v>
      </c>
      <c r="G275" s="3">
        <v>2103</v>
      </c>
      <c r="H275" t="s">
        <v>176</v>
      </c>
      <c r="I275" s="3" t="str">
        <f t="shared" si="12"/>
        <v>2024-04</v>
      </c>
      <c r="J275" s="1">
        <f t="shared" si="13"/>
        <v>45752</v>
      </c>
      <c r="K275" t="str">
        <f t="shared" si="14"/>
        <v>ACTIVE</v>
      </c>
    </row>
    <row r="276" spans="1:11">
      <c r="A276">
        <v>465</v>
      </c>
      <c r="B276" t="s">
        <v>102</v>
      </c>
      <c r="C276" s="1">
        <v>45486</v>
      </c>
      <c r="D276" s="2" t="s">
        <v>28</v>
      </c>
      <c r="E276" t="s">
        <v>35</v>
      </c>
      <c r="G276" s="3">
        <v>1568</v>
      </c>
      <c r="H276" t="s">
        <v>174</v>
      </c>
      <c r="I276" s="3" t="str">
        <f t="shared" si="12"/>
        <v>2024-07</v>
      </c>
      <c r="J276" s="1">
        <f t="shared" si="13"/>
        <v>45793</v>
      </c>
      <c r="K276" t="str">
        <f t="shared" si="14"/>
        <v>ACTIVE</v>
      </c>
    </row>
    <row r="277" spans="1:11">
      <c r="A277">
        <v>1632</v>
      </c>
      <c r="B277" t="s">
        <v>88</v>
      </c>
      <c r="C277" s="1">
        <v>45763</v>
      </c>
      <c r="D277" s="2" t="s">
        <v>28</v>
      </c>
      <c r="E277" t="s">
        <v>30</v>
      </c>
      <c r="G277" s="3">
        <v>1232</v>
      </c>
      <c r="H277" t="s">
        <v>175</v>
      </c>
      <c r="I277" s="3" t="str">
        <f t="shared" si="12"/>
        <v>2025-04</v>
      </c>
      <c r="J277" s="1">
        <f t="shared" si="13"/>
        <v>45763</v>
      </c>
      <c r="K277" t="str">
        <f t="shared" si="14"/>
        <v>ACTIVE</v>
      </c>
    </row>
    <row r="278" spans="1:11">
      <c r="A278">
        <v>471</v>
      </c>
      <c r="B278" t="s">
        <v>123</v>
      </c>
      <c r="C278" s="1">
        <v>45761</v>
      </c>
      <c r="D278" s="2" t="s">
        <v>28</v>
      </c>
      <c r="E278" t="s">
        <v>34</v>
      </c>
      <c r="G278" s="3">
        <v>1675</v>
      </c>
      <c r="H278" t="s">
        <v>175</v>
      </c>
      <c r="I278" s="3" t="str">
        <f t="shared" si="12"/>
        <v>2025-04</v>
      </c>
      <c r="J278" s="1">
        <f t="shared" si="13"/>
        <v>45772</v>
      </c>
      <c r="K278" t="str">
        <f t="shared" si="14"/>
        <v>ACTIVE</v>
      </c>
    </row>
    <row r="279" spans="1:11">
      <c r="A279">
        <v>342</v>
      </c>
      <c r="B279" t="s">
        <v>132</v>
      </c>
      <c r="C279" s="1">
        <v>45476</v>
      </c>
      <c r="D279" s="2" t="s">
        <v>25</v>
      </c>
      <c r="E279" t="s">
        <v>32</v>
      </c>
      <c r="G279" s="3">
        <v>5262</v>
      </c>
      <c r="H279" t="s">
        <v>172</v>
      </c>
      <c r="I279" s="3" t="str">
        <f t="shared" si="12"/>
        <v>2024-07</v>
      </c>
      <c r="J279" s="1">
        <f t="shared" si="13"/>
        <v>45822</v>
      </c>
      <c r="K279" t="str">
        <f t="shared" si="14"/>
        <v>ACTIVE</v>
      </c>
    </row>
    <row r="280" spans="1:11">
      <c r="A280">
        <v>1727</v>
      </c>
      <c r="B280" t="s">
        <v>74</v>
      </c>
      <c r="C280" s="1">
        <v>45499</v>
      </c>
      <c r="D280" s="2" t="s">
        <v>23</v>
      </c>
      <c r="E280" t="s">
        <v>33</v>
      </c>
      <c r="G280" s="3">
        <v>760</v>
      </c>
      <c r="H280" t="s">
        <v>175</v>
      </c>
      <c r="I280" s="3" t="str">
        <f t="shared" si="12"/>
        <v>2024-07</v>
      </c>
      <c r="J280" s="1">
        <f t="shared" si="13"/>
        <v>45773</v>
      </c>
      <c r="K280" t="str">
        <f t="shared" si="14"/>
        <v>ACTIVE</v>
      </c>
    </row>
    <row r="281" spans="1:11">
      <c r="A281">
        <v>717</v>
      </c>
      <c r="B281" t="s">
        <v>89</v>
      </c>
      <c r="C281" s="1">
        <v>45594</v>
      </c>
      <c r="D281" s="2" t="s">
        <v>28</v>
      </c>
      <c r="E281" t="s">
        <v>30</v>
      </c>
      <c r="G281" s="3">
        <v>11494</v>
      </c>
      <c r="H281" t="s">
        <v>174</v>
      </c>
      <c r="I281" s="3" t="str">
        <f t="shared" si="12"/>
        <v>2024-10</v>
      </c>
      <c r="J281" s="1">
        <f t="shared" si="13"/>
        <v>45826</v>
      </c>
      <c r="K281" t="str">
        <f t="shared" si="14"/>
        <v>ACTIVE</v>
      </c>
    </row>
    <row r="282" spans="1:11">
      <c r="A282">
        <v>675</v>
      </c>
      <c r="B282" t="s">
        <v>122</v>
      </c>
      <c r="C282" s="1">
        <v>45623</v>
      </c>
      <c r="D282" s="2" t="s">
        <v>28</v>
      </c>
      <c r="E282" t="s">
        <v>30</v>
      </c>
      <c r="G282" s="3">
        <v>2171</v>
      </c>
      <c r="H282" t="s">
        <v>173</v>
      </c>
      <c r="I282" s="3" t="str">
        <f t="shared" si="12"/>
        <v>2024-11</v>
      </c>
      <c r="J282" s="1">
        <f t="shared" si="13"/>
        <v>45793</v>
      </c>
      <c r="K282" t="str">
        <f t="shared" si="14"/>
        <v>ACTIVE</v>
      </c>
    </row>
    <row r="283" spans="1:11">
      <c r="A283">
        <v>116</v>
      </c>
      <c r="B283" t="s">
        <v>157</v>
      </c>
      <c r="C283" s="1">
        <v>45318</v>
      </c>
      <c r="D283" s="2" t="s">
        <v>24</v>
      </c>
      <c r="E283" t="s">
        <v>34</v>
      </c>
      <c r="G283" s="3">
        <v>1364</v>
      </c>
      <c r="H283" t="s">
        <v>174</v>
      </c>
      <c r="I283" s="3" t="str">
        <f t="shared" si="12"/>
        <v>2024-01</v>
      </c>
      <c r="J283" s="1">
        <f t="shared" si="13"/>
        <v>45729</v>
      </c>
      <c r="K283" t="str">
        <f t="shared" si="14"/>
        <v>LAPSED</v>
      </c>
    </row>
    <row r="284" spans="1:11">
      <c r="A284">
        <v>896</v>
      </c>
      <c r="B284" t="s">
        <v>121</v>
      </c>
      <c r="C284" s="1">
        <v>45798</v>
      </c>
      <c r="D284" s="2" t="s">
        <v>23</v>
      </c>
      <c r="E284" t="s">
        <v>35</v>
      </c>
      <c r="G284" s="3">
        <v>866</v>
      </c>
      <c r="H284" t="s">
        <v>175</v>
      </c>
      <c r="I284" s="3" t="str">
        <f t="shared" si="12"/>
        <v>2025-05</v>
      </c>
      <c r="J284" s="1">
        <f t="shared" si="13"/>
        <v>45798</v>
      </c>
      <c r="K284" t="str">
        <f t="shared" si="14"/>
        <v>ACTIVE</v>
      </c>
    </row>
    <row r="285" spans="1:11">
      <c r="A285">
        <v>1282</v>
      </c>
      <c r="B285" t="s">
        <v>50</v>
      </c>
      <c r="C285" s="1">
        <v>45498</v>
      </c>
      <c r="D285" s="2" t="s">
        <v>23</v>
      </c>
      <c r="E285" t="s">
        <v>32</v>
      </c>
      <c r="G285" s="3">
        <v>1702</v>
      </c>
      <c r="H285" t="s">
        <v>176</v>
      </c>
      <c r="I285" s="3" t="str">
        <f t="shared" si="12"/>
        <v>2024-07</v>
      </c>
      <c r="J285" s="1">
        <f t="shared" si="13"/>
        <v>45831</v>
      </c>
      <c r="K285" t="str">
        <f t="shared" si="14"/>
        <v>ACTIVE</v>
      </c>
    </row>
    <row r="286" spans="1:11">
      <c r="A286">
        <v>97</v>
      </c>
      <c r="B286" t="s">
        <v>160</v>
      </c>
      <c r="C286" s="1">
        <v>45571</v>
      </c>
      <c r="D286" s="2" t="s">
        <v>27</v>
      </c>
      <c r="E286" t="s">
        <v>31</v>
      </c>
      <c r="G286" s="3">
        <v>356</v>
      </c>
      <c r="H286" t="s">
        <v>174</v>
      </c>
      <c r="I286" s="3" t="str">
        <f t="shared" si="12"/>
        <v>2024-10</v>
      </c>
      <c r="J286" s="1">
        <f t="shared" si="13"/>
        <v>45734</v>
      </c>
      <c r="K286" t="str">
        <f t="shared" si="14"/>
        <v>LAPSED</v>
      </c>
    </row>
    <row r="287" spans="1:11">
      <c r="A287">
        <v>1772</v>
      </c>
      <c r="B287" t="s">
        <v>156</v>
      </c>
      <c r="C287" s="1">
        <v>45715</v>
      </c>
      <c r="D287" s="2" t="s">
        <v>24</v>
      </c>
      <c r="E287" t="s">
        <v>33</v>
      </c>
      <c r="G287" s="3">
        <v>430</v>
      </c>
      <c r="H287" t="s">
        <v>176</v>
      </c>
      <c r="I287" s="3" t="str">
        <f t="shared" si="12"/>
        <v>2025-02</v>
      </c>
      <c r="J287" s="1">
        <f t="shared" si="13"/>
        <v>45738</v>
      </c>
      <c r="K287" t="str">
        <f t="shared" si="14"/>
        <v>LAPSED</v>
      </c>
    </row>
    <row r="288" spans="1:11">
      <c r="A288">
        <v>1797</v>
      </c>
      <c r="B288" t="s">
        <v>117</v>
      </c>
      <c r="C288" s="1">
        <v>45643</v>
      </c>
      <c r="D288" s="2" t="s">
        <v>23</v>
      </c>
      <c r="E288" t="s">
        <v>30</v>
      </c>
      <c r="G288" s="3">
        <v>4533</v>
      </c>
      <c r="H288" t="s">
        <v>172</v>
      </c>
      <c r="I288" s="3" t="str">
        <f t="shared" si="12"/>
        <v>2024-12</v>
      </c>
      <c r="J288" s="1">
        <f t="shared" si="13"/>
        <v>45790</v>
      </c>
      <c r="K288" t="str">
        <f t="shared" si="14"/>
        <v>ACTIVE</v>
      </c>
    </row>
    <row r="289" spans="1:11">
      <c r="A289">
        <v>459</v>
      </c>
      <c r="B289" t="s">
        <v>83</v>
      </c>
      <c r="C289" s="1">
        <v>45450</v>
      </c>
      <c r="D289" s="2" t="s">
        <v>25</v>
      </c>
      <c r="E289" t="s">
        <v>33</v>
      </c>
      <c r="G289" s="3">
        <v>1500</v>
      </c>
      <c r="H289" t="s">
        <v>175</v>
      </c>
      <c r="I289" s="3" t="str">
        <f t="shared" si="12"/>
        <v>2024-06</v>
      </c>
      <c r="J289" s="1">
        <f t="shared" si="13"/>
        <v>45816</v>
      </c>
      <c r="K289" t="str">
        <f t="shared" si="14"/>
        <v>ACTIVE</v>
      </c>
    </row>
    <row r="290" spans="1:11">
      <c r="A290">
        <v>100</v>
      </c>
      <c r="B290" t="s">
        <v>148</v>
      </c>
      <c r="C290" s="1">
        <v>45627</v>
      </c>
      <c r="D290" s="2" t="s">
        <v>23</v>
      </c>
      <c r="E290" t="s">
        <v>33</v>
      </c>
      <c r="G290" s="3">
        <v>1054</v>
      </c>
      <c r="H290" t="s">
        <v>173</v>
      </c>
      <c r="I290" s="3" t="str">
        <f t="shared" si="12"/>
        <v>2024-12</v>
      </c>
      <c r="J290" s="1">
        <f t="shared" si="13"/>
        <v>45766</v>
      </c>
      <c r="K290" t="str">
        <f t="shared" si="14"/>
        <v>ACTIVE</v>
      </c>
    </row>
    <row r="291" spans="1:11">
      <c r="A291">
        <v>1365</v>
      </c>
      <c r="B291" t="s">
        <v>136</v>
      </c>
      <c r="C291" s="1">
        <v>45434</v>
      </c>
      <c r="D291" s="2" t="s">
        <v>27</v>
      </c>
      <c r="E291" t="s">
        <v>30</v>
      </c>
      <c r="G291" s="3">
        <v>625</v>
      </c>
      <c r="H291" t="s">
        <v>173</v>
      </c>
      <c r="I291" s="3" t="str">
        <f t="shared" si="12"/>
        <v>2024-05</v>
      </c>
      <c r="J291" s="1">
        <f t="shared" si="13"/>
        <v>45823</v>
      </c>
      <c r="K291" t="str">
        <f t="shared" si="14"/>
        <v>ACTIVE</v>
      </c>
    </row>
    <row r="292" spans="1:11">
      <c r="A292">
        <v>624</v>
      </c>
      <c r="B292" t="s">
        <v>139</v>
      </c>
      <c r="C292" s="1">
        <v>45830</v>
      </c>
      <c r="D292" s="2" t="s">
        <v>23</v>
      </c>
      <c r="E292" t="s">
        <v>30</v>
      </c>
      <c r="G292" s="3">
        <v>10809</v>
      </c>
      <c r="H292" t="s">
        <v>176</v>
      </c>
      <c r="I292" s="3" t="str">
        <f t="shared" si="12"/>
        <v>2025-06</v>
      </c>
      <c r="J292" s="1">
        <f t="shared" si="13"/>
        <v>45830</v>
      </c>
      <c r="K292" t="str">
        <f t="shared" si="14"/>
        <v>ACTIVE</v>
      </c>
    </row>
    <row r="293" spans="1:11">
      <c r="A293">
        <v>387</v>
      </c>
      <c r="B293" t="s">
        <v>48</v>
      </c>
      <c r="C293" s="1">
        <v>45381</v>
      </c>
      <c r="D293" s="2" t="s">
        <v>25</v>
      </c>
      <c r="E293" t="s">
        <v>33</v>
      </c>
      <c r="G293" s="3">
        <v>2558</v>
      </c>
      <c r="H293" t="s">
        <v>175</v>
      </c>
      <c r="I293" s="3" t="str">
        <f t="shared" si="12"/>
        <v>2024-03</v>
      </c>
      <c r="J293" s="1">
        <f t="shared" si="13"/>
        <v>45809</v>
      </c>
      <c r="K293" t="str">
        <f t="shared" si="14"/>
        <v>ACTIVE</v>
      </c>
    </row>
    <row r="294" spans="1:11">
      <c r="A294">
        <v>432</v>
      </c>
      <c r="B294" t="s">
        <v>86</v>
      </c>
      <c r="C294" s="1">
        <v>45578</v>
      </c>
      <c r="D294" s="2" t="s">
        <v>27</v>
      </c>
      <c r="E294" t="s">
        <v>35</v>
      </c>
      <c r="G294" s="3">
        <v>1232</v>
      </c>
      <c r="H294" t="s">
        <v>173</v>
      </c>
      <c r="I294" s="3" t="str">
        <f t="shared" si="12"/>
        <v>2024-10</v>
      </c>
      <c r="J294" s="1">
        <f t="shared" si="13"/>
        <v>45819</v>
      </c>
      <c r="K294" t="str">
        <f t="shared" si="14"/>
        <v>ACTIVE</v>
      </c>
    </row>
    <row r="295" spans="1:11">
      <c r="A295">
        <v>1468</v>
      </c>
      <c r="B295" t="s">
        <v>110</v>
      </c>
      <c r="C295" s="1">
        <v>45411</v>
      </c>
      <c r="D295" s="2" t="s">
        <v>27</v>
      </c>
      <c r="E295" t="s">
        <v>32</v>
      </c>
      <c r="G295" s="3">
        <v>306</v>
      </c>
      <c r="H295" t="s">
        <v>175</v>
      </c>
      <c r="I295" s="3" t="str">
        <f t="shared" si="12"/>
        <v>2024-04</v>
      </c>
      <c r="J295" s="1">
        <f t="shared" si="13"/>
        <v>45816</v>
      </c>
      <c r="K295" t="str">
        <f t="shared" si="14"/>
        <v>ACTIVE</v>
      </c>
    </row>
    <row r="296" spans="1:11">
      <c r="A296">
        <v>1207</v>
      </c>
      <c r="B296" t="s">
        <v>42</v>
      </c>
      <c r="C296" s="1">
        <v>45676</v>
      </c>
      <c r="D296" s="2" t="s">
        <v>28</v>
      </c>
      <c r="E296" t="s">
        <v>30</v>
      </c>
      <c r="G296" s="3">
        <v>1904</v>
      </c>
      <c r="H296" t="s">
        <v>173</v>
      </c>
      <c r="I296" s="3" t="str">
        <f t="shared" si="12"/>
        <v>2025-01</v>
      </c>
      <c r="J296" s="1">
        <f t="shared" si="13"/>
        <v>45803</v>
      </c>
      <c r="K296" t="str">
        <f t="shared" si="14"/>
        <v>ACTIVE</v>
      </c>
    </row>
    <row r="297" spans="1:11">
      <c r="A297">
        <v>947</v>
      </c>
      <c r="B297" t="s">
        <v>101</v>
      </c>
      <c r="C297" s="1">
        <v>45561</v>
      </c>
      <c r="D297" s="2" t="s">
        <v>25</v>
      </c>
      <c r="E297" t="s">
        <v>32</v>
      </c>
      <c r="G297" s="3">
        <v>1581</v>
      </c>
      <c r="H297" t="s">
        <v>175</v>
      </c>
      <c r="I297" s="3" t="str">
        <f t="shared" si="12"/>
        <v>2024-09</v>
      </c>
      <c r="J297" s="1">
        <f t="shared" si="13"/>
        <v>45823</v>
      </c>
      <c r="K297" t="str">
        <f t="shared" si="14"/>
        <v>ACTIVE</v>
      </c>
    </row>
    <row r="298" spans="1:11">
      <c r="A298">
        <v>271</v>
      </c>
      <c r="B298" t="s">
        <v>139</v>
      </c>
      <c r="C298" s="1">
        <v>45319</v>
      </c>
      <c r="D298" s="2" t="s">
        <v>24</v>
      </c>
      <c r="E298" t="s">
        <v>33</v>
      </c>
      <c r="G298" s="3">
        <v>10428</v>
      </c>
      <c r="H298" t="s">
        <v>172</v>
      </c>
      <c r="I298" s="3" t="str">
        <f t="shared" si="12"/>
        <v>2024-01</v>
      </c>
      <c r="J298" s="1">
        <f t="shared" si="13"/>
        <v>45830</v>
      </c>
      <c r="K298" t="str">
        <f t="shared" si="14"/>
        <v>ACTIVE</v>
      </c>
    </row>
    <row r="299" spans="1:11">
      <c r="A299">
        <v>1083</v>
      </c>
      <c r="B299" t="s">
        <v>46</v>
      </c>
      <c r="C299" s="1">
        <v>45710</v>
      </c>
      <c r="D299" s="2" t="s">
        <v>23</v>
      </c>
      <c r="E299" t="s">
        <v>31</v>
      </c>
      <c r="G299" s="3">
        <v>2675</v>
      </c>
      <c r="H299" t="s">
        <v>173</v>
      </c>
      <c r="I299" s="3" t="str">
        <f t="shared" si="12"/>
        <v>2025-02</v>
      </c>
      <c r="J299" s="1">
        <f t="shared" si="13"/>
        <v>45815</v>
      </c>
      <c r="K299" t="str">
        <f t="shared" si="14"/>
        <v>ACTIVE</v>
      </c>
    </row>
    <row r="300" spans="1:11">
      <c r="A300">
        <v>118</v>
      </c>
      <c r="B300" t="s">
        <v>132</v>
      </c>
      <c r="C300" s="1">
        <v>45624</v>
      </c>
      <c r="D300" s="2" t="s">
        <v>23</v>
      </c>
      <c r="E300" t="s">
        <v>35</v>
      </c>
      <c r="G300" s="3">
        <v>1153</v>
      </c>
      <c r="H300" t="s">
        <v>172</v>
      </c>
      <c r="I300" s="3" t="str">
        <f t="shared" si="12"/>
        <v>2024-11</v>
      </c>
      <c r="J300" s="1">
        <f t="shared" si="13"/>
        <v>45822</v>
      </c>
      <c r="K300" t="str">
        <f t="shared" si="14"/>
        <v>ACTIVE</v>
      </c>
    </row>
    <row r="301" spans="1:11">
      <c r="A301">
        <v>1482</v>
      </c>
      <c r="B301" t="s">
        <v>117</v>
      </c>
      <c r="C301" s="1">
        <v>45294</v>
      </c>
      <c r="D301" s="2" t="s">
        <v>27</v>
      </c>
      <c r="E301" t="s">
        <v>30</v>
      </c>
      <c r="G301" s="3">
        <v>1132</v>
      </c>
      <c r="H301" t="s">
        <v>176</v>
      </c>
      <c r="I301" s="3" t="str">
        <f t="shared" si="12"/>
        <v>2024-01</v>
      </c>
      <c r="J301" s="1">
        <f t="shared" si="13"/>
        <v>45790</v>
      </c>
      <c r="K301" t="str">
        <f t="shared" si="14"/>
        <v>ACTIVE</v>
      </c>
    </row>
    <row r="302" spans="1:11">
      <c r="A302">
        <v>1621</v>
      </c>
      <c r="B302" t="s">
        <v>68</v>
      </c>
      <c r="C302" s="1">
        <v>45588</v>
      </c>
      <c r="D302" s="2" t="s">
        <v>25</v>
      </c>
      <c r="E302" t="s">
        <v>35</v>
      </c>
      <c r="G302" s="3">
        <v>4522</v>
      </c>
      <c r="H302" t="s">
        <v>174</v>
      </c>
      <c r="I302" s="3" t="str">
        <f t="shared" si="12"/>
        <v>2024-10</v>
      </c>
      <c r="J302" s="1">
        <f t="shared" si="13"/>
        <v>45776</v>
      </c>
      <c r="K302" t="str">
        <f t="shared" si="14"/>
        <v>ACTIVE</v>
      </c>
    </row>
    <row r="303" spans="1:11">
      <c r="A303">
        <v>1385</v>
      </c>
      <c r="B303" t="s">
        <v>141</v>
      </c>
      <c r="C303" s="1">
        <v>45541</v>
      </c>
      <c r="D303" s="2" t="s">
        <v>28</v>
      </c>
      <c r="E303" t="s">
        <v>33</v>
      </c>
      <c r="G303" s="3">
        <v>2131</v>
      </c>
      <c r="H303" t="s">
        <v>173</v>
      </c>
      <c r="I303" s="3" t="str">
        <f t="shared" si="12"/>
        <v>2024-09</v>
      </c>
      <c r="J303" s="1">
        <f t="shared" si="13"/>
        <v>45773</v>
      </c>
      <c r="K303" t="str">
        <f t="shared" si="14"/>
        <v>ACTIVE</v>
      </c>
    </row>
    <row r="304" spans="1:11">
      <c r="A304">
        <v>1115</v>
      </c>
      <c r="B304" t="s">
        <v>43</v>
      </c>
      <c r="C304" s="1">
        <v>45398</v>
      </c>
      <c r="D304" s="2" t="s">
        <v>24</v>
      </c>
      <c r="E304" t="s">
        <v>34</v>
      </c>
      <c r="G304" s="3">
        <v>1623</v>
      </c>
      <c r="H304" t="s">
        <v>172</v>
      </c>
      <c r="I304" s="3" t="str">
        <f t="shared" si="12"/>
        <v>2024-04</v>
      </c>
      <c r="J304" s="1">
        <f t="shared" si="13"/>
        <v>45818</v>
      </c>
      <c r="K304" t="str">
        <f t="shared" si="14"/>
        <v>ACTIVE</v>
      </c>
    </row>
    <row r="305" spans="1:11">
      <c r="A305">
        <v>1348</v>
      </c>
      <c r="B305" t="s">
        <v>155</v>
      </c>
      <c r="C305" s="1">
        <v>45492</v>
      </c>
      <c r="D305" s="2" t="s">
        <v>24</v>
      </c>
      <c r="E305" t="s">
        <v>32</v>
      </c>
      <c r="G305" s="3">
        <v>1060</v>
      </c>
      <c r="H305" t="s">
        <v>173</v>
      </c>
      <c r="I305" s="3" t="str">
        <f t="shared" si="12"/>
        <v>2024-07</v>
      </c>
      <c r="J305" s="1">
        <f t="shared" si="13"/>
        <v>45698</v>
      </c>
      <c r="K305" t="str">
        <f t="shared" si="14"/>
        <v>LAPSED</v>
      </c>
    </row>
    <row r="306" spans="1:11">
      <c r="A306">
        <v>596</v>
      </c>
      <c r="B306" t="s">
        <v>113</v>
      </c>
      <c r="C306" s="1">
        <v>45374</v>
      </c>
      <c r="D306" s="2" t="s">
        <v>24</v>
      </c>
      <c r="E306" t="s">
        <v>30</v>
      </c>
      <c r="G306" s="3">
        <v>503</v>
      </c>
      <c r="H306" t="s">
        <v>174</v>
      </c>
      <c r="I306" s="3" t="str">
        <f t="shared" si="12"/>
        <v>2024-03</v>
      </c>
      <c r="J306" s="1">
        <f t="shared" si="13"/>
        <v>45788</v>
      </c>
      <c r="K306" t="str">
        <f t="shared" si="14"/>
        <v>ACTIVE</v>
      </c>
    </row>
    <row r="307" spans="1:11">
      <c r="A307">
        <v>829</v>
      </c>
      <c r="B307" t="s">
        <v>109</v>
      </c>
      <c r="C307" s="1">
        <v>45322</v>
      </c>
      <c r="D307" s="2" t="s">
        <v>27</v>
      </c>
      <c r="E307" t="s">
        <v>32</v>
      </c>
      <c r="G307" s="3">
        <v>321</v>
      </c>
      <c r="H307" t="s">
        <v>176</v>
      </c>
      <c r="I307" s="3" t="str">
        <f t="shared" si="12"/>
        <v>2024-01</v>
      </c>
      <c r="J307" s="1">
        <f t="shared" si="13"/>
        <v>45776</v>
      </c>
      <c r="K307" t="str">
        <f t="shared" si="14"/>
        <v>ACTIVE</v>
      </c>
    </row>
    <row r="308" spans="1:11">
      <c r="A308">
        <v>114</v>
      </c>
      <c r="B308" t="s">
        <v>73</v>
      </c>
      <c r="C308" s="1">
        <v>45344</v>
      </c>
      <c r="D308" s="2" t="s">
        <v>23</v>
      </c>
      <c r="E308" t="s">
        <v>31</v>
      </c>
      <c r="G308" s="3">
        <v>4207</v>
      </c>
      <c r="H308" t="s">
        <v>175</v>
      </c>
      <c r="I308" s="3" t="str">
        <f t="shared" si="12"/>
        <v>2024-02</v>
      </c>
      <c r="J308" s="1">
        <f t="shared" si="13"/>
        <v>45800</v>
      </c>
      <c r="K308" t="str">
        <f t="shared" si="14"/>
        <v>ACTIVE</v>
      </c>
    </row>
    <row r="309" spans="1:11">
      <c r="A309">
        <v>64</v>
      </c>
      <c r="B309" t="s">
        <v>96</v>
      </c>
      <c r="C309" s="1">
        <v>45669</v>
      </c>
      <c r="D309" s="2" t="s">
        <v>23</v>
      </c>
      <c r="E309" t="s">
        <v>35</v>
      </c>
      <c r="G309" s="3">
        <v>4851</v>
      </c>
      <c r="H309" t="s">
        <v>175</v>
      </c>
      <c r="I309" s="3" t="str">
        <f t="shared" si="12"/>
        <v>2025-01</v>
      </c>
      <c r="J309" s="1">
        <f t="shared" si="13"/>
        <v>45798</v>
      </c>
      <c r="K309" t="str">
        <f t="shared" si="14"/>
        <v>ACTIVE</v>
      </c>
    </row>
    <row r="310" spans="1:11">
      <c r="A310">
        <v>597</v>
      </c>
      <c r="B310" t="s">
        <v>82</v>
      </c>
      <c r="C310" s="1">
        <v>45666</v>
      </c>
      <c r="D310" s="2" t="s">
        <v>27</v>
      </c>
      <c r="E310" t="s">
        <v>30</v>
      </c>
      <c r="G310" s="3">
        <v>10819</v>
      </c>
      <c r="H310" t="s">
        <v>175</v>
      </c>
      <c r="I310" s="3" t="str">
        <f t="shared" si="12"/>
        <v>2025-01</v>
      </c>
      <c r="J310" s="1">
        <f t="shared" si="13"/>
        <v>45781</v>
      </c>
      <c r="K310" t="str">
        <f t="shared" si="14"/>
        <v>ACTIVE</v>
      </c>
    </row>
    <row r="311" spans="1:11">
      <c r="A311">
        <v>505</v>
      </c>
      <c r="B311" t="s">
        <v>155</v>
      </c>
      <c r="C311" s="1">
        <v>45548</v>
      </c>
      <c r="D311" s="2" t="s">
        <v>27</v>
      </c>
      <c r="E311" t="s">
        <v>30</v>
      </c>
      <c r="G311" s="3">
        <v>836</v>
      </c>
      <c r="H311" t="s">
        <v>173</v>
      </c>
      <c r="I311" s="3" t="str">
        <f t="shared" si="12"/>
        <v>2024-09</v>
      </c>
      <c r="J311" s="1">
        <f t="shared" si="13"/>
        <v>45698</v>
      </c>
      <c r="K311" t="str">
        <f t="shared" si="14"/>
        <v>LAPSED</v>
      </c>
    </row>
    <row r="312" spans="1:11">
      <c r="A312">
        <v>187</v>
      </c>
      <c r="B312" t="s">
        <v>51</v>
      </c>
      <c r="C312" s="1">
        <v>45775</v>
      </c>
      <c r="D312" s="2" t="s">
        <v>27</v>
      </c>
      <c r="E312" t="s">
        <v>34</v>
      </c>
      <c r="G312" s="3">
        <v>11912</v>
      </c>
      <c r="H312" t="s">
        <v>172</v>
      </c>
      <c r="I312" s="3" t="str">
        <f t="shared" si="12"/>
        <v>2025-04</v>
      </c>
      <c r="J312" s="1">
        <f t="shared" si="13"/>
        <v>45775</v>
      </c>
      <c r="K312" t="str">
        <f t="shared" si="14"/>
        <v>ACTIVE</v>
      </c>
    </row>
    <row r="313" spans="1:11">
      <c r="A313">
        <v>547</v>
      </c>
      <c r="B313" t="s">
        <v>90</v>
      </c>
      <c r="C313" s="1">
        <v>45482</v>
      </c>
      <c r="D313" s="2" t="s">
        <v>23</v>
      </c>
      <c r="E313" t="s">
        <v>34</v>
      </c>
      <c r="G313" s="3">
        <v>342</v>
      </c>
      <c r="H313" t="s">
        <v>172</v>
      </c>
      <c r="I313" s="3" t="str">
        <f t="shared" si="12"/>
        <v>2024-07</v>
      </c>
      <c r="J313" s="1">
        <f t="shared" si="13"/>
        <v>45788</v>
      </c>
      <c r="K313" t="str">
        <f t="shared" si="14"/>
        <v>ACTIVE</v>
      </c>
    </row>
    <row r="314" spans="1:11">
      <c r="A314">
        <v>431</v>
      </c>
      <c r="B314" t="s">
        <v>83</v>
      </c>
      <c r="C314" s="1">
        <v>45785</v>
      </c>
      <c r="D314" s="2" t="s">
        <v>23</v>
      </c>
      <c r="E314" t="s">
        <v>31</v>
      </c>
      <c r="G314" s="3">
        <v>348</v>
      </c>
      <c r="H314" t="s">
        <v>175</v>
      </c>
      <c r="I314" s="3" t="str">
        <f t="shared" si="12"/>
        <v>2025-05</v>
      </c>
      <c r="J314" s="1">
        <f t="shared" si="13"/>
        <v>45816</v>
      </c>
      <c r="K314" t="str">
        <f t="shared" si="14"/>
        <v>ACTIVE</v>
      </c>
    </row>
    <row r="315" spans="1:11">
      <c r="A315">
        <v>295</v>
      </c>
      <c r="B315" t="s">
        <v>63</v>
      </c>
      <c r="C315" s="1">
        <v>45358</v>
      </c>
      <c r="D315" s="2" t="s">
        <v>28</v>
      </c>
      <c r="E315" t="s">
        <v>33</v>
      </c>
      <c r="G315" s="3">
        <v>1162</v>
      </c>
      <c r="H315" t="s">
        <v>174</v>
      </c>
      <c r="I315" s="3" t="str">
        <f t="shared" si="12"/>
        <v>2024-03</v>
      </c>
      <c r="J315" s="1">
        <f t="shared" si="13"/>
        <v>45805</v>
      </c>
      <c r="K315" t="str">
        <f t="shared" si="14"/>
        <v>ACTIVE</v>
      </c>
    </row>
    <row r="316" spans="1:11">
      <c r="A316">
        <v>721</v>
      </c>
      <c r="B316" t="s">
        <v>67</v>
      </c>
      <c r="C316" s="1">
        <v>45556</v>
      </c>
      <c r="D316" s="2" t="s">
        <v>24</v>
      </c>
      <c r="E316" t="s">
        <v>30</v>
      </c>
      <c r="G316" s="3">
        <v>896</v>
      </c>
      <c r="H316" t="s">
        <v>176</v>
      </c>
      <c r="I316" s="3" t="str">
        <f t="shared" si="12"/>
        <v>2024-09</v>
      </c>
      <c r="J316" s="1">
        <f t="shared" si="13"/>
        <v>45794</v>
      </c>
      <c r="K316" t="str">
        <f t="shared" si="14"/>
        <v>ACTIVE</v>
      </c>
    </row>
    <row r="317" spans="1:11">
      <c r="A317">
        <v>287</v>
      </c>
      <c r="B317" t="s">
        <v>56</v>
      </c>
      <c r="C317" s="1">
        <v>45353</v>
      </c>
      <c r="D317" s="2" t="s">
        <v>24</v>
      </c>
      <c r="E317" t="s">
        <v>34</v>
      </c>
      <c r="G317" s="3">
        <v>584</v>
      </c>
      <c r="H317" t="s">
        <v>175</v>
      </c>
      <c r="I317" s="3" t="str">
        <f t="shared" si="12"/>
        <v>2024-03</v>
      </c>
      <c r="J317" s="1">
        <f t="shared" si="13"/>
        <v>45805</v>
      </c>
      <c r="K317" t="str">
        <f t="shared" si="14"/>
        <v>ACTIVE</v>
      </c>
    </row>
    <row r="318" spans="1:11">
      <c r="A318">
        <v>301</v>
      </c>
      <c r="B318" t="s">
        <v>130</v>
      </c>
      <c r="C318" s="1">
        <v>45349</v>
      </c>
      <c r="D318" s="2" t="s">
        <v>27</v>
      </c>
      <c r="E318" t="s">
        <v>35</v>
      </c>
      <c r="G318" s="3">
        <v>706</v>
      </c>
      <c r="H318" t="s">
        <v>172</v>
      </c>
      <c r="I318" s="3" t="str">
        <f t="shared" si="12"/>
        <v>2024-02</v>
      </c>
      <c r="J318" s="1">
        <f t="shared" si="13"/>
        <v>45828</v>
      </c>
      <c r="K318" t="str">
        <f t="shared" si="14"/>
        <v>ACTIVE</v>
      </c>
    </row>
    <row r="319" spans="1:11">
      <c r="A319">
        <v>1689</v>
      </c>
      <c r="B319" t="s">
        <v>156</v>
      </c>
      <c r="C319" s="1">
        <v>45394</v>
      </c>
      <c r="D319" s="2" t="s">
        <v>23</v>
      </c>
      <c r="E319" t="s">
        <v>31</v>
      </c>
      <c r="G319" s="3">
        <v>4745</v>
      </c>
      <c r="H319" t="s">
        <v>176</v>
      </c>
      <c r="I319" s="3" t="str">
        <f t="shared" si="12"/>
        <v>2024-04</v>
      </c>
      <c r="J319" s="1">
        <f t="shared" si="13"/>
        <v>45738</v>
      </c>
      <c r="K319" t="str">
        <f t="shared" si="14"/>
        <v>LAPSED</v>
      </c>
    </row>
    <row r="320" spans="1:11">
      <c r="A320">
        <v>316</v>
      </c>
      <c r="B320" t="s">
        <v>76</v>
      </c>
      <c r="C320" s="1">
        <v>45410</v>
      </c>
      <c r="D320" s="2" t="s">
        <v>28</v>
      </c>
      <c r="E320" t="s">
        <v>32</v>
      </c>
      <c r="G320" s="3">
        <v>347</v>
      </c>
      <c r="H320" t="s">
        <v>174</v>
      </c>
      <c r="I320" s="3" t="str">
        <f t="shared" si="12"/>
        <v>2024-04</v>
      </c>
      <c r="J320" s="1">
        <f t="shared" si="13"/>
        <v>45792</v>
      </c>
      <c r="K320" t="str">
        <f t="shared" si="14"/>
        <v>ACTIVE</v>
      </c>
    </row>
    <row r="321" spans="1:11">
      <c r="A321">
        <v>716</v>
      </c>
      <c r="B321" t="s">
        <v>130</v>
      </c>
      <c r="C321" s="1">
        <v>45694</v>
      </c>
      <c r="D321" s="2" t="s">
        <v>25</v>
      </c>
      <c r="E321" t="s">
        <v>30</v>
      </c>
      <c r="G321" s="3">
        <v>1742</v>
      </c>
      <c r="H321" t="s">
        <v>176</v>
      </c>
      <c r="I321" s="3" t="str">
        <f t="shared" si="12"/>
        <v>2025-02</v>
      </c>
      <c r="J321" s="1">
        <f t="shared" si="13"/>
        <v>45828</v>
      </c>
      <c r="K321" t="str">
        <f t="shared" si="14"/>
        <v>ACTIVE</v>
      </c>
    </row>
    <row r="322" spans="1:11">
      <c r="A322">
        <v>545</v>
      </c>
      <c r="B322" t="s">
        <v>55</v>
      </c>
      <c r="C322" s="1">
        <v>45420</v>
      </c>
      <c r="D322" s="2" t="s">
        <v>25</v>
      </c>
      <c r="E322" t="s">
        <v>34</v>
      </c>
      <c r="G322" s="3">
        <v>429</v>
      </c>
      <c r="H322" t="s">
        <v>173</v>
      </c>
      <c r="I322" s="3" t="str">
        <f t="shared" si="12"/>
        <v>2024-05</v>
      </c>
      <c r="J322" s="1">
        <f t="shared" si="13"/>
        <v>45824</v>
      </c>
      <c r="K322" t="str">
        <f t="shared" si="14"/>
        <v>ACTIVE</v>
      </c>
    </row>
    <row r="323" spans="1:11">
      <c r="A323">
        <v>131</v>
      </c>
      <c r="B323" t="s">
        <v>93</v>
      </c>
      <c r="C323" s="1">
        <v>45355</v>
      </c>
      <c r="D323" s="2" t="s">
        <v>25</v>
      </c>
      <c r="E323" t="s">
        <v>31</v>
      </c>
      <c r="G323" s="3">
        <v>1002</v>
      </c>
      <c r="H323" t="s">
        <v>172</v>
      </c>
      <c r="I323" s="3" t="str">
        <f t="shared" ref="I323:I386" si="15">TEXT(C323, "yyyy-mm")</f>
        <v>2024-03</v>
      </c>
      <c r="J323" s="1">
        <f t="shared" ref="J323:J386" si="16">_xlfn.MAXIFS(C:C, B:B, B323)</f>
        <v>45830</v>
      </c>
      <c r="K323" t="str">
        <f t="shared" ref="K323:K386" si="17">IF($L$3-J323&gt;90, "LAPSED","ACTIVE")</f>
        <v>ACTIVE</v>
      </c>
    </row>
    <row r="324" spans="1:11">
      <c r="A324">
        <v>986</v>
      </c>
      <c r="B324" t="s">
        <v>142</v>
      </c>
      <c r="C324" s="1">
        <v>45606</v>
      </c>
      <c r="D324" s="2" t="s">
        <v>23</v>
      </c>
      <c r="E324" t="s">
        <v>30</v>
      </c>
      <c r="G324" s="3">
        <v>859</v>
      </c>
      <c r="H324" t="s">
        <v>176</v>
      </c>
      <c r="I324" s="3" t="str">
        <f t="shared" si="15"/>
        <v>2024-11</v>
      </c>
      <c r="J324" s="1">
        <f t="shared" si="16"/>
        <v>45803</v>
      </c>
      <c r="K324" t="str">
        <f t="shared" si="17"/>
        <v>ACTIVE</v>
      </c>
    </row>
    <row r="325" spans="1:11">
      <c r="A325">
        <v>190</v>
      </c>
      <c r="B325" t="s">
        <v>143</v>
      </c>
      <c r="C325" s="1">
        <v>45588</v>
      </c>
      <c r="D325" s="2" t="s">
        <v>25</v>
      </c>
      <c r="E325" t="s">
        <v>34</v>
      </c>
      <c r="G325" s="3">
        <v>2568</v>
      </c>
      <c r="H325" t="s">
        <v>176</v>
      </c>
      <c r="I325" s="3" t="str">
        <f t="shared" si="15"/>
        <v>2024-10</v>
      </c>
      <c r="J325" s="1">
        <f t="shared" si="16"/>
        <v>45764</v>
      </c>
      <c r="K325" t="str">
        <f t="shared" si="17"/>
        <v>ACTIVE</v>
      </c>
    </row>
    <row r="326" spans="1:11">
      <c r="A326">
        <v>28</v>
      </c>
      <c r="B326" t="s">
        <v>143</v>
      </c>
      <c r="C326" s="1">
        <v>45649</v>
      </c>
      <c r="D326" s="2" t="s">
        <v>25</v>
      </c>
      <c r="E326" t="s">
        <v>33</v>
      </c>
      <c r="G326" s="3">
        <v>4570</v>
      </c>
      <c r="H326" t="s">
        <v>173</v>
      </c>
      <c r="I326" s="3" t="str">
        <f t="shared" si="15"/>
        <v>2024-12</v>
      </c>
      <c r="J326" s="1">
        <f t="shared" si="16"/>
        <v>45764</v>
      </c>
      <c r="K326" t="str">
        <f t="shared" si="17"/>
        <v>ACTIVE</v>
      </c>
    </row>
    <row r="327" spans="1:11">
      <c r="A327">
        <v>1778</v>
      </c>
      <c r="B327" t="s">
        <v>101</v>
      </c>
      <c r="C327" s="1">
        <v>45419</v>
      </c>
      <c r="D327" s="2" t="s">
        <v>23</v>
      </c>
      <c r="E327" t="s">
        <v>32</v>
      </c>
      <c r="G327" s="3">
        <v>537</v>
      </c>
      <c r="H327" t="s">
        <v>175</v>
      </c>
      <c r="I327" s="3" t="str">
        <f t="shared" si="15"/>
        <v>2024-05</v>
      </c>
      <c r="J327" s="1">
        <f t="shared" si="16"/>
        <v>45823</v>
      </c>
      <c r="K327" t="str">
        <f t="shared" si="17"/>
        <v>ACTIVE</v>
      </c>
    </row>
    <row r="328" spans="1:11">
      <c r="A328">
        <v>715</v>
      </c>
      <c r="B328" t="s">
        <v>92</v>
      </c>
      <c r="C328" s="1">
        <v>45322</v>
      </c>
      <c r="D328" s="2" t="s">
        <v>27</v>
      </c>
      <c r="E328" t="s">
        <v>34</v>
      </c>
      <c r="G328" s="3">
        <v>11775</v>
      </c>
      <c r="H328" t="s">
        <v>176</v>
      </c>
      <c r="I328" s="3" t="str">
        <f t="shared" si="15"/>
        <v>2024-01</v>
      </c>
      <c r="J328" s="1">
        <f t="shared" si="16"/>
        <v>45746</v>
      </c>
      <c r="K328" t="str">
        <f t="shared" si="17"/>
        <v>ACTIVE</v>
      </c>
    </row>
    <row r="329" spans="1:11">
      <c r="A329">
        <v>735</v>
      </c>
      <c r="B329" t="s">
        <v>49</v>
      </c>
      <c r="C329" s="1">
        <v>45746</v>
      </c>
      <c r="D329" s="2" t="s">
        <v>23</v>
      </c>
      <c r="E329" t="s">
        <v>35</v>
      </c>
      <c r="G329" s="3">
        <v>4804</v>
      </c>
      <c r="H329" t="s">
        <v>176</v>
      </c>
      <c r="I329" s="3" t="str">
        <f t="shared" si="15"/>
        <v>2025-03</v>
      </c>
      <c r="J329" s="1">
        <f t="shared" si="16"/>
        <v>45812</v>
      </c>
      <c r="K329" t="str">
        <f t="shared" si="17"/>
        <v>ACTIVE</v>
      </c>
    </row>
    <row r="330" spans="1:11">
      <c r="A330">
        <v>994</v>
      </c>
      <c r="B330" t="s">
        <v>111</v>
      </c>
      <c r="C330" s="1">
        <v>45301</v>
      </c>
      <c r="D330" s="2" t="s">
        <v>24</v>
      </c>
      <c r="E330" t="s">
        <v>32</v>
      </c>
      <c r="G330" s="3">
        <v>0</v>
      </c>
      <c r="H330" t="s">
        <v>172</v>
      </c>
      <c r="I330" s="3" t="str">
        <f t="shared" si="15"/>
        <v>2024-01</v>
      </c>
      <c r="J330" s="1">
        <f t="shared" si="16"/>
        <v>45829</v>
      </c>
      <c r="K330" t="str">
        <f t="shared" si="17"/>
        <v>ACTIVE</v>
      </c>
    </row>
    <row r="331" spans="1:11">
      <c r="A331">
        <v>1114</v>
      </c>
      <c r="B331" t="s">
        <v>72</v>
      </c>
      <c r="C331" s="1">
        <v>45551</v>
      </c>
      <c r="D331" s="2" t="s">
        <v>25</v>
      </c>
      <c r="E331" t="s">
        <v>35</v>
      </c>
      <c r="G331" s="3">
        <v>573</v>
      </c>
      <c r="H331" t="s">
        <v>173</v>
      </c>
      <c r="I331" s="3" t="str">
        <f t="shared" si="15"/>
        <v>2024-09</v>
      </c>
      <c r="J331" s="1">
        <f t="shared" si="16"/>
        <v>45815</v>
      </c>
      <c r="K331" t="str">
        <f t="shared" si="17"/>
        <v>ACTIVE</v>
      </c>
    </row>
    <row r="332" spans="1:11">
      <c r="A332">
        <v>1576</v>
      </c>
      <c r="B332" t="s">
        <v>99</v>
      </c>
      <c r="C332" s="1">
        <v>45315</v>
      </c>
      <c r="D332" s="2" t="s">
        <v>23</v>
      </c>
      <c r="E332" t="s">
        <v>35</v>
      </c>
      <c r="G332" s="3">
        <v>721</v>
      </c>
      <c r="H332" t="s">
        <v>176</v>
      </c>
      <c r="I332" s="3" t="str">
        <f t="shared" si="15"/>
        <v>2024-01</v>
      </c>
      <c r="J332" s="1">
        <f t="shared" si="16"/>
        <v>45828</v>
      </c>
      <c r="K332" t="str">
        <f t="shared" si="17"/>
        <v>ACTIVE</v>
      </c>
    </row>
    <row r="333" spans="1:11">
      <c r="A333">
        <v>1683</v>
      </c>
      <c r="B333" t="s">
        <v>141</v>
      </c>
      <c r="C333" s="1">
        <v>45294</v>
      </c>
      <c r="D333" s="2" t="s">
        <v>28</v>
      </c>
      <c r="E333" t="s">
        <v>32</v>
      </c>
      <c r="G333" s="3">
        <v>8582</v>
      </c>
      <c r="H333" t="s">
        <v>174</v>
      </c>
      <c r="I333" s="3" t="str">
        <f t="shared" si="15"/>
        <v>2024-01</v>
      </c>
      <c r="J333" s="1">
        <f t="shared" si="16"/>
        <v>45773</v>
      </c>
      <c r="K333" t="str">
        <f t="shared" si="17"/>
        <v>ACTIVE</v>
      </c>
    </row>
    <row r="334" spans="1:11">
      <c r="A334">
        <v>1168</v>
      </c>
      <c r="B334" t="s">
        <v>114</v>
      </c>
      <c r="C334" s="1">
        <v>45815</v>
      </c>
      <c r="D334" s="2" t="s">
        <v>28</v>
      </c>
      <c r="E334" t="s">
        <v>32</v>
      </c>
      <c r="G334" s="3">
        <v>841</v>
      </c>
      <c r="H334" t="s">
        <v>174</v>
      </c>
      <c r="I334" s="3" t="str">
        <f t="shared" si="15"/>
        <v>2025-06</v>
      </c>
      <c r="J334" s="1">
        <f t="shared" si="16"/>
        <v>45815</v>
      </c>
      <c r="K334" t="str">
        <f t="shared" si="17"/>
        <v>ACTIVE</v>
      </c>
    </row>
    <row r="335" spans="1:11">
      <c r="A335">
        <v>1607</v>
      </c>
      <c r="B335" t="s">
        <v>153</v>
      </c>
      <c r="C335" s="1">
        <v>45534</v>
      </c>
      <c r="D335" s="2" t="s">
        <v>25</v>
      </c>
      <c r="E335" t="s">
        <v>31</v>
      </c>
      <c r="G335" s="3">
        <v>4138</v>
      </c>
      <c r="H335" t="s">
        <v>176</v>
      </c>
      <c r="I335" s="3" t="str">
        <f t="shared" si="15"/>
        <v>2024-08</v>
      </c>
      <c r="J335" s="1">
        <f t="shared" si="16"/>
        <v>45690</v>
      </c>
      <c r="K335" t="str">
        <f t="shared" si="17"/>
        <v>LAPSED</v>
      </c>
    </row>
    <row r="336" spans="1:11">
      <c r="A336">
        <v>1383</v>
      </c>
      <c r="B336" t="s">
        <v>109</v>
      </c>
      <c r="C336" s="1">
        <v>45481</v>
      </c>
      <c r="D336" s="2" t="s">
        <v>26</v>
      </c>
      <c r="E336" t="s">
        <v>34</v>
      </c>
      <c r="G336" s="3">
        <v>8159</v>
      </c>
      <c r="H336" t="s">
        <v>172</v>
      </c>
      <c r="I336" s="3" t="str">
        <f t="shared" si="15"/>
        <v>2024-07</v>
      </c>
      <c r="J336" s="1">
        <f t="shared" si="16"/>
        <v>45776</v>
      </c>
      <c r="K336" t="str">
        <f t="shared" si="17"/>
        <v>ACTIVE</v>
      </c>
    </row>
    <row r="337" spans="1:11">
      <c r="A337">
        <v>1446</v>
      </c>
      <c r="B337" t="s">
        <v>56</v>
      </c>
      <c r="C337" s="1">
        <v>45412</v>
      </c>
      <c r="D337" s="2" t="s">
        <v>25</v>
      </c>
      <c r="E337" t="s">
        <v>32</v>
      </c>
      <c r="G337" s="3">
        <v>1290</v>
      </c>
      <c r="H337" t="s">
        <v>176</v>
      </c>
      <c r="I337" s="3" t="str">
        <f t="shared" si="15"/>
        <v>2024-04</v>
      </c>
      <c r="J337" s="1">
        <f t="shared" si="16"/>
        <v>45805</v>
      </c>
      <c r="K337" t="str">
        <f t="shared" si="17"/>
        <v>ACTIVE</v>
      </c>
    </row>
    <row r="338" spans="1:11">
      <c r="A338">
        <v>1449</v>
      </c>
      <c r="B338" t="s">
        <v>93</v>
      </c>
      <c r="C338" s="1">
        <v>45623</v>
      </c>
      <c r="D338" s="2" t="s">
        <v>27</v>
      </c>
      <c r="E338" t="s">
        <v>31</v>
      </c>
      <c r="G338" s="3">
        <v>798</v>
      </c>
      <c r="H338" t="s">
        <v>175</v>
      </c>
      <c r="I338" s="3" t="str">
        <f t="shared" si="15"/>
        <v>2024-11</v>
      </c>
      <c r="J338" s="1">
        <f t="shared" si="16"/>
        <v>45830</v>
      </c>
      <c r="K338" t="str">
        <f t="shared" si="17"/>
        <v>ACTIVE</v>
      </c>
    </row>
    <row r="339" spans="1:11">
      <c r="A339">
        <v>1630</v>
      </c>
      <c r="B339" t="s">
        <v>46</v>
      </c>
      <c r="C339" s="1">
        <v>45489</v>
      </c>
      <c r="D339" s="2" t="s">
        <v>23</v>
      </c>
      <c r="E339" t="s">
        <v>33</v>
      </c>
      <c r="G339" s="3">
        <v>515</v>
      </c>
      <c r="H339" t="s">
        <v>173</v>
      </c>
      <c r="I339" s="3" t="str">
        <f t="shared" si="15"/>
        <v>2024-07</v>
      </c>
      <c r="J339" s="1">
        <f t="shared" si="16"/>
        <v>45815</v>
      </c>
      <c r="K339" t="str">
        <f t="shared" si="17"/>
        <v>ACTIVE</v>
      </c>
    </row>
    <row r="340" spans="1:11">
      <c r="A340">
        <v>836</v>
      </c>
      <c r="B340" t="s">
        <v>157</v>
      </c>
      <c r="C340" s="1">
        <v>45592</v>
      </c>
      <c r="D340" s="2" t="s">
        <v>27</v>
      </c>
      <c r="E340" t="s">
        <v>30</v>
      </c>
      <c r="G340" s="3">
        <v>1722</v>
      </c>
      <c r="H340" t="s">
        <v>175</v>
      </c>
      <c r="I340" s="3" t="str">
        <f t="shared" si="15"/>
        <v>2024-10</v>
      </c>
      <c r="J340" s="1">
        <f t="shared" si="16"/>
        <v>45729</v>
      </c>
      <c r="K340" t="str">
        <f t="shared" si="17"/>
        <v>LAPSED</v>
      </c>
    </row>
    <row r="341" spans="1:11">
      <c r="A341">
        <v>954</v>
      </c>
      <c r="B341" t="s">
        <v>76</v>
      </c>
      <c r="C341" s="1">
        <v>45562</v>
      </c>
      <c r="D341" s="2" t="s">
        <v>28</v>
      </c>
      <c r="E341" t="s">
        <v>30</v>
      </c>
      <c r="G341" s="3">
        <v>1603</v>
      </c>
      <c r="H341" t="s">
        <v>173</v>
      </c>
      <c r="I341" s="3" t="str">
        <f t="shared" si="15"/>
        <v>2024-09</v>
      </c>
      <c r="J341" s="1">
        <f t="shared" si="16"/>
        <v>45792</v>
      </c>
      <c r="K341" t="str">
        <f t="shared" si="17"/>
        <v>ACTIVE</v>
      </c>
    </row>
    <row r="342" spans="1:11">
      <c r="A342">
        <v>741</v>
      </c>
      <c r="B342" t="s">
        <v>93</v>
      </c>
      <c r="C342" s="1">
        <v>45708</v>
      </c>
      <c r="D342" s="2" t="s">
        <v>25</v>
      </c>
      <c r="E342" t="s">
        <v>30</v>
      </c>
      <c r="G342" s="3">
        <v>8814</v>
      </c>
      <c r="H342" t="s">
        <v>172</v>
      </c>
      <c r="I342" s="3" t="str">
        <f t="shared" si="15"/>
        <v>2025-02</v>
      </c>
      <c r="J342" s="1">
        <f t="shared" si="16"/>
        <v>45830</v>
      </c>
      <c r="K342" t="str">
        <f t="shared" si="17"/>
        <v>ACTIVE</v>
      </c>
    </row>
    <row r="343" spans="1:11">
      <c r="A343">
        <v>378</v>
      </c>
      <c r="B343" t="s">
        <v>132</v>
      </c>
      <c r="C343" s="1">
        <v>45493</v>
      </c>
      <c r="D343" s="2" t="s">
        <v>27</v>
      </c>
      <c r="E343" t="s">
        <v>31</v>
      </c>
      <c r="G343" s="3">
        <v>261</v>
      </c>
      <c r="H343" t="s">
        <v>176</v>
      </c>
      <c r="I343" s="3" t="str">
        <f t="shared" si="15"/>
        <v>2024-07</v>
      </c>
      <c r="J343" s="1">
        <f t="shared" si="16"/>
        <v>45822</v>
      </c>
      <c r="K343" t="str">
        <f t="shared" si="17"/>
        <v>ACTIVE</v>
      </c>
    </row>
    <row r="344" spans="1:11">
      <c r="A344">
        <v>326</v>
      </c>
      <c r="B344" t="s">
        <v>55</v>
      </c>
      <c r="C344" s="1">
        <v>45525</v>
      </c>
      <c r="D344" s="2" t="s">
        <v>24</v>
      </c>
      <c r="E344" t="s">
        <v>30</v>
      </c>
      <c r="G344" s="3">
        <v>333</v>
      </c>
      <c r="H344" t="s">
        <v>174</v>
      </c>
      <c r="I344" s="3" t="str">
        <f t="shared" si="15"/>
        <v>2024-08</v>
      </c>
      <c r="J344" s="1">
        <f t="shared" si="16"/>
        <v>45824</v>
      </c>
      <c r="K344" t="str">
        <f t="shared" si="17"/>
        <v>ACTIVE</v>
      </c>
    </row>
    <row r="345" spans="1:11">
      <c r="A345">
        <v>1026</v>
      </c>
      <c r="B345" t="s">
        <v>63</v>
      </c>
      <c r="C345" s="1">
        <v>45496</v>
      </c>
      <c r="D345" s="2" t="s">
        <v>24</v>
      </c>
      <c r="E345" t="s">
        <v>32</v>
      </c>
      <c r="G345" s="3">
        <v>321</v>
      </c>
      <c r="H345" t="s">
        <v>172</v>
      </c>
      <c r="I345" s="3" t="str">
        <f t="shared" si="15"/>
        <v>2024-07</v>
      </c>
      <c r="J345" s="1">
        <f t="shared" si="16"/>
        <v>45805</v>
      </c>
      <c r="K345" t="str">
        <f t="shared" si="17"/>
        <v>ACTIVE</v>
      </c>
    </row>
    <row r="346" spans="1:11">
      <c r="A346">
        <v>373</v>
      </c>
      <c r="B346" t="s">
        <v>100</v>
      </c>
      <c r="C346" s="1">
        <v>45474</v>
      </c>
      <c r="D346" s="2" t="s">
        <v>23</v>
      </c>
      <c r="E346" t="s">
        <v>30</v>
      </c>
      <c r="G346" s="3">
        <v>5421</v>
      </c>
      <c r="H346" t="s">
        <v>174</v>
      </c>
      <c r="I346" s="3" t="str">
        <f t="shared" si="15"/>
        <v>2024-07</v>
      </c>
      <c r="J346" s="1">
        <f t="shared" si="16"/>
        <v>45779</v>
      </c>
      <c r="K346" t="str">
        <f t="shared" si="17"/>
        <v>ACTIVE</v>
      </c>
    </row>
    <row r="347" spans="1:11">
      <c r="A347">
        <v>1646</v>
      </c>
      <c r="B347" t="s">
        <v>39</v>
      </c>
      <c r="C347" s="1">
        <v>45736</v>
      </c>
      <c r="D347" s="2" t="s">
        <v>25</v>
      </c>
      <c r="E347" t="s">
        <v>34</v>
      </c>
      <c r="G347" s="3">
        <v>8238</v>
      </c>
      <c r="H347" t="s">
        <v>176</v>
      </c>
      <c r="I347" s="3" t="str">
        <f t="shared" si="15"/>
        <v>2025-03</v>
      </c>
      <c r="J347" s="1">
        <f t="shared" si="16"/>
        <v>45795</v>
      </c>
      <c r="K347" t="str">
        <f t="shared" si="17"/>
        <v>ACTIVE</v>
      </c>
    </row>
    <row r="348" spans="1:11">
      <c r="A348">
        <v>1358</v>
      </c>
      <c r="B348" t="s">
        <v>160</v>
      </c>
      <c r="C348" s="1">
        <v>45734</v>
      </c>
      <c r="D348" s="2" t="s">
        <v>28</v>
      </c>
      <c r="E348" t="s">
        <v>32</v>
      </c>
      <c r="G348" s="3">
        <v>1784</v>
      </c>
      <c r="H348" t="s">
        <v>175</v>
      </c>
      <c r="I348" s="3" t="str">
        <f t="shared" si="15"/>
        <v>2025-03</v>
      </c>
      <c r="J348" s="1">
        <f t="shared" si="16"/>
        <v>45734</v>
      </c>
      <c r="K348" t="str">
        <f t="shared" si="17"/>
        <v>LAPSED</v>
      </c>
    </row>
    <row r="349" spans="1:11">
      <c r="A349">
        <v>863</v>
      </c>
      <c r="B349" t="s">
        <v>125</v>
      </c>
      <c r="C349" s="1">
        <v>45489</v>
      </c>
      <c r="D349" s="2" t="s">
        <v>24</v>
      </c>
      <c r="E349" t="s">
        <v>35</v>
      </c>
      <c r="G349" s="3">
        <v>10420</v>
      </c>
      <c r="H349" t="s">
        <v>173</v>
      </c>
      <c r="I349" s="3" t="str">
        <f t="shared" si="15"/>
        <v>2024-07</v>
      </c>
      <c r="J349" s="1">
        <f t="shared" si="16"/>
        <v>45784</v>
      </c>
      <c r="K349" t="str">
        <f t="shared" si="17"/>
        <v>ACTIVE</v>
      </c>
    </row>
    <row r="350" spans="1:11">
      <c r="A350">
        <v>18</v>
      </c>
      <c r="B350" t="s">
        <v>47</v>
      </c>
      <c r="C350" s="1">
        <v>45526</v>
      </c>
      <c r="D350" s="2" t="s">
        <v>25</v>
      </c>
      <c r="E350" t="s">
        <v>31</v>
      </c>
      <c r="G350" s="3">
        <v>1006</v>
      </c>
      <c r="H350" t="s">
        <v>174</v>
      </c>
      <c r="I350" s="3" t="str">
        <f t="shared" si="15"/>
        <v>2024-08</v>
      </c>
      <c r="J350" s="1">
        <f t="shared" si="16"/>
        <v>45792</v>
      </c>
      <c r="K350" t="str">
        <f t="shared" si="17"/>
        <v>ACTIVE</v>
      </c>
    </row>
    <row r="351" spans="1:11">
      <c r="A351">
        <v>1284</v>
      </c>
      <c r="B351" t="s">
        <v>131</v>
      </c>
      <c r="C351" s="1">
        <v>45807</v>
      </c>
      <c r="D351" s="2" t="s">
        <v>27</v>
      </c>
      <c r="E351" t="s">
        <v>33</v>
      </c>
      <c r="G351" s="3">
        <v>4088</v>
      </c>
      <c r="H351" t="s">
        <v>176</v>
      </c>
      <c r="I351" s="3" t="str">
        <f t="shared" si="15"/>
        <v>2025-05</v>
      </c>
      <c r="J351" s="1">
        <f t="shared" si="16"/>
        <v>45807</v>
      </c>
      <c r="K351" t="str">
        <f t="shared" si="17"/>
        <v>ACTIVE</v>
      </c>
    </row>
    <row r="352" spans="1:11">
      <c r="A352">
        <v>371</v>
      </c>
      <c r="B352" t="s">
        <v>72</v>
      </c>
      <c r="C352" s="1">
        <v>45546</v>
      </c>
      <c r="D352" s="2" t="s">
        <v>28</v>
      </c>
      <c r="E352" t="s">
        <v>31</v>
      </c>
      <c r="G352" s="3">
        <v>2453</v>
      </c>
      <c r="H352" t="s">
        <v>172</v>
      </c>
      <c r="I352" s="3" t="str">
        <f t="shared" si="15"/>
        <v>2024-09</v>
      </c>
      <c r="J352" s="1">
        <f t="shared" si="16"/>
        <v>45815</v>
      </c>
      <c r="K352" t="str">
        <f t="shared" si="17"/>
        <v>ACTIVE</v>
      </c>
    </row>
    <row r="353" spans="1:11">
      <c r="A353">
        <v>1139</v>
      </c>
      <c r="B353" t="s">
        <v>58</v>
      </c>
      <c r="C353" s="1">
        <v>45475</v>
      </c>
      <c r="D353" s="2" t="s">
        <v>28</v>
      </c>
      <c r="E353" t="s">
        <v>30</v>
      </c>
      <c r="G353" s="3">
        <v>11337</v>
      </c>
      <c r="H353" t="s">
        <v>173</v>
      </c>
      <c r="I353" s="3" t="str">
        <f t="shared" si="15"/>
        <v>2024-07</v>
      </c>
      <c r="J353" s="1">
        <f t="shared" si="16"/>
        <v>45752</v>
      </c>
      <c r="K353" t="str">
        <f t="shared" si="17"/>
        <v>ACTIVE</v>
      </c>
    </row>
    <row r="354" spans="1:11">
      <c r="A354">
        <v>413</v>
      </c>
      <c r="B354" t="s">
        <v>101</v>
      </c>
      <c r="C354" s="1">
        <v>45733</v>
      </c>
      <c r="D354" s="2" t="s">
        <v>28</v>
      </c>
      <c r="E354" t="s">
        <v>31</v>
      </c>
      <c r="G354" s="3">
        <v>540</v>
      </c>
      <c r="H354" t="s">
        <v>173</v>
      </c>
      <c r="I354" s="3" t="str">
        <f t="shared" si="15"/>
        <v>2025-03</v>
      </c>
      <c r="J354" s="1">
        <f t="shared" si="16"/>
        <v>45823</v>
      </c>
      <c r="K354" t="str">
        <f t="shared" si="17"/>
        <v>ACTIVE</v>
      </c>
    </row>
    <row r="355" spans="1:11">
      <c r="A355">
        <v>1476</v>
      </c>
      <c r="B355" t="s">
        <v>49</v>
      </c>
      <c r="C355" s="1">
        <v>45545</v>
      </c>
      <c r="D355" s="2" t="s">
        <v>24</v>
      </c>
      <c r="E355" t="s">
        <v>33</v>
      </c>
      <c r="G355" s="3">
        <v>1589</v>
      </c>
      <c r="H355" t="s">
        <v>175</v>
      </c>
      <c r="I355" s="3" t="str">
        <f t="shared" si="15"/>
        <v>2024-09</v>
      </c>
      <c r="J355" s="1">
        <f t="shared" si="16"/>
        <v>45812</v>
      </c>
      <c r="K355" t="str">
        <f t="shared" si="17"/>
        <v>ACTIVE</v>
      </c>
    </row>
    <row r="356" spans="1:11">
      <c r="A356">
        <v>1587</v>
      </c>
      <c r="B356" t="s">
        <v>77</v>
      </c>
      <c r="C356" s="1">
        <v>45424</v>
      </c>
      <c r="D356" s="2" t="s">
        <v>26</v>
      </c>
      <c r="E356" t="s">
        <v>35</v>
      </c>
      <c r="G356" s="3">
        <v>1995</v>
      </c>
      <c r="H356" t="s">
        <v>176</v>
      </c>
      <c r="I356" s="3" t="str">
        <f t="shared" si="15"/>
        <v>2024-05</v>
      </c>
      <c r="J356" s="1">
        <f t="shared" si="16"/>
        <v>45821</v>
      </c>
      <c r="K356" t="str">
        <f t="shared" si="17"/>
        <v>ACTIVE</v>
      </c>
    </row>
    <row r="357" spans="1:11">
      <c r="A357">
        <v>119</v>
      </c>
      <c r="B357" t="s">
        <v>98</v>
      </c>
      <c r="C357" s="1">
        <v>45726</v>
      </c>
      <c r="D357" s="2" t="s">
        <v>23</v>
      </c>
      <c r="E357" t="s">
        <v>32</v>
      </c>
      <c r="G357" s="3">
        <v>682</v>
      </c>
      <c r="H357" t="s">
        <v>175</v>
      </c>
      <c r="I357" s="3" t="str">
        <f t="shared" si="15"/>
        <v>2025-03</v>
      </c>
      <c r="J357" s="1">
        <f t="shared" si="16"/>
        <v>45767</v>
      </c>
      <c r="K357" t="str">
        <f t="shared" si="17"/>
        <v>ACTIVE</v>
      </c>
    </row>
    <row r="358" spans="1:11">
      <c r="A358">
        <v>1167</v>
      </c>
      <c r="B358" t="s">
        <v>92</v>
      </c>
      <c r="C358" s="1">
        <v>45316</v>
      </c>
      <c r="D358" s="2" t="s">
        <v>28</v>
      </c>
      <c r="E358" t="s">
        <v>30</v>
      </c>
      <c r="G358" s="3">
        <v>459</v>
      </c>
      <c r="H358" t="s">
        <v>173</v>
      </c>
      <c r="I358" s="3" t="str">
        <f t="shared" si="15"/>
        <v>2024-01</v>
      </c>
      <c r="J358" s="1">
        <f t="shared" si="16"/>
        <v>45746</v>
      </c>
      <c r="K358" t="str">
        <f t="shared" si="17"/>
        <v>ACTIVE</v>
      </c>
    </row>
    <row r="359" spans="1:11">
      <c r="A359">
        <v>55</v>
      </c>
      <c r="B359" t="s">
        <v>129</v>
      </c>
      <c r="C359" s="1">
        <v>45333</v>
      </c>
      <c r="D359" s="2" t="s">
        <v>25</v>
      </c>
      <c r="E359" t="s">
        <v>33</v>
      </c>
      <c r="G359" s="3">
        <v>2271</v>
      </c>
      <c r="H359" t="s">
        <v>175</v>
      </c>
      <c r="I359" s="3" t="str">
        <f t="shared" si="15"/>
        <v>2024-02</v>
      </c>
      <c r="J359" s="1">
        <f t="shared" si="16"/>
        <v>45812</v>
      </c>
      <c r="K359" t="str">
        <f t="shared" si="17"/>
        <v>ACTIVE</v>
      </c>
    </row>
    <row r="360" spans="1:11">
      <c r="A360">
        <v>1099</v>
      </c>
      <c r="B360" t="s">
        <v>43</v>
      </c>
      <c r="C360" s="1">
        <v>45408</v>
      </c>
      <c r="D360" s="2" t="s">
        <v>28</v>
      </c>
      <c r="E360" t="s">
        <v>32</v>
      </c>
      <c r="G360" s="3">
        <v>1576</v>
      </c>
      <c r="H360" t="s">
        <v>175</v>
      </c>
      <c r="I360" s="3" t="str">
        <f t="shared" si="15"/>
        <v>2024-04</v>
      </c>
      <c r="J360" s="1">
        <f t="shared" si="16"/>
        <v>45818</v>
      </c>
      <c r="K360" t="str">
        <f t="shared" si="17"/>
        <v>ACTIVE</v>
      </c>
    </row>
    <row r="361" spans="1:11">
      <c r="A361">
        <v>678</v>
      </c>
      <c r="B361" t="s">
        <v>143</v>
      </c>
      <c r="C361" s="1">
        <v>45639</v>
      </c>
      <c r="D361" s="2" t="s">
        <v>28</v>
      </c>
      <c r="E361" t="s">
        <v>33</v>
      </c>
      <c r="G361" s="3">
        <v>927</v>
      </c>
      <c r="H361" t="s">
        <v>175</v>
      </c>
      <c r="I361" s="3" t="str">
        <f t="shared" si="15"/>
        <v>2024-12</v>
      </c>
      <c r="J361" s="1">
        <f t="shared" si="16"/>
        <v>45764</v>
      </c>
      <c r="K361" t="str">
        <f t="shared" si="17"/>
        <v>ACTIVE</v>
      </c>
    </row>
    <row r="362" spans="1:11">
      <c r="A362">
        <v>361</v>
      </c>
      <c r="B362" t="s">
        <v>40</v>
      </c>
      <c r="C362" s="1">
        <v>45347</v>
      </c>
      <c r="D362" s="2" t="s">
        <v>27</v>
      </c>
      <c r="E362" t="s">
        <v>35</v>
      </c>
      <c r="G362" s="3">
        <v>342</v>
      </c>
      <c r="H362" t="s">
        <v>172</v>
      </c>
      <c r="I362" s="3" t="str">
        <f t="shared" si="15"/>
        <v>2024-02</v>
      </c>
      <c r="J362" s="1">
        <f t="shared" si="16"/>
        <v>45759</v>
      </c>
      <c r="K362" t="str">
        <f t="shared" si="17"/>
        <v>ACTIVE</v>
      </c>
    </row>
    <row r="363" spans="1:11">
      <c r="A363">
        <v>181</v>
      </c>
      <c r="B363" t="s">
        <v>142</v>
      </c>
      <c r="C363" s="1">
        <v>45774</v>
      </c>
      <c r="D363" s="2" t="s">
        <v>25</v>
      </c>
      <c r="E363" t="s">
        <v>30</v>
      </c>
      <c r="G363" s="3">
        <v>1511</v>
      </c>
      <c r="H363" t="s">
        <v>175</v>
      </c>
      <c r="I363" s="3" t="str">
        <f t="shared" si="15"/>
        <v>2025-04</v>
      </c>
      <c r="J363" s="1">
        <f t="shared" si="16"/>
        <v>45803</v>
      </c>
      <c r="K363" t="str">
        <f t="shared" si="17"/>
        <v>ACTIVE</v>
      </c>
    </row>
    <row r="364" spans="1:11">
      <c r="A364">
        <v>260</v>
      </c>
      <c r="B364" t="s">
        <v>48</v>
      </c>
      <c r="C364" s="1">
        <v>45754</v>
      </c>
      <c r="D364" s="2" t="s">
        <v>25</v>
      </c>
      <c r="E364" t="s">
        <v>32</v>
      </c>
      <c r="G364" s="3">
        <v>10999</v>
      </c>
      <c r="H364" t="s">
        <v>174</v>
      </c>
      <c r="I364" s="3" t="str">
        <f t="shared" si="15"/>
        <v>2025-04</v>
      </c>
      <c r="J364" s="1">
        <f t="shared" si="16"/>
        <v>45809</v>
      </c>
      <c r="K364" t="str">
        <f t="shared" si="17"/>
        <v>ACTIVE</v>
      </c>
    </row>
    <row r="365" spans="1:11">
      <c r="A365">
        <v>977</v>
      </c>
      <c r="B365" t="s">
        <v>112</v>
      </c>
      <c r="C365" s="1">
        <v>45797</v>
      </c>
      <c r="D365" s="2" t="s">
        <v>25</v>
      </c>
      <c r="E365" t="s">
        <v>32</v>
      </c>
      <c r="G365" s="3">
        <v>2696</v>
      </c>
      <c r="H365" t="s">
        <v>173</v>
      </c>
      <c r="I365" s="3" t="str">
        <f t="shared" si="15"/>
        <v>2025-05</v>
      </c>
      <c r="J365" s="1">
        <f t="shared" si="16"/>
        <v>45815</v>
      </c>
      <c r="K365" t="str">
        <f t="shared" si="17"/>
        <v>ACTIVE</v>
      </c>
    </row>
    <row r="366" spans="1:11">
      <c r="A366">
        <v>443</v>
      </c>
      <c r="B366" t="s">
        <v>128</v>
      </c>
      <c r="C366" s="1">
        <v>45549</v>
      </c>
      <c r="D366" s="2" t="s">
        <v>25</v>
      </c>
      <c r="E366" t="s">
        <v>33</v>
      </c>
      <c r="G366" s="3">
        <v>1438</v>
      </c>
      <c r="H366" t="s">
        <v>176</v>
      </c>
      <c r="I366" s="3" t="str">
        <f t="shared" si="15"/>
        <v>2024-09</v>
      </c>
      <c r="J366" s="1">
        <f t="shared" si="16"/>
        <v>45812</v>
      </c>
      <c r="K366" t="str">
        <f t="shared" si="17"/>
        <v>ACTIVE</v>
      </c>
    </row>
    <row r="367" spans="1:11">
      <c r="A367">
        <v>211</v>
      </c>
      <c r="B367" t="s">
        <v>149</v>
      </c>
      <c r="C367" s="1">
        <v>45372</v>
      </c>
      <c r="D367" s="2" t="s">
        <v>28</v>
      </c>
      <c r="E367" t="s">
        <v>31</v>
      </c>
      <c r="G367" s="3">
        <v>1014</v>
      </c>
      <c r="H367" t="s">
        <v>172</v>
      </c>
      <c r="I367" s="3" t="str">
        <f t="shared" si="15"/>
        <v>2024-03</v>
      </c>
      <c r="J367" s="1">
        <f t="shared" si="16"/>
        <v>45795</v>
      </c>
      <c r="K367" t="str">
        <f t="shared" si="17"/>
        <v>ACTIVE</v>
      </c>
    </row>
    <row r="368" spans="1:11">
      <c r="A368">
        <v>926</v>
      </c>
      <c r="B368" t="s">
        <v>71</v>
      </c>
      <c r="C368" s="1">
        <v>45491</v>
      </c>
      <c r="D368" s="2" t="s">
        <v>25</v>
      </c>
      <c r="E368" t="s">
        <v>34</v>
      </c>
      <c r="G368" s="3">
        <v>945</v>
      </c>
      <c r="H368" t="s">
        <v>174</v>
      </c>
      <c r="I368" s="3" t="str">
        <f t="shared" si="15"/>
        <v>2024-07</v>
      </c>
      <c r="J368" s="1">
        <f t="shared" si="16"/>
        <v>45823</v>
      </c>
      <c r="K368" t="str">
        <f t="shared" si="17"/>
        <v>ACTIVE</v>
      </c>
    </row>
    <row r="369" spans="1:11">
      <c r="A369">
        <v>1354</v>
      </c>
      <c r="B369" t="s">
        <v>84</v>
      </c>
      <c r="C369" s="1">
        <v>45747</v>
      </c>
      <c r="D369" s="2" t="s">
        <v>23</v>
      </c>
      <c r="E369" t="s">
        <v>33</v>
      </c>
      <c r="G369" s="3">
        <v>821</v>
      </c>
      <c r="H369" t="s">
        <v>172</v>
      </c>
      <c r="I369" s="3" t="str">
        <f t="shared" si="15"/>
        <v>2025-03</v>
      </c>
      <c r="J369" s="1">
        <f t="shared" si="16"/>
        <v>45827</v>
      </c>
      <c r="K369" t="str">
        <f t="shared" si="17"/>
        <v>ACTIVE</v>
      </c>
    </row>
    <row r="370" spans="1:11">
      <c r="A370">
        <v>1021</v>
      </c>
      <c r="B370" t="s">
        <v>94</v>
      </c>
      <c r="C370" s="1">
        <v>45639</v>
      </c>
      <c r="D370" s="2" t="s">
        <v>27</v>
      </c>
      <c r="E370" t="s">
        <v>31</v>
      </c>
      <c r="G370" s="3">
        <v>2923</v>
      </c>
      <c r="H370" t="s">
        <v>176</v>
      </c>
      <c r="I370" s="3" t="str">
        <f t="shared" si="15"/>
        <v>2024-12</v>
      </c>
      <c r="J370" s="1">
        <f t="shared" si="16"/>
        <v>45824</v>
      </c>
      <c r="K370" t="str">
        <f t="shared" si="17"/>
        <v>ACTIVE</v>
      </c>
    </row>
    <row r="371" spans="1:11">
      <c r="A371">
        <v>1575</v>
      </c>
      <c r="B371" t="s">
        <v>139</v>
      </c>
      <c r="C371" s="1">
        <v>45409</v>
      </c>
      <c r="D371" s="2" t="s">
        <v>23</v>
      </c>
      <c r="E371" t="s">
        <v>33</v>
      </c>
      <c r="G371" s="3">
        <v>10726</v>
      </c>
      <c r="H371" t="s">
        <v>174</v>
      </c>
      <c r="I371" s="3" t="str">
        <f t="shared" si="15"/>
        <v>2024-04</v>
      </c>
      <c r="J371" s="1">
        <f t="shared" si="16"/>
        <v>45830</v>
      </c>
      <c r="K371" t="str">
        <f t="shared" si="17"/>
        <v>ACTIVE</v>
      </c>
    </row>
    <row r="372" spans="1:11">
      <c r="A372">
        <v>667</v>
      </c>
      <c r="B372" t="s">
        <v>130</v>
      </c>
      <c r="C372" s="1">
        <v>45320</v>
      </c>
      <c r="D372" s="2" t="s">
        <v>25</v>
      </c>
      <c r="E372" t="s">
        <v>30</v>
      </c>
      <c r="G372" s="3">
        <v>1578</v>
      </c>
      <c r="H372" t="s">
        <v>172</v>
      </c>
      <c r="I372" s="3" t="str">
        <f t="shared" si="15"/>
        <v>2024-01</v>
      </c>
      <c r="J372" s="1">
        <f t="shared" si="16"/>
        <v>45828</v>
      </c>
      <c r="K372" t="str">
        <f t="shared" si="17"/>
        <v>ACTIVE</v>
      </c>
    </row>
    <row r="373" spans="1:11">
      <c r="A373">
        <v>24</v>
      </c>
      <c r="B373" t="s">
        <v>109</v>
      </c>
      <c r="C373" s="1">
        <v>45351</v>
      </c>
      <c r="D373" s="2" t="s">
        <v>23</v>
      </c>
      <c r="E373" t="s">
        <v>34</v>
      </c>
      <c r="G373" s="3">
        <v>4114</v>
      </c>
      <c r="H373" t="s">
        <v>175</v>
      </c>
      <c r="I373" s="3" t="str">
        <f t="shared" si="15"/>
        <v>2024-02</v>
      </c>
      <c r="J373" s="1">
        <f t="shared" si="16"/>
        <v>45776</v>
      </c>
      <c r="K373" t="str">
        <f t="shared" si="17"/>
        <v>ACTIVE</v>
      </c>
    </row>
    <row r="374" spans="1:11">
      <c r="A374">
        <v>705</v>
      </c>
      <c r="B374" t="s">
        <v>100</v>
      </c>
      <c r="C374" s="1">
        <v>45529</v>
      </c>
      <c r="D374" s="2" t="s">
        <v>27</v>
      </c>
      <c r="E374" t="s">
        <v>35</v>
      </c>
      <c r="G374" s="3">
        <v>5843</v>
      </c>
      <c r="H374" t="s">
        <v>173</v>
      </c>
      <c r="I374" s="3" t="str">
        <f t="shared" si="15"/>
        <v>2024-08</v>
      </c>
      <c r="J374" s="1">
        <f t="shared" si="16"/>
        <v>45779</v>
      </c>
      <c r="K374" t="str">
        <f t="shared" si="17"/>
        <v>ACTIVE</v>
      </c>
    </row>
    <row r="375" spans="1:11">
      <c r="A375">
        <v>796</v>
      </c>
      <c r="B375" t="s">
        <v>119</v>
      </c>
      <c r="C375" s="1">
        <v>45590</v>
      </c>
      <c r="D375" s="2" t="s">
        <v>25</v>
      </c>
      <c r="E375" t="s">
        <v>30</v>
      </c>
      <c r="G375" s="3">
        <v>2327</v>
      </c>
      <c r="H375" t="s">
        <v>173</v>
      </c>
      <c r="I375" s="3" t="str">
        <f t="shared" si="15"/>
        <v>2024-10</v>
      </c>
      <c r="J375" s="1">
        <f t="shared" si="16"/>
        <v>45806</v>
      </c>
      <c r="K375" t="str">
        <f t="shared" si="17"/>
        <v>ACTIVE</v>
      </c>
    </row>
    <row r="376" spans="1:11">
      <c r="A376">
        <v>1592</v>
      </c>
      <c r="B376" t="s">
        <v>104</v>
      </c>
      <c r="C376" s="1">
        <v>45491</v>
      </c>
      <c r="D376" s="2" t="s">
        <v>23</v>
      </c>
      <c r="E376" t="s">
        <v>34</v>
      </c>
      <c r="G376" s="3">
        <v>4810</v>
      </c>
      <c r="H376" t="s">
        <v>174</v>
      </c>
      <c r="I376" s="3" t="str">
        <f t="shared" si="15"/>
        <v>2024-07</v>
      </c>
      <c r="J376" s="1">
        <f t="shared" si="16"/>
        <v>45743</v>
      </c>
      <c r="K376" t="str">
        <f t="shared" si="17"/>
        <v>ACTIVE</v>
      </c>
    </row>
    <row r="377" spans="1:11">
      <c r="A377">
        <v>1590</v>
      </c>
      <c r="B377" t="s">
        <v>71</v>
      </c>
      <c r="C377" s="1">
        <v>45675</v>
      </c>
      <c r="D377" s="2" t="s">
        <v>24</v>
      </c>
      <c r="E377" t="s">
        <v>33</v>
      </c>
      <c r="G377" s="3">
        <v>9573</v>
      </c>
      <c r="H377" t="s">
        <v>175</v>
      </c>
      <c r="I377" s="3" t="str">
        <f t="shared" si="15"/>
        <v>2025-01</v>
      </c>
      <c r="J377" s="1">
        <f t="shared" si="16"/>
        <v>45823</v>
      </c>
      <c r="K377" t="str">
        <f t="shared" si="17"/>
        <v>ACTIVE</v>
      </c>
    </row>
    <row r="378" spans="1:11">
      <c r="A378">
        <v>347</v>
      </c>
      <c r="B378" t="s">
        <v>41</v>
      </c>
      <c r="C378" s="1">
        <v>45705</v>
      </c>
      <c r="D378" s="2" t="s">
        <v>27</v>
      </c>
      <c r="E378" t="s">
        <v>33</v>
      </c>
      <c r="G378" s="3">
        <v>1327</v>
      </c>
      <c r="H378" t="s">
        <v>176</v>
      </c>
      <c r="I378" s="3" t="str">
        <f t="shared" si="15"/>
        <v>2025-02</v>
      </c>
      <c r="J378" s="1">
        <f t="shared" si="16"/>
        <v>45785</v>
      </c>
      <c r="K378" t="str">
        <f t="shared" si="17"/>
        <v>ACTIVE</v>
      </c>
    </row>
    <row r="379" spans="1:11">
      <c r="A379">
        <v>1573</v>
      </c>
      <c r="B379" t="s">
        <v>115</v>
      </c>
      <c r="C379" s="1">
        <v>45457</v>
      </c>
      <c r="D379" s="2" t="s">
        <v>25</v>
      </c>
      <c r="E379" t="s">
        <v>32</v>
      </c>
      <c r="G379" s="3">
        <v>11309</v>
      </c>
      <c r="H379" t="s">
        <v>176</v>
      </c>
      <c r="I379" s="3" t="str">
        <f t="shared" si="15"/>
        <v>2024-06</v>
      </c>
      <c r="J379" s="1">
        <f t="shared" si="16"/>
        <v>45810</v>
      </c>
      <c r="K379" t="str">
        <f t="shared" si="17"/>
        <v>ACTIVE</v>
      </c>
    </row>
    <row r="380" spans="1:11">
      <c r="A380">
        <v>1209</v>
      </c>
      <c r="B380" t="s">
        <v>89</v>
      </c>
      <c r="C380" s="1">
        <v>45616</v>
      </c>
      <c r="D380" s="2" t="s">
        <v>26</v>
      </c>
      <c r="E380" t="s">
        <v>33</v>
      </c>
      <c r="G380" s="3">
        <v>1120</v>
      </c>
      <c r="H380" t="s">
        <v>174</v>
      </c>
      <c r="I380" s="3" t="str">
        <f t="shared" si="15"/>
        <v>2024-11</v>
      </c>
      <c r="J380" s="1">
        <f t="shared" si="16"/>
        <v>45826</v>
      </c>
      <c r="K380" t="str">
        <f t="shared" si="17"/>
        <v>ACTIVE</v>
      </c>
    </row>
    <row r="381" spans="1:11">
      <c r="A381">
        <v>873</v>
      </c>
      <c r="B381" t="s">
        <v>112</v>
      </c>
      <c r="C381" s="1">
        <v>45306</v>
      </c>
      <c r="D381" s="2" t="s">
        <v>27</v>
      </c>
      <c r="E381" t="s">
        <v>30</v>
      </c>
      <c r="G381" s="3">
        <v>543</v>
      </c>
      <c r="H381" t="s">
        <v>175</v>
      </c>
      <c r="I381" s="3" t="str">
        <f t="shared" si="15"/>
        <v>2024-01</v>
      </c>
      <c r="J381" s="1">
        <f t="shared" si="16"/>
        <v>45815</v>
      </c>
      <c r="K381" t="str">
        <f t="shared" si="17"/>
        <v>ACTIVE</v>
      </c>
    </row>
    <row r="382" spans="1:11">
      <c r="A382">
        <v>1556</v>
      </c>
      <c r="B382" t="s">
        <v>91</v>
      </c>
      <c r="C382" s="1">
        <v>45442</v>
      </c>
      <c r="D382" s="2" t="s">
        <v>24</v>
      </c>
      <c r="E382" t="s">
        <v>34</v>
      </c>
      <c r="G382" s="3">
        <v>9530</v>
      </c>
      <c r="H382" t="s">
        <v>173</v>
      </c>
      <c r="I382" s="3" t="str">
        <f t="shared" si="15"/>
        <v>2024-05</v>
      </c>
      <c r="J382" s="1">
        <f t="shared" si="16"/>
        <v>45785</v>
      </c>
      <c r="K382" t="str">
        <f t="shared" si="17"/>
        <v>ACTIVE</v>
      </c>
    </row>
    <row r="383" spans="1:11">
      <c r="A383">
        <v>1325</v>
      </c>
      <c r="B383" t="s">
        <v>57</v>
      </c>
      <c r="C383" s="1">
        <v>45775</v>
      </c>
      <c r="D383" s="2" t="s">
        <v>24</v>
      </c>
      <c r="E383" t="s">
        <v>31</v>
      </c>
      <c r="G383" s="3">
        <v>1617</v>
      </c>
      <c r="H383" t="s">
        <v>173</v>
      </c>
      <c r="I383" s="3" t="str">
        <f t="shared" si="15"/>
        <v>2025-04</v>
      </c>
      <c r="J383" s="1">
        <f t="shared" si="16"/>
        <v>45808</v>
      </c>
      <c r="K383" t="str">
        <f t="shared" si="17"/>
        <v>ACTIVE</v>
      </c>
    </row>
    <row r="384" spans="1:11">
      <c r="A384">
        <v>143</v>
      </c>
      <c r="B384" t="s">
        <v>77</v>
      </c>
      <c r="C384" s="1">
        <v>45320</v>
      </c>
      <c r="D384" s="2" t="s">
        <v>25</v>
      </c>
      <c r="E384" t="s">
        <v>30</v>
      </c>
      <c r="G384" s="3">
        <v>5583</v>
      </c>
      <c r="H384" t="s">
        <v>172</v>
      </c>
      <c r="I384" s="3" t="str">
        <f t="shared" si="15"/>
        <v>2024-01</v>
      </c>
      <c r="J384" s="1">
        <f t="shared" si="16"/>
        <v>45821</v>
      </c>
      <c r="K384" t="str">
        <f t="shared" si="17"/>
        <v>ACTIVE</v>
      </c>
    </row>
    <row r="385" spans="1:11">
      <c r="A385">
        <v>229</v>
      </c>
      <c r="B385" t="s">
        <v>131</v>
      </c>
      <c r="C385" s="1">
        <v>45379</v>
      </c>
      <c r="D385" s="2" t="s">
        <v>23</v>
      </c>
      <c r="E385" t="s">
        <v>31</v>
      </c>
      <c r="G385" s="3">
        <v>2170</v>
      </c>
      <c r="H385" t="s">
        <v>176</v>
      </c>
      <c r="I385" s="3" t="str">
        <f t="shared" si="15"/>
        <v>2024-03</v>
      </c>
      <c r="J385" s="1">
        <f t="shared" si="16"/>
        <v>45807</v>
      </c>
      <c r="K385" t="str">
        <f t="shared" si="17"/>
        <v>ACTIVE</v>
      </c>
    </row>
    <row r="386" spans="1:11">
      <c r="A386">
        <v>1557</v>
      </c>
      <c r="B386" t="s">
        <v>135</v>
      </c>
      <c r="C386" s="1">
        <v>45785</v>
      </c>
      <c r="D386" s="2" t="s">
        <v>28</v>
      </c>
      <c r="E386" t="s">
        <v>34</v>
      </c>
      <c r="G386" s="3">
        <v>1660</v>
      </c>
      <c r="H386" t="s">
        <v>175</v>
      </c>
      <c r="I386" s="3" t="str">
        <f t="shared" si="15"/>
        <v>2025-05</v>
      </c>
      <c r="J386" s="1">
        <f t="shared" si="16"/>
        <v>45785</v>
      </c>
      <c r="K386" t="str">
        <f t="shared" si="17"/>
        <v>ACTIVE</v>
      </c>
    </row>
    <row r="387" spans="1:11">
      <c r="A387">
        <v>1436</v>
      </c>
      <c r="B387" t="s">
        <v>89</v>
      </c>
      <c r="C387" s="1">
        <v>45701</v>
      </c>
      <c r="D387" s="2" t="s">
        <v>23</v>
      </c>
      <c r="E387" t="s">
        <v>31</v>
      </c>
      <c r="G387" s="3">
        <v>2081</v>
      </c>
      <c r="H387" t="s">
        <v>172</v>
      </c>
      <c r="I387" s="3" t="str">
        <f t="shared" ref="I387:I450" si="18">TEXT(C387, "yyyy-mm")</f>
        <v>2025-02</v>
      </c>
      <c r="J387" s="1">
        <f t="shared" ref="J387:J450" si="19">_xlfn.MAXIFS(C:C, B:B, B387)</f>
        <v>45826</v>
      </c>
      <c r="K387" t="str">
        <f t="shared" ref="K387:K450" si="20">IF($L$3-J387&gt;90, "LAPSED","ACTIVE")</f>
        <v>ACTIVE</v>
      </c>
    </row>
    <row r="388" spans="1:11">
      <c r="A388">
        <v>1530</v>
      </c>
      <c r="B388" t="s">
        <v>135</v>
      </c>
      <c r="C388" s="1">
        <v>45519</v>
      </c>
      <c r="D388" s="2" t="s">
        <v>27</v>
      </c>
      <c r="E388" t="s">
        <v>34</v>
      </c>
      <c r="G388" s="3">
        <v>838</v>
      </c>
      <c r="H388" t="s">
        <v>175</v>
      </c>
      <c r="I388" s="3" t="str">
        <f t="shared" si="18"/>
        <v>2024-08</v>
      </c>
      <c r="J388" s="1">
        <f t="shared" si="19"/>
        <v>45785</v>
      </c>
      <c r="K388" t="str">
        <f t="shared" si="20"/>
        <v>ACTIVE</v>
      </c>
    </row>
    <row r="389" spans="1:11">
      <c r="A389">
        <v>638</v>
      </c>
      <c r="B389" t="s">
        <v>72</v>
      </c>
      <c r="C389" s="1">
        <v>45815</v>
      </c>
      <c r="D389" s="2" t="s">
        <v>27</v>
      </c>
      <c r="E389" t="s">
        <v>32</v>
      </c>
      <c r="G389" s="3">
        <v>849</v>
      </c>
      <c r="H389" t="s">
        <v>173</v>
      </c>
      <c r="I389" s="3" t="str">
        <f t="shared" si="18"/>
        <v>2025-06</v>
      </c>
      <c r="J389" s="1">
        <f t="shared" si="19"/>
        <v>45815</v>
      </c>
      <c r="K389" t="str">
        <f t="shared" si="20"/>
        <v>ACTIVE</v>
      </c>
    </row>
    <row r="390" spans="1:11">
      <c r="A390">
        <v>1043</v>
      </c>
      <c r="B390" t="s">
        <v>83</v>
      </c>
      <c r="C390" s="1">
        <v>45417</v>
      </c>
      <c r="D390" s="2" t="s">
        <v>27</v>
      </c>
      <c r="E390" t="s">
        <v>34</v>
      </c>
      <c r="G390" s="3">
        <v>2159</v>
      </c>
      <c r="H390" t="s">
        <v>173</v>
      </c>
      <c r="I390" s="3" t="str">
        <f t="shared" si="18"/>
        <v>2024-05</v>
      </c>
      <c r="J390" s="1">
        <f t="shared" si="19"/>
        <v>45816</v>
      </c>
      <c r="K390" t="str">
        <f t="shared" si="20"/>
        <v>ACTIVE</v>
      </c>
    </row>
    <row r="391" spans="1:11">
      <c r="A391">
        <v>587</v>
      </c>
      <c r="B391" t="s">
        <v>60</v>
      </c>
      <c r="C391" s="1">
        <v>45757</v>
      </c>
      <c r="D391" s="2" t="s">
        <v>28</v>
      </c>
      <c r="E391" t="s">
        <v>31</v>
      </c>
      <c r="G391" s="3">
        <v>1475</v>
      </c>
      <c r="H391" t="s">
        <v>172</v>
      </c>
      <c r="I391" s="3" t="str">
        <f t="shared" si="18"/>
        <v>2025-04</v>
      </c>
      <c r="J391" s="1">
        <f t="shared" si="19"/>
        <v>45801</v>
      </c>
      <c r="K391" t="str">
        <f t="shared" si="20"/>
        <v>ACTIVE</v>
      </c>
    </row>
    <row r="392" spans="1:11">
      <c r="A392">
        <v>16</v>
      </c>
      <c r="B392" t="s">
        <v>154</v>
      </c>
      <c r="C392" s="1">
        <v>45725</v>
      </c>
      <c r="D392" s="2" t="s">
        <v>23</v>
      </c>
      <c r="E392" t="s">
        <v>30</v>
      </c>
      <c r="G392" s="3">
        <v>2170</v>
      </c>
      <c r="H392" t="s">
        <v>173</v>
      </c>
      <c r="I392" s="3" t="str">
        <f t="shared" si="18"/>
        <v>2025-03</v>
      </c>
      <c r="J392" s="1">
        <f t="shared" si="19"/>
        <v>45725</v>
      </c>
      <c r="K392" t="str">
        <f t="shared" si="20"/>
        <v>LAPSED</v>
      </c>
    </row>
    <row r="393" spans="1:11">
      <c r="A393">
        <v>1628</v>
      </c>
      <c r="B393" t="s">
        <v>94</v>
      </c>
      <c r="C393" s="1">
        <v>45404</v>
      </c>
      <c r="D393" s="2" t="s">
        <v>25</v>
      </c>
      <c r="E393" t="s">
        <v>31</v>
      </c>
      <c r="G393" s="3">
        <v>1772</v>
      </c>
      <c r="H393" t="s">
        <v>175</v>
      </c>
      <c r="I393" s="3" t="str">
        <f t="shared" si="18"/>
        <v>2024-04</v>
      </c>
      <c r="J393" s="1">
        <f t="shared" si="19"/>
        <v>45824</v>
      </c>
      <c r="K393" t="str">
        <f t="shared" si="20"/>
        <v>ACTIVE</v>
      </c>
    </row>
    <row r="394" spans="1:11">
      <c r="A394">
        <v>1634</v>
      </c>
      <c r="B394" t="s">
        <v>150</v>
      </c>
      <c r="C394" s="1">
        <v>45740</v>
      </c>
      <c r="D394" s="2" t="s">
        <v>26</v>
      </c>
      <c r="E394" t="s">
        <v>33</v>
      </c>
      <c r="G394" s="3">
        <v>1630</v>
      </c>
      <c r="H394" t="s">
        <v>175</v>
      </c>
      <c r="I394" s="3" t="str">
        <f t="shared" si="18"/>
        <v>2025-03</v>
      </c>
      <c r="J394" s="1">
        <f t="shared" si="19"/>
        <v>45827</v>
      </c>
      <c r="K394" t="str">
        <f t="shared" si="20"/>
        <v>ACTIVE</v>
      </c>
    </row>
    <row r="395" spans="1:11">
      <c r="A395">
        <v>1610</v>
      </c>
      <c r="B395" t="s">
        <v>82</v>
      </c>
      <c r="C395" s="1">
        <v>45424</v>
      </c>
      <c r="D395" s="2" t="s">
        <v>23</v>
      </c>
      <c r="E395" t="s">
        <v>30</v>
      </c>
      <c r="G395" s="3">
        <v>1752</v>
      </c>
      <c r="H395" t="s">
        <v>174</v>
      </c>
      <c r="I395" s="3" t="str">
        <f t="shared" si="18"/>
        <v>2024-05</v>
      </c>
      <c r="J395" s="1">
        <f t="shared" si="19"/>
        <v>45781</v>
      </c>
      <c r="K395" t="str">
        <f t="shared" si="20"/>
        <v>ACTIVE</v>
      </c>
    </row>
    <row r="396" spans="1:11">
      <c r="A396">
        <v>929</v>
      </c>
      <c r="B396" t="s">
        <v>129</v>
      </c>
      <c r="C396" s="1">
        <v>45614</v>
      </c>
      <c r="D396" s="2" t="s">
        <v>28</v>
      </c>
      <c r="E396" t="s">
        <v>30</v>
      </c>
      <c r="G396" s="3">
        <v>5948</v>
      </c>
      <c r="H396" t="s">
        <v>176</v>
      </c>
      <c r="I396" s="3" t="str">
        <f t="shared" si="18"/>
        <v>2024-11</v>
      </c>
      <c r="J396" s="1">
        <f t="shared" si="19"/>
        <v>45812</v>
      </c>
      <c r="K396" t="str">
        <f t="shared" si="20"/>
        <v>ACTIVE</v>
      </c>
    </row>
    <row r="397" spans="1:11">
      <c r="A397">
        <v>1189</v>
      </c>
      <c r="B397" t="s">
        <v>150</v>
      </c>
      <c r="C397" s="1">
        <v>45775</v>
      </c>
      <c r="D397" s="2" t="s">
        <v>24</v>
      </c>
      <c r="E397" t="s">
        <v>31</v>
      </c>
      <c r="G397" s="3">
        <v>1384</v>
      </c>
      <c r="H397" t="s">
        <v>174</v>
      </c>
      <c r="I397" s="3" t="str">
        <f t="shared" si="18"/>
        <v>2025-04</v>
      </c>
      <c r="J397" s="1">
        <f t="shared" si="19"/>
        <v>45827</v>
      </c>
      <c r="K397" t="str">
        <f t="shared" si="20"/>
        <v>ACTIVE</v>
      </c>
    </row>
    <row r="398" spans="1:11">
      <c r="A398">
        <v>594</v>
      </c>
      <c r="B398" t="s">
        <v>95</v>
      </c>
      <c r="C398" s="1">
        <v>45757</v>
      </c>
      <c r="D398" s="2" t="s">
        <v>27</v>
      </c>
      <c r="E398" t="s">
        <v>30</v>
      </c>
      <c r="G398" s="3">
        <v>0</v>
      </c>
      <c r="H398" t="s">
        <v>174</v>
      </c>
      <c r="I398" s="3" t="str">
        <f t="shared" si="18"/>
        <v>2025-04</v>
      </c>
      <c r="J398" s="1">
        <f t="shared" si="19"/>
        <v>45797</v>
      </c>
      <c r="K398" t="str">
        <f t="shared" si="20"/>
        <v>ACTIVE</v>
      </c>
    </row>
    <row r="399" spans="1:11">
      <c r="A399">
        <v>312</v>
      </c>
      <c r="B399" t="s">
        <v>48</v>
      </c>
      <c r="C399" s="1">
        <v>45399</v>
      </c>
      <c r="D399" s="2" t="s">
        <v>24</v>
      </c>
      <c r="E399" t="s">
        <v>33</v>
      </c>
      <c r="G399" s="3">
        <v>648</v>
      </c>
      <c r="H399" t="s">
        <v>176</v>
      </c>
      <c r="I399" s="3" t="str">
        <f t="shared" si="18"/>
        <v>2024-04</v>
      </c>
      <c r="J399" s="1">
        <f t="shared" si="19"/>
        <v>45809</v>
      </c>
      <c r="K399" t="str">
        <f t="shared" si="20"/>
        <v>ACTIVE</v>
      </c>
    </row>
    <row r="400" spans="1:11">
      <c r="A400">
        <v>692</v>
      </c>
      <c r="B400" t="s">
        <v>150</v>
      </c>
      <c r="C400" s="1">
        <v>45450</v>
      </c>
      <c r="D400" s="2" t="s">
        <v>28</v>
      </c>
      <c r="E400" t="s">
        <v>35</v>
      </c>
      <c r="G400" s="3">
        <v>8336</v>
      </c>
      <c r="H400" t="s">
        <v>173</v>
      </c>
      <c r="I400" s="3" t="str">
        <f t="shared" si="18"/>
        <v>2024-06</v>
      </c>
      <c r="J400" s="1">
        <f t="shared" si="19"/>
        <v>45827</v>
      </c>
      <c r="K400" t="str">
        <f t="shared" si="20"/>
        <v>ACTIVE</v>
      </c>
    </row>
    <row r="401" spans="1:11">
      <c r="A401">
        <v>35</v>
      </c>
      <c r="B401" t="s">
        <v>159</v>
      </c>
      <c r="C401" s="1">
        <v>45713</v>
      </c>
      <c r="D401" s="2" t="s">
        <v>27</v>
      </c>
      <c r="E401" t="s">
        <v>31</v>
      </c>
      <c r="G401" s="3">
        <v>1672</v>
      </c>
      <c r="H401" t="s">
        <v>176</v>
      </c>
      <c r="I401" s="3" t="str">
        <f t="shared" si="18"/>
        <v>2025-02</v>
      </c>
      <c r="J401" s="1">
        <f t="shared" si="19"/>
        <v>45713</v>
      </c>
      <c r="K401" t="str">
        <f t="shared" si="20"/>
        <v>LAPSED</v>
      </c>
    </row>
    <row r="402" spans="1:11">
      <c r="A402">
        <v>216</v>
      </c>
      <c r="B402" t="s">
        <v>74</v>
      </c>
      <c r="C402" s="1">
        <v>45719</v>
      </c>
      <c r="D402" s="2" t="s">
        <v>27</v>
      </c>
      <c r="E402" t="s">
        <v>33</v>
      </c>
      <c r="G402" s="3">
        <v>4460</v>
      </c>
      <c r="H402" t="s">
        <v>175</v>
      </c>
      <c r="I402" s="3" t="str">
        <f t="shared" si="18"/>
        <v>2025-03</v>
      </c>
      <c r="J402" s="1">
        <f t="shared" si="19"/>
        <v>45773</v>
      </c>
      <c r="K402" t="str">
        <f t="shared" si="20"/>
        <v>ACTIVE</v>
      </c>
    </row>
    <row r="403" spans="1:11">
      <c r="A403">
        <v>1052</v>
      </c>
      <c r="B403" t="s">
        <v>70</v>
      </c>
      <c r="C403" s="1">
        <v>45476</v>
      </c>
      <c r="D403" s="2" t="s">
        <v>24</v>
      </c>
      <c r="E403" t="s">
        <v>31</v>
      </c>
      <c r="G403" s="3">
        <v>255</v>
      </c>
      <c r="H403" t="s">
        <v>172</v>
      </c>
      <c r="I403" s="3" t="str">
        <f t="shared" si="18"/>
        <v>2024-07</v>
      </c>
      <c r="J403" s="1">
        <f t="shared" si="19"/>
        <v>45829</v>
      </c>
      <c r="K403" t="str">
        <f t="shared" si="20"/>
        <v>ACTIVE</v>
      </c>
    </row>
    <row r="404" spans="1:11">
      <c r="A404">
        <v>1050</v>
      </c>
      <c r="B404" t="s">
        <v>54</v>
      </c>
      <c r="C404" s="1">
        <v>45304</v>
      </c>
      <c r="D404" s="2" t="s">
        <v>24</v>
      </c>
      <c r="E404" t="s">
        <v>35</v>
      </c>
      <c r="G404" s="3">
        <v>0</v>
      </c>
      <c r="H404" t="s">
        <v>172</v>
      </c>
      <c r="I404" s="3" t="str">
        <f t="shared" si="18"/>
        <v>2024-01</v>
      </c>
      <c r="J404" s="1">
        <f t="shared" si="19"/>
        <v>45825</v>
      </c>
      <c r="K404" t="str">
        <f t="shared" si="20"/>
        <v>ACTIVE</v>
      </c>
    </row>
    <row r="405" spans="1:11">
      <c r="A405">
        <v>355</v>
      </c>
      <c r="B405" t="s">
        <v>140</v>
      </c>
      <c r="C405" s="1">
        <v>45301</v>
      </c>
      <c r="D405" s="2" t="s">
        <v>27</v>
      </c>
      <c r="E405" t="s">
        <v>30</v>
      </c>
      <c r="G405" s="3">
        <v>1397</v>
      </c>
      <c r="H405" t="s">
        <v>173</v>
      </c>
      <c r="I405" s="3" t="str">
        <f t="shared" si="18"/>
        <v>2024-01</v>
      </c>
      <c r="J405" s="1">
        <f t="shared" si="19"/>
        <v>45812</v>
      </c>
      <c r="K405" t="str">
        <f t="shared" si="20"/>
        <v>ACTIVE</v>
      </c>
    </row>
    <row r="406" spans="1:11">
      <c r="A406">
        <v>1145</v>
      </c>
      <c r="B406" t="s">
        <v>104</v>
      </c>
      <c r="C406" s="1">
        <v>45316</v>
      </c>
      <c r="D406" s="2" t="s">
        <v>24</v>
      </c>
      <c r="E406" t="s">
        <v>33</v>
      </c>
      <c r="G406" s="3">
        <v>2357</v>
      </c>
      <c r="H406" t="s">
        <v>176</v>
      </c>
      <c r="I406" s="3" t="str">
        <f t="shared" si="18"/>
        <v>2024-01</v>
      </c>
      <c r="J406" s="1">
        <f t="shared" si="19"/>
        <v>45743</v>
      </c>
      <c r="K406" t="str">
        <f t="shared" si="20"/>
        <v>ACTIVE</v>
      </c>
    </row>
    <row r="407" spans="1:11">
      <c r="A407">
        <v>1119</v>
      </c>
      <c r="B407" t="s">
        <v>76</v>
      </c>
      <c r="C407" s="1">
        <v>45295</v>
      </c>
      <c r="D407" s="2" t="s">
        <v>24</v>
      </c>
      <c r="E407" t="s">
        <v>35</v>
      </c>
      <c r="G407" s="3">
        <v>4235</v>
      </c>
      <c r="H407" t="s">
        <v>173</v>
      </c>
      <c r="I407" s="3" t="str">
        <f t="shared" si="18"/>
        <v>2024-01</v>
      </c>
      <c r="J407" s="1">
        <f t="shared" si="19"/>
        <v>45792</v>
      </c>
      <c r="K407" t="str">
        <f t="shared" si="20"/>
        <v>ACTIVE</v>
      </c>
    </row>
    <row r="408" spans="1:11">
      <c r="A408">
        <v>1159</v>
      </c>
      <c r="B408" t="s">
        <v>114</v>
      </c>
      <c r="C408" s="1">
        <v>45663</v>
      </c>
      <c r="D408" s="2" t="s">
        <v>25</v>
      </c>
      <c r="E408" t="s">
        <v>30</v>
      </c>
      <c r="G408" s="3">
        <v>5005</v>
      </c>
      <c r="H408" t="s">
        <v>175</v>
      </c>
      <c r="I408" s="3" t="str">
        <f t="shared" si="18"/>
        <v>2025-01</v>
      </c>
      <c r="J408" s="1">
        <f t="shared" si="19"/>
        <v>45815</v>
      </c>
      <c r="K408" t="str">
        <f t="shared" si="20"/>
        <v>ACTIVE</v>
      </c>
    </row>
    <row r="409" spans="1:11">
      <c r="A409">
        <v>1370</v>
      </c>
      <c r="B409" t="s">
        <v>93</v>
      </c>
      <c r="C409" s="1">
        <v>45551</v>
      </c>
      <c r="D409" s="2" t="s">
        <v>25</v>
      </c>
      <c r="E409" t="s">
        <v>32</v>
      </c>
      <c r="G409" s="3">
        <v>5323</v>
      </c>
      <c r="H409" t="s">
        <v>176</v>
      </c>
      <c r="I409" s="3" t="str">
        <f t="shared" si="18"/>
        <v>2024-09</v>
      </c>
      <c r="J409" s="1">
        <f t="shared" si="19"/>
        <v>45830</v>
      </c>
      <c r="K409" t="str">
        <f t="shared" si="20"/>
        <v>ACTIVE</v>
      </c>
    </row>
    <row r="410" spans="1:11">
      <c r="A410">
        <v>700</v>
      </c>
      <c r="B410" t="s">
        <v>56</v>
      </c>
      <c r="C410" s="1">
        <v>45766</v>
      </c>
      <c r="D410" s="2" t="s">
        <v>26</v>
      </c>
      <c r="E410" t="s">
        <v>32</v>
      </c>
      <c r="G410" s="3">
        <v>423</v>
      </c>
      <c r="H410" t="s">
        <v>172</v>
      </c>
      <c r="I410" s="3" t="str">
        <f t="shared" si="18"/>
        <v>2025-04</v>
      </c>
      <c r="J410" s="1">
        <f t="shared" si="19"/>
        <v>45805</v>
      </c>
      <c r="K410" t="str">
        <f t="shared" si="20"/>
        <v>ACTIVE</v>
      </c>
    </row>
    <row r="411" spans="1:11">
      <c r="A411">
        <v>1638</v>
      </c>
      <c r="B411" t="s">
        <v>135</v>
      </c>
      <c r="C411" s="1">
        <v>45293</v>
      </c>
      <c r="D411" s="2" t="s">
        <v>27</v>
      </c>
      <c r="E411" t="s">
        <v>30</v>
      </c>
      <c r="G411" s="3">
        <v>4256</v>
      </c>
      <c r="H411" t="s">
        <v>175</v>
      </c>
      <c r="I411" s="3" t="str">
        <f t="shared" si="18"/>
        <v>2024-01</v>
      </c>
      <c r="J411" s="1">
        <f t="shared" si="19"/>
        <v>45785</v>
      </c>
      <c r="K411" t="str">
        <f t="shared" si="20"/>
        <v>ACTIVE</v>
      </c>
    </row>
    <row r="412" spans="1:11">
      <c r="A412">
        <v>1298</v>
      </c>
      <c r="B412" t="s">
        <v>108</v>
      </c>
      <c r="C412" s="1">
        <v>45703</v>
      </c>
      <c r="D412" s="2" t="s">
        <v>27</v>
      </c>
      <c r="E412" t="s">
        <v>33</v>
      </c>
      <c r="G412" s="3">
        <v>695</v>
      </c>
      <c r="H412" t="s">
        <v>172</v>
      </c>
      <c r="I412" s="3" t="str">
        <f t="shared" si="18"/>
        <v>2025-02</v>
      </c>
      <c r="J412" s="1">
        <f t="shared" si="19"/>
        <v>45826</v>
      </c>
      <c r="K412" t="str">
        <f t="shared" si="20"/>
        <v>ACTIVE</v>
      </c>
    </row>
    <row r="413" spans="1:11">
      <c r="A413">
        <v>1065</v>
      </c>
      <c r="B413" t="s">
        <v>153</v>
      </c>
      <c r="C413" s="1">
        <v>45366</v>
      </c>
      <c r="D413" s="2" t="s">
        <v>23</v>
      </c>
      <c r="E413" t="s">
        <v>35</v>
      </c>
      <c r="G413" s="3">
        <v>871</v>
      </c>
      <c r="H413" t="s">
        <v>174</v>
      </c>
      <c r="I413" s="3" t="str">
        <f t="shared" si="18"/>
        <v>2024-03</v>
      </c>
      <c r="J413" s="1">
        <f t="shared" si="19"/>
        <v>45690</v>
      </c>
      <c r="K413" t="str">
        <f t="shared" si="20"/>
        <v>LAPSED</v>
      </c>
    </row>
    <row r="414" spans="1:11">
      <c r="A414">
        <v>1741</v>
      </c>
      <c r="B414" t="s">
        <v>39</v>
      </c>
      <c r="C414" s="1">
        <v>45674</v>
      </c>
      <c r="D414" s="2" t="s">
        <v>28</v>
      </c>
      <c r="E414" t="s">
        <v>34</v>
      </c>
      <c r="G414" s="3">
        <v>557</v>
      </c>
      <c r="H414" t="s">
        <v>175</v>
      </c>
      <c r="I414" s="3" t="str">
        <f t="shared" si="18"/>
        <v>2025-01</v>
      </c>
      <c r="J414" s="1">
        <f t="shared" si="19"/>
        <v>45795</v>
      </c>
      <c r="K414" t="str">
        <f t="shared" si="20"/>
        <v>ACTIVE</v>
      </c>
    </row>
    <row r="415" spans="1:11">
      <c r="A415">
        <v>362</v>
      </c>
      <c r="B415" t="s">
        <v>100</v>
      </c>
      <c r="C415" s="1">
        <v>45343</v>
      </c>
      <c r="D415" s="2" t="s">
        <v>27</v>
      </c>
      <c r="E415" t="s">
        <v>35</v>
      </c>
      <c r="G415" s="3">
        <v>721</v>
      </c>
      <c r="H415" t="s">
        <v>172</v>
      </c>
      <c r="I415" s="3" t="str">
        <f t="shared" si="18"/>
        <v>2024-02</v>
      </c>
      <c r="J415" s="1">
        <f t="shared" si="19"/>
        <v>45779</v>
      </c>
      <c r="K415" t="str">
        <f t="shared" si="20"/>
        <v>ACTIVE</v>
      </c>
    </row>
    <row r="416" spans="1:11">
      <c r="A416">
        <v>979</v>
      </c>
      <c r="B416" t="s">
        <v>136</v>
      </c>
      <c r="C416" s="1">
        <v>45669</v>
      </c>
      <c r="D416" s="2" t="s">
        <v>23</v>
      </c>
      <c r="E416" t="s">
        <v>34</v>
      </c>
      <c r="G416" s="3">
        <v>452</v>
      </c>
      <c r="H416" t="s">
        <v>176</v>
      </c>
      <c r="I416" s="3" t="str">
        <f t="shared" si="18"/>
        <v>2025-01</v>
      </c>
      <c r="J416" s="1">
        <f t="shared" si="19"/>
        <v>45823</v>
      </c>
      <c r="K416" t="str">
        <f t="shared" si="20"/>
        <v>ACTIVE</v>
      </c>
    </row>
    <row r="417" spans="1:11">
      <c r="A417">
        <v>1163</v>
      </c>
      <c r="B417" t="s">
        <v>105</v>
      </c>
      <c r="C417" s="1">
        <v>45690</v>
      </c>
      <c r="D417" s="2" t="s">
        <v>23</v>
      </c>
      <c r="E417" t="s">
        <v>33</v>
      </c>
      <c r="G417" s="3">
        <v>1475</v>
      </c>
      <c r="H417" t="s">
        <v>172</v>
      </c>
      <c r="I417" s="3" t="str">
        <f t="shared" si="18"/>
        <v>2025-02</v>
      </c>
      <c r="J417" s="1">
        <f t="shared" si="19"/>
        <v>45816</v>
      </c>
      <c r="K417" t="str">
        <f t="shared" si="20"/>
        <v>ACTIVE</v>
      </c>
    </row>
    <row r="418" spans="1:11">
      <c r="A418">
        <v>250</v>
      </c>
      <c r="B418" t="s">
        <v>85</v>
      </c>
      <c r="C418" s="1">
        <v>45815</v>
      </c>
      <c r="D418" s="2" t="s">
        <v>28</v>
      </c>
      <c r="E418" t="s">
        <v>35</v>
      </c>
      <c r="G418" s="3">
        <v>1545</v>
      </c>
      <c r="H418" t="s">
        <v>173</v>
      </c>
      <c r="I418" s="3" t="str">
        <f t="shared" si="18"/>
        <v>2025-06</v>
      </c>
      <c r="J418" s="1">
        <f t="shared" si="19"/>
        <v>45826</v>
      </c>
      <c r="K418" t="str">
        <f t="shared" si="20"/>
        <v>ACTIVE</v>
      </c>
    </row>
    <row r="419" spans="1:11">
      <c r="A419">
        <v>1535</v>
      </c>
      <c r="B419" t="s">
        <v>96</v>
      </c>
      <c r="C419" s="1">
        <v>45633</v>
      </c>
      <c r="D419" s="2" t="s">
        <v>26</v>
      </c>
      <c r="E419" t="s">
        <v>31</v>
      </c>
      <c r="G419" s="3">
        <v>2823</v>
      </c>
      <c r="H419" t="s">
        <v>175</v>
      </c>
      <c r="I419" s="3" t="str">
        <f t="shared" si="18"/>
        <v>2024-12</v>
      </c>
      <c r="J419" s="1">
        <f t="shared" si="19"/>
        <v>45798</v>
      </c>
      <c r="K419" t="str">
        <f t="shared" si="20"/>
        <v>ACTIVE</v>
      </c>
    </row>
    <row r="420" spans="1:11">
      <c r="A420">
        <v>25</v>
      </c>
      <c r="B420" t="s">
        <v>49</v>
      </c>
      <c r="C420" s="1">
        <v>45812</v>
      </c>
      <c r="D420" s="2" t="s">
        <v>27</v>
      </c>
      <c r="E420" t="s">
        <v>34</v>
      </c>
      <c r="G420" s="3">
        <v>1070</v>
      </c>
      <c r="H420" t="s">
        <v>172</v>
      </c>
      <c r="I420" s="3" t="str">
        <f t="shared" si="18"/>
        <v>2025-06</v>
      </c>
      <c r="J420" s="1">
        <f t="shared" si="19"/>
        <v>45812</v>
      </c>
      <c r="K420" t="str">
        <f t="shared" si="20"/>
        <v>ACTIVE</v>
      </c>
    </row>
    <row r="421" spans="1:11">
      <c r="A421">
        <v>111</v>
      </c>
      <c r="B421" t="s">
        <v>91</v>
      </c>
      <c r="C421" s="1">
        <v>45512</v>
      </c>
      <c r="D421" s="2" t="s">
        <v>28</v>
      </c>
      <c r="E421" t="s">
        <v>33</v>
      </c>
      <c r="G421" s="3">
        <v>702</v>
      </c>
      <c r="H421" t="s">
        <v>173</v>
      </c>
      <c r="I421" s="3" t="str">
        <f t="shared" si="18"/>
        <v>2024-08</v>
      </c>
      <c r="J421" s="1">
        <f t="shared" si="19"/>
        <v>45785</v>
      </c>
      <c r="K421" t="str">
        <f t="shared" si="20"/>
        <v>ACTIVE</v>
      </c>
    </row>
    <row r="422" spans="1:11">
      <c r="A422">
        <v>1228</v>
      </c>
      <c r="B422" t="s">
        <v>45</v>
      </c>
      <c r="C422" s="1">
        <v>45829</v>
      </c>
      <c r="D422" s="2" t="s">
        <v>23</v>
      </c>
      <c r="E422" t="s">
        <v>31</v>
      </c>
      <c r="G422" s="3">
        <v>8922</v>
      </c>
      <c r="H422" t="s">
        <v>175</v>
      </c>
      <c r="I422" s="3" t="str">
        <f t="shared" si="18"/>
        <v>2025-06</v>
      </c>
      <c r="J422" s="1">
        <f t="shared" si="19"/>
        <v>45829</v>
      </c>
      <c r="K422" t="str">
        <f t="shared" si="20"/>
        <v>ACTIVE</v>
      </c>
    </row>
    <row r="423" spans="1:11">
      <c r="A423">
        <v>1038</v>
      </c>
      <c r="B423" t="s">
        <v>128</v>
      </c>
      <c r="C423" s="1">
        <v>45714</v>
      </c>
      <c r="D423" s="2" t="s">
        <v>23</v>
      </c>
      <c r="E423" t="s">
        <v>35</v>
      </c>
      <c r="G423" s="3">
        <v>598</v>
      </c>
      <c r="H423" t="s">
        <v>176</v>
      </c>
      <c r="I423" s="3" t="str">
        <f t="shared" si="18"/>
        <v>2025-02</v>
      </c>
      <c r="J423" s="1">
        <f t="shared" si="19"/>
        <v>45812</v>
      </c>
      <c r="K423" t="str">
        <f t="shared" si="20"/>
        <v>ACTIVE</v>
      </c>
    </row>
    <row r="424" spans="1:11">
      <c r="A424">
        <v>349</v>
      </c>
      <c r="B424" t="s">
        <v>92</v>
      </c>
      <c r="C424" s="1">
        <v>45718</v>
      </c>
      <c r="D424" s="2" t="s">
        <v>28</v>
      </c>
      <c r="E424" t="s">
        <v>34</v>
      </c>
      <c r="G424" s="3">
        <v>0</v>
      </c>
      <c r="H424" t="s">
        <v>172</v>
      </c>
      <c r="I424" s="3" t="str">
        <f t="shared" si="18"/>
        <v>2025-03</v>
      </c>
      <c r="J424" s="1">
        <f t="shared" si="19"/>
        <v>45746</v>
      </c>
      <c r="K424" t="str">
        <f t="shared" si="20"/>
        <v>ACTIVE</v>
      </c>
    </row>
    <row r="425" spans="1:11">
      <c r="A425">
        <v>952</v>
      </c>
      <c r="B425" t="s">
        <v>115</v>
      </c>
      <c r="C425" s="1">
        <v>45394</v>
      </c>
      <c r="D425" s="2" t="s">
        <v>28</v>
      </c>
      <c r="E425" t="s">
        <v>35</v>
      </c>
      <c r="G425" s="3">
        <v>534</v>
      </c>
      <c r="H425" t="s">
        <v>173</v>
      </c>
      <c r="I425" s="3" t="str">
        <f t="shared" si="18"/>
        <v>2024-04</v>
      </c>
      <c r="J425" s="1">
        <f t="shared" si="19"/>
        <v>45810</v>
      </c>
      <c r="K425" t="str">
        <f t="shared" si="20"/>
        <v>ACTIVE</v>
      </c>
    </row>
    <row r="426" spans="1:11">
      <c r="A426">
        <v>404</v>
      </c>
      <c r="B426" t="s">
        <v>147</v>
      </c>
      <c r="C426" s="1">
        <v>45677</v>
      </c>
      <c r="D426" s="2" t="s">
        <v>27</v>
      </c>
      <c r="E426" t="s">
        <v>35</v>
      </c>
      <c r="G426" s="3">
        <v>706</v>
      </c>
      <c r="H426" t="s">
        <v>174</v>
      </c>
      <c r="I426" s="3" t="str">
        <f t="shared" si="18"/>
        <v>2025-01</v>
      </c>
      <c r="J426" s="1">
        <f t="shared" si="19"/>
        <v>45752</v>
      </c>
      <c r="K426" t="str">
        <f t="shared" si="20"/>
        <v>ACTIVE</v>
      </c>
    </row>
    <row r="427" spans="1:11">
      <c r="A427">
        <v>363</v>
      </c>
      <c r="B427" t="s">
        <v>93</v>
      </c>
      <c r="C427" s="1">
        <v>45802</v>
      </c>
      <c r="D427" s="2" t="s">
        <v>26</v>
      </c>
      <c r="E427" t="s">
        <v>34</v>
      </c>
      <c r="G427" s="3">
        <v>329</v>
      </c>
      <c r="H427" t="s">
        <v>176</v>
      </c>
      <c r="I427" s="3" t="str">
        <f t="shared" si="18"/>
        <v>2025-05</v>
      </c>
      <c r="J427" s="1">
        <f t="shared" si="19"/>
        <v>45830</v>
      </c>
      <c r="K427" t="str">
        <f t="shared" si="20"/>
        <v>ACTIVE</v>
      </c>
    </row>
    <row r="428" spans="1:11">
      <c r="A428">
        <v>464</v>
      </c>
      <c r="B428" t="s">
        <v>144</v>
      </c>
      <c r="C428" s="1">
        <v>45481</v>
      </c>
      <c r="D428" s="2" t="s">
        <v>25</v>
      </c>
      <c r="E428" t="s">
        <v>35</v>
      </c>
      <c r="G428" s="3">
        <v>5552</v>
      </c>
      <c r="H428" t="s">
        <v>172</v>
      </c>
      <c r="I428" s="3" t="str">
        <f t="shared" si="18"/>
        <v>2024-07</v>
      </c>
      <c r="J428" s="1">
        <f t="shared" si="19"/>
        <v>45751</v>
      </c>
      <c r="K428" t="str">
        <f t="shared" si="20"/>
        <v>ACTIVE</v>
      </c>
    </row>
    <row r="429" spans="1:11">
      <c r="A429">
        <v>466</v>
      </c>
      <c r="B429" t="s">
        <v>160</v>
      </c>
      <c r="C429" s="1">
        <v>45336</v>
      </c>
      <c r="D429" s="2" t="s">
        <v>27</v>
      </c>
      <c r="E429" t="s">
        <v>33</v>
      </c>
      <c r="G429" s="3">
        <v>440</v>
      </c>
      <c r="H429" t="s">
        <v>173</v>
      </c>
      <c r="I429" s="3" t="str">
        <f t="shared" si="18"/>
        <v>2024-02</v>
      </c>
      <c r="J429" s="1">
        <f t="shared" si="19"/>
        <v>45734</v>
      </c>
      <c r="K429" t="str">
        <f t="shared" si="20"/>
        <v>LAPSED</v>
      </c>
    </row>
    <row r="430" spans="1:11">
      <c r="A430">
        <v>450</v>
      </c>
      <c r="B430" t="s">
        <v>125</v>
      </c>
      <c r="C430" s="1">
        <v>45459</v>
      </c>
      <c r="D430" s="2" t="s">
        <v>28</v>
      </c>
      <c r="E430" t="s">
        <v>32</v>
      </c>
      <c r="G430" s="3">
        <v>1810</v>
      </c>
      <c r="H430" t="s">
        <v>173</v>
      </c>
      <c r="I430" s="3" t="str">
        <f t="shared" si="18"/>
        <v>2024-06</v>
      </c>
      <c r="J430" s="1">
        <f t="shared" si="19"/>
        <v>45784</v>
      </c>
      <c r="K430" t="str">
        <f t="shared" si="20"/>
        <v>ACTIVE</v>
      </c>
    </row>
    <row r="431" spans="1:11">
      <c r="A431">
        <v>1764</v>
      </c>
      <c r="B431" t="s">
        <v>104</v>
      </c>
      <c r="C431" s="1">
        <v>45470</v>
      </c>
      <c r="D431" s="2" t="s">
        <v>24</v>
      </c>
      <c r="E431" t="s">
        <v>31</v>
      </c>
      <c r="G431" s="3">
        <v>2327</v>
      </c>
      <c r="H431" t="s">
        <v>175</v>
      </c>
      <c r="I431" s="3" t="str">
        <f t="shared" si="18"/>
        <v>2024-06</v>
      </c>
      <c r="J431" s="1">
        <f t="shared" si="19"/>
        <v>45743</v>
      </c>
      <c r="K431" t="str">
        <f t="shared" si="20"/>
        <v>ACTIVE</v>
      </c>
    </row>
    <row r="432" spans="1:11">
      <c r="A432">
        <v>1012</v>
      </c>
      <c r="B432" t="s">
        <v>107</v>
      </c>
      <c r="C432" s="1">
        <v>45589</v>
      </c>
      <c r="D432" s="2" t="s">
        <v>28</v>
      </c>
      <c r="E432" t="s">
        <v>30</v>
      </c>
      <c r="G432" s="3">
        <v>5729</v>
      </c>
      <c r="H432" t="s">
        <v>176</v>
      </c>
      <c r="I432" s="3" t="str">
        <f t="shared" si="18"/>
        <v>2024-10</v>
      </c>
      <c r="J432" s="1">
        <f t="shared" si="19"/>
        <v>45831</v>
      </c>
      <c r="K432" t="str">
        <f t="shared" si="20"/>
        <v>ACTIVE</v>
      </c>
    </row>
    <row r="433" spans="1:11">
      <c r="A433">
        <v>178</v>
      </c>
      <c r="B433" t="s">
        <v>124</v>
      </c>
      <c r="C433" s="1">
        <v>45793</v>
      </c>
      <c r="D433" s="2" t="s">
        <v>23</v>
      </c>
      <c r="E433" t="s">
        <v>31</v>
      </c>
      <c r="G433" s="3">
        <v>338</v>
      </c>
      <c r="H433" t="s">
        <v>174</v>
      </c>
      <c r="I433" s="3" t="str">
        <f t="shared" si="18"/>
        <v>2025-05</v>
      </c>
      <c r="J433" s="1">
        <f t="shared" si="19"/>
        <v>45793</v>
      </c>
      <c r="K433" t="str">
        <f t="shared" si="20"/>
        <v>ACTIVE</v>
      </c>
    </row>
    <row r="434" spans="1:11">
      <c r="A434">
        <v>1744</v>
      </c>
      <c r="B434" t="s">
        <v>121</v>
      </c>
      <c r="C434" s="1">
        <v>45613</v>
      </c>
      <c r="D434" s="2" t="s">
        <v>25</v>
      </c>
      <c r="E434" t="s">
        <v>34</v>
      </c>
      <c r="G434" s="3">
        <v>271</v>
      </c>
      <c r="H434" t="s">
        <v>176</v>
      </c>
      <c r="I434" s="3" t="str">
        <f t="shared" si="18"/>
        <v>2024-11</v>
      </c>
      <c r="J434" s="1">
        <f t="shared" si="19"/>
        <v>45798</v>
      </c>
      <c r="K434" t="str">
        <f t="shared" si="20"/>
        <v>ACTIVE</v>
      </c>
    </row>
    <row r="435" spans="1:11">
      <c r="A435">
        <v>703</v>
      </c>
      <c r="B435" t="s">
        <v>66</v>
      </c>
      <c r="C435" s="1">
        <v>45791</v>
      </c>
      <c r="D435" s="2" t="s">
        <v>25</v>
      </c>
      <c r="E435" t="s">
        <v>35</v>
      </c>
      <c r="G435" s="3">
        <v>484</v>
      </c>
      <c r="H435" t="s">
        <v>174</v>
      </c>
      <c r="I435" s="3" t="str">
        <f t="shared" si="18"/>
        <v>2025-05</v>
      </c>
      <c r="J435" s="1">
        <f t="shared" si="19"/>
        <v>45802</v>
      </c>
      <c r="K435" t="str">
        <f t="shared" si="20"/>
        <v>ACTIVE</v>
      </c>
    </row>
    <row r="436" spans="1:11">
      <c r="A436">
        <v>831</v>
      </c>
      <c r="B436" t="s">
        <v>157</v>
      </c>
      <c r="C436" s="1">
        <v>45637</v>
      </c>
      <c r="D436" s="2" t="s">
        <v>28</v>
      </c>
      <c r="E436" t="s">
        <v>31</v>
      </c>
      <c r="G436" s="3">
        <v>5364</v>
      </c>
      <c r="H436" t="s">
        <v>174</v>
      </c>
      <c r="I436" s="3" t="str">
        <f t="shared" si="18"/>
        <v>2024-12</v>
      </c>
      <c r="J436" s="1">
        <f t="shared" si="19"/>
        <v>45729</v>
      </c>
      <c r="K436" t="str">
        <f t="shared" si="20"/>
        <v>LAPSED</v>
      </c>
    </row>
    <row r="437" spans="1:11">
      <c r="A437">
        <v>1082</v>
      </c>
      <c r="B437" t="s">
        <v>124</v>
      </c>
      <c r="C437" s="1">
        <v>45699</v>
      </c>
      <c r="D437" s="2" t="s">
        <v>27</v>
      </c>
      <c r="E437" t="s">
        <v>32</v>
      </c>
      <c r="G437" s="3">
        <v>312</v>
      </c>
      <c r="H437" t="s">
        <v>172</v>
      </c>
      <c r="I437" s="3" t="str">
        <f t="shared" si="18"/>
        <v>2025-02</v>
      </c>
      <c r="J437" s="1">
        <f t="shared" si="19"/>
        <v>45793</v>
      </c>
      <c r="K437" t="str">
        <f t="shared" si="20"/>
        <v>ACTIVE</v>
      </c>
    </row>
    <row r="438" spans="1:11">
      <c r="A438">
        <v>1187</v>
      </c>
      <c r="B438" t="s">
        <v>121</v>
      </c>
      <c r="C438" s="1">
        <v>45397</v>
      </c>
      <c r="D438" s="2" t="s">
        <v>24</v>
      </c>
      <c r="E438" t="s">
        <v>35</v>
      </c>
      <c r="G438" s="3">
        <v>2057</v>
      </c>
      <c r="H438" t="s">
        <v>172</v>
      </c>
      <c r="I438" s="3" t="str">
        <f t="shared" si="18"/>
        <v>2024-04</v>
      </c>
      <c r="J438" s="1">
        <f t="shared" si="19"/>
        <v>45798</v>
      </c>
      <c r="K438" t="str">
        <f t="shared" si="20"/>
        <v>ACTIVE</v>
      </c>
    </row>
    <row r="439" spans="1:11">
      <c r="A439">
        <v>475</v>
      </c>
      <c r="B439" t="s">
        <v>148</v>
      </c>
      <c r="C439" s="1">
        <v>45574</v>
      </c>
      <c r="D439" s="2" t="s">
        <v>23</v>
      </c>
      <c r="E439" t="s">
        <v>35</v>
      </c>
      <c r="G439" s="3">
        <v>10283</v>
      </c>
      <c r="H439" t="s">
        <v>175</v>
      </c>
      <c r="I439" s="3" t="str">
        <f t="shared" si="18"/>
        <v>2024-10</v>
      </c>
      <c r="J439" s="1">
        <f t="shared" si="19"/>
        <v>45766</v>
      </c>
      <c r="K439" t="str">
        <f t="shared" si="20"/>
        <v>ACTIVE</v>
      </c>
    </row>
    <row r="440" spans="1:11">
      <c r="A440">
        <v>665</v>
      </c>
      <c r="B440" t="s">
        <v>143</v>
      </c>
      <c r="C440" s="1">
        <v>45616</v>
      </c>
      <c r="D440" s="2" t="s">
        <v>28</v>
      </c>
      <c r="E440" t="s">
        <v>34</v>
      </c>
      <c r="G440" s="3">
        <v>2866</v>
      </c>
      <c r="H440" t="s">
        <v>173</v>
      </c>
      <c r="I440" s="3" t="str">
        <f t="shared" si="18"/>
        <v>2024-11</v>
      </c>
      <c r="J440" s="1">
        <f t="shared" si="19"/>
        <v>45764</v>
      </c>
      <c r="K440" t="str">
        <f t="shared" si="20"/>
        <v>ACTIVE</v>
      </c>
    </row>
    <row r="441" spans="1:11">
      <c r="A441">
        <v>415</v>
      </c>
      <c r="B441" t="s">
        <v>108</v>
      </c>
      <c r="C441" s="1">
        <v>45299</v>
      </c>
      <c r="D441" s="2" t="s">
        <v>23</v>
      </c>
      <c r="E441" t="s">
        <v>34</v>
      </c>
      <c r="G441" s="3">
        <v>8029</v>
      </c>
      <c r="H441" t="s">
        <v>172</v>
      </c>
      <c r="I441" s="3" t="str">
        <f t="shared" si="18"/>
        <v>2024-01</v>
      </c>
      <c r="J441" s="1">
        <f t="shared" si="19"/>
        <v>45826</v>
      </c>
      <c r="K441" t="str">
        <f t="shared" si="20"/>
        <v>ACTIVE</v>
      </c>
    </row>
    <row r="442" spans="1:11">
      <c r="A442">
        <v>47</v>
      </c>
      <c r="B442" t="s">
        <v>129</v>
      </c>
      <c r="C442" s="1">
        <v>45616</v>
      </c>
      <c r="D442" s="2" t="s">
        <v>28</v>
      </c>
      <c r="E442" t="s">
        <v>35</v>
      </c>
      <c r="G442" s="3">
        <v>9707</v>
      </c>
      <c r="H442" t="s">
        <v>175</v>
      </c>
      <c r="I442" s="3" t="str">
        <f t="shared" si="18"/>
        <v>2024-11</v>
      </c>
      <c r="J442" s="1">
        <f t="shared" si="19"/>
        <v>45812</v>
      </c>
      <c r="K442" t="str">
        <f t="shared" si="20"/>
        <v>ACTIVE</v>
      </c>
    </row>
    <row r="443" spans="1:11">
      <c r="A443">
        <v>833</v>
      </c>
      <c r="B443" t="s">
        <v>42</v>
      </c>
      <c r="C443" s="1">
        <v>45434</v>
      </c>
      <c r="D443" s="2" t="s">
        <v>23</v>
      </c>
      <c r="E443" t="s">
        <v>34</v>
      </c>
      <c r="G443" s="3">
        <v>9118</v>
      </c>
      <c r="H443" t="s">
        <v>172</v>
      </c>
      <c r="I443" s="3" t="str">
        <f t="shared" si="18"/>
        <v>2024-05</v>
      </c>
      <c r="J443" s="1">
        <f t="shared" si="19"/>
        <v>45803</v>
      </c>
      <c r="K443" t="str">
        <f t="shared" si="20"/>
        <v>ACTIVE</v>
      </c>
    </row>
    <row r="444" spans="1:11">
      <c r="A444">
        <v>672</v>
      </c>
      <c r="B444" t="s">
        <v>137</v>
      </c>
      <c r="C444" s="1">
        <v>45756</v>
      </c>
      <c r="D444" s="2" t="s">
        <v>28</v>
      </c>
      <c r="E444" t="s">
        <v>34</v>
      </c>
      <c r="G444" s="3">
        <v>2171</v>
      </c>
      <c r="H444" t="s">
        <v>172</v>
      </c>
      <c r="I444" s="3" t="str">
        <f t="shared" si="18"/>
        <v>2025-04</v>
      </c>
      <c r="J444" s="1">
        <f t="shared" si="19"/>
        <v>45819</v>
      </c>
      <c r="K444" t="str">
        <f t="shared" si="20"/>
        <v>ACTIVE</v>
      </c>
    </row>
    <row r="445" spans="1:11">
      <c r="A445">
        <v>194</v>
      </c>
      <c r="B445" t="s">
        <v>70</v>
      </c>
      <c r="C445" s="1">
        <v>45303</v>
      </c>
      <c r="D445" s="2" t="s">
        <v>24</v>
      </c>
      <c r="E445" t="s">
        <v>30</v>
      </c>
      <c r="G445" s="3">
        <v>1650</v>
      </c>
      <c r="H445" t="s">
        <v>176</v>
      </c>
      <c r="I445" s="3" t="str">
        <f t="shared" si="18"/>
        <v>2024-01</v>
      </c>
      <c r="J445" s="1">
        <f t="shared" si="19"/>
        <v>45829</v>
      </c>
      <c r="K445" t="str">
        <f t="shared" si="20"/>
        <v>ACTIVE</v>
      </c>
    </row>
    <row r="446" spans="1:11">
      <c r="A446">
        <v>393</v>
      </c>
      <c r="B446" t="s">
        <v>61</v>
      </c>
      <c r="C446" s="1">
        <v>45409</v>
      </c>
      <c r="D446" s="2" t="s">
        <v>23</v>
      </c>
      <c r="E446" t="s">
        <v>34</v>
      </c>
      <c r="G446" s="3">
        <v>9845</v>
      </c>
      <c r="H446" t="s">
        <v>175</v>
      </c>
      <c r="I446" s="3" t="str">
        <f t="shared" si="18"/>
        <v>2024-04</v>
      </c>
      <c r="J446" s="1">
        <f t="shared" si="19"/>
        <v>45815</v>
      </c>
      <c r="K446" t="str">
        <f t="shared" si="20"/>
        <v>ACTIVE</v>
      </c>
    </row>
    <row r="447" spans="1:11">
      <c r="A447">
        <v>1784</v>
      </c>
      <c r="B447" t="s">
        <v>98</v>
      </c>
      <c r="C447" s="1">
        <v>45577</v>
      </c>
      <c r="D447" s="2" t="s">
        <v>24</v>
      </c>
      <c r="E447" t="s">
        <v>30</v>
      </c>
      <c r="G447" s="3">
        <v>2185</v>
      </c>
      <c r="H447" t="s">
        <v>175</v>
      </c>
      <c r="I447" s="3" t="str">
        <f t="shared" si="18"/>
        <v>2024-10</v>
      </c>
      <c r="J447" s="1">
        <f t="shared" si="19"/>
        <v>45767</v>
      </c>
      <c r="K447" t="str">
        <f t="shared" si="20"/>
        <v>ACTIVE</v>
      </c>
    </row>
    <row r="448" spans="1:11">
      <c r="A448">
        <v>1171</v>
      </c>
      <c r="B448" t="s">
        <v>130</v>
      </c>
      <c r="C448" s="1">
        <v>45328</v>
      </c>
      <c r="D448" s="2" t="s">
        <v>27</v>
      </c>
      <c r="E448" t="s">
        <v>33</v>
      </c>
      <c r="G448" s="3">
        <v>9154</v>
      </c>
      <c r="H448" t="s">
        <v>172</v>
      </c>
      <c r="I448" s="3" t="str">
        <f t="shared" si="18"/>
        <v>2024-02</v>
      </c>
      <c r="J448" s="1">
        <f t="shared" si="19"/>
        <v>45828</v>
      </c>
      <c r="K448" t="str">
        <f t="shared" si="20"/>
        <v>ACTIVE</v>
      </c>
    </row>
    <row r="449" spans="1:11">
      <c r="A449">
        <v>1257</v>
      </c>
      <c r="B449" t="s">
        <v>47</v>
      </c>
      <c r="C449" s="1">
        <v>45443</v>
      </c>
      <c r="D449" s="2" t="s">
        <v>24</v>
      </c>
      <c r="E449" t="s">
        <v>34</v>
      </c>
      <c r="G449" s="3">
        <v>2570</v>
      </c>
      <c r="H449" t="s">
        <v>176</v>
      </c>
      <c r="I449" s="3" t="str">
        <f t="shared" si="18"/>
        <v>2024-05</v>
      </c>
      <c r="J449" s="1">
        <f t="shared" si="19"/>
        <v>45792</v>
      </c>
      <c r="K449" t="str">
        <f t="shared" si="20"/>
        <v>ACTIVE</v>
      </c>
    </row>
    <row r="450" spans="1:11">
      <c r="A450">
        <v>446</v>
      </c>
      <c r="B450" t="s">
        <v>142</v>
      </c>
      <c r="C450" s="1">
        <v>45770</v>
      </c>
      <c r="D450" s="2" t="s">
        <v>23</v>
      </c>
      <c r="E450" t="s">
        <v>31</v>
      </c>
      <c r="G450" s="3">
        <v>9779</v>
      </c>
      <c r="H450" t="s">
        <v>175</v>
      </c>
      <c r="I450" s="3" t="str">
        <f t="shared" si="18"/>
        <v>2025-04</v>
      </c>
      <c r="J450" s="1">
        <f t="shared" si="19"/>
        <v>45803</v>
      </c>
      <c r="K450" t="str">
        <f t="shared" si="20"/>
        <v>ACTIVE</v>
      </c>
    </row>
    <row r="451" spans="1:11">
      <c r="A451">
        <v>27</v>
      </c>
      <c r="B451" t="s">
        <v>94</v>
      </c>
      <c r="C451" s="1">
        <v>45599</v>
      </c>
      <c r="D451" s="2" t="s">
        <v>24</v>
      </c>
      <c r="E451" t="s">
        <v>34</v>
      </c>
      <c r="G451" s="3">
        <v>492</v>
      </c>
      <c r="H451" t="s">
        <v>175</v>
      </c>
      <c r="I451" s="3" t="str">
        <f t="shared" ref="I451:I514" si="21">TEXT(C451, "yyyy-mm")</f>
        <v>2024-11</v>
      </c>
      <c r="J451" s="1">
        <f t="shared" ref="J451:J514" si="22">_xlfn.MAXIFS(C:C, B:B, B451)</f>
        <v>45824</v>
      </c>
      <c r="K451" t="str">
        <f t="shared" ref="K451:K514" si="23">IF($L$3-J451&gt;90, "LAPSED","ACTIVE")</f>
        <v>ACTIVE</v>
      </c>
    </row>
    <row r="452" spans="1:11">
      <c r="A452">
        <v>1226</v>
      </c>
      <c r="B452" t="s">
        <v>76</v>
      </c>
      <c r="C452" s="1">
        <v>45647</v>
      </c>
      <c r="D452" s="2" t="s">
        <v>28</v>
      </c>
      <c r="E452" t="s">
        <v>32</v>
      </c>
      <c r="G452" s="3">
        <v>11937</v>
      </c>
      <c r="H452" t="s">
        <v>176</v>
      </c>
      <c r="I452" s="3" t="str">
        <f t="shared" si="21"/>
        <v>2024-12</v>
      </c>
      <c r="J452" s="1">
        <f t="shared" si="22"/>
        <v>45792</v>
      </c>
      <c r="K452" t="str">
        <f t="shared" si="23"/>
        <v>ACTIVE</v>
      </c>
    </row>
    <row r="453" spans="1:11">
      <c r="A453">
        <v>1635</v>
      </c>
      <c r="B453" t="s">
        <v>94</v>
      </c>
      <c r="C453" s="1">
        <v>45475</v>
      </c>
      <c r="D453" s="2" t="s">
        <v>24</v>
      </c>
      <c r="E453" t="s">
        <v>35</v>
      </c>
      <c r="G453" s="3">
        <v>860</v>
      </c>
      <c r="H453" t="s">
        <v>174</v>
      </c>
      <c r="I453" s="3" t="str">
        <f t="shared" si="21"/>
        <v>2024-07</v>
      </c>
      <c r="J453" s="1">
        <f t="shared" si="22"/>
        <v>45824</v>
      </c>
      <c r="K453" t="str">
        <f t="shared" si="23"/>
        <v>ACTIVE</v>
      </c>
    </row>
    <row r="454" spans="1:11">
      <c r="A454">
        <v>452</v>
      </c>
      <c r="B454" t="s">
        <v>123</v>
      </c>
      <c r="C454" s="1">
        <v>45570</v>
      </c>
      <c r="D454" s="2" t="s">
        <v>23</v>
      </c>
      <c r="E454" t="s">
        <v>32</v>
      </c>
      <c r="G454" s="3">
        <v>1857</v>
      </c>
      <c r="H454" t="s">
        <v>172</v>
      </c>
      <c r="I454" s="3" t="str">
        <f t="shared" si="21"/>
        <v>2024-10</v>
      </c>
      <c r="J454" s="1">
        <f t="shared" si="22"/>
        <v>45772</v>
      </c>
      <c r="K454" t="str">
        <f t="shared" si="23"/>
        <v>ACTIVE</v>
      </c>
    </row>
    <row r="455" spans="1:11">
      <c r="A455">
        <v>1201</v>
      </c>
      <c r="B455" t="s">
        <v>129</v>
      </c>
      <c r="C455" s="1">
        <v>45487</v>
      </c>
      <c r="D455" s="2" t="s">
        <v>25</v>
      </c>
      <c r="E455" t="s">
        <v>30</v>
      </c>
      <c r="G455" s="3">
        <v>845</v>
      </c>
      <c r="H455" t="s">
        <v>173</v>
      </c>
      <c r="I455" s="3" t="str">
        <f t="shared" si="21"/>
        <v>2024-07</v>
      </c>
      <c r="J455" s="1">
        <f t="shared" si="22"/>
        <v>45812</v>
      </c>
      <c r="K455" t="str">
        <f t="shared" si="23"/>
        <v>ACTIVE</v>
      </c>
    </row>
    <row r="456" spans="1:11">
      <c r="A456">
        <v>1490</v>
      </c>
      <c r="B456" t="s">
        <v>114</v>
      </c>
      <c r="C456" s="1">
        <v>45479</v>
      </c>
      <c r="D456" s="2" t="s">
        <v>28</v>
      </c>
      <c r="E456" t="s">
        <v>35</v>
      </c>
      <c r="G456" s="3">
        <v>430</v>
      </c>
      <c r="H456" t="s">
        <v>176</v>
      </c>
      <c r="I456" s="3" t="str">
        <f t="shared" si="21"/>
        <v>2024-07</v>
      </c>
      <c r="J456" s="1">
        <f t="shared" si="22"/>
        <v>45815</v>
      </c>
      <c r="K456" t="str">
        <f t="shared" si="23"/>
        <v>ACTIVE</v>
      </c>
    </row>
    <row r="457" spans="1:11">
      <c r="A457">
        <v>1491</v>
      </c>
      <c r="B457" t="s">
        <v>97</v>
      </c>
      <c r="C457" s="1">
        <v>45293</v>
      </c>
      <c r="D457" s="2" t="s">
        <v>27</v>
      </c>
      <c r="E457" t="s">
        <v>33</v>
      </c>
      <c r="G457" s="3">
        <v>1093</v>
      </c>
      <c r="H457" t="s">
        <v>173</v>
      </c>
      <c r="I457" s="3" t="str">
        <f t="shared" si="21"/>
        <v>2024-01</v>
      </c>
      <c r="J457" s="1">
        <f t="shared" si="22"/>
        <v>45794</v>
      </c>
      <c r="K457" t="str">
        <f t="shared" si="23"/>
        <v>ACTIVE</v>
      </c>
    </row>
    <row r="458" spans="1:11">
      <c r="A458">
        <v>1787</v>
      </c>
      <c r="B458" t="s">
        <v>100</v>
      </c>
      <c r="C458" s="1">
        <v>45425</v>
      </c>
      <c r="D458" s="2" t="s">
        <v>25</v>
      </c>
      <c r="E458" t="s">
        <v>32</v>
      </c>
      <c r="G458" s="3">
        <v>5773</v>
      </c>
      <c r="H458" t="s">
        <v>173</v>
      </c>
      <c r="I458" s="3" t="str">
        <f t="shared" si="21"/>
        <v>2024-05</v>
      </c>
      <c r="J458" s="1">
        <f t="shared" si="22"/>
        <v>45779</v>
      </c>
      <c r="K458" t="str">
        <f t="shared" si="23"/>
        <v>ACTIVE</v>
      </c>
    </row>
    <row r="459" spans="1:11">
      <c r="A459">
        <v>1248</v>
      </c>
      <c r="B459" t="s">
        <v>113</v>
      </c>
      <c r="C459" s="1">
        <v>45699</v>
      </c>
      <c r="D459" s="2" t="s">
        <v>25</v>
      </c>
      <c r="E459" t="s">
        <v>33</v>
      </c>
      <c r="G459" s="3">
        <v>836</v>
      </c>
      <c r="H459" t="s">
        <v>175</v>
      </c>
      <c r="I459" s="3" t="str">
        <f t="shared" si="21"/>
        <v>2025-02</v>
      </c>
      <c r="J459" s="1">
        <f t="shared" si="22"/>
        <v>45788</v>
      </c>
      <c r="K459" t="str">
        <f t="shared" si="23"/>
        <v>ACTIVE</v>
      </c>
    </row>
    <row r="460" spans="1:11">
      <c r="A460">
        <v>1314</v>
      </c>
      <c r="B460" t="s">
        <v>125</v>
      </c>
      <c r="C460" s="1">
        <v>45385</v>
      </c>
      <c r="D460" s="2" t="s">
        <v>25</v>
      </c>
      <c r="E460" t="s">
        <v>34</v>
      </c>
      <c r="G460" s="3">
        <v>837</v>
      </c>
      <c r="H460" t="s">
        <v>172</v>
      </c>
      <c r="I460" s="3" t="str">
        <f t="shared" si="21"/>
        <v>2024-04</v>
      </c>
      <c r="J460" s="1">
        <f t="shared" si="22"/>
        <v>45784</v>
      </c>
      <c r="K460" t="str">
        <f t="shared" si="23"/>
        <v>ACTIVE</v>
      </c>
    </row>
    <row r="461" spans="1:11">
      <c r="A461">
        <v>652</v>
      </c>
      <c r="B461" t="s">
        <v>143</v>
      </c>
      <c r="C461" s="1">
        <v>45476</v>
      </c>
      <c r="D461" s="2" t="s">
        <v>25</v>
      </c>
      <c r="E461" t="s">
        <v>30</v>
      </c>
      <c r="G461" s="3">
        <v>11451</v>
      </c>
      <c r="H461" t="s">
        <v>175</v>
      </c>
      <c r="I461" s="3" t="str">
        <f t="shared" si="21"/>
        <v>2024-07</v>
      </c>
      <c r="J461" s="1">
        <f t="shared" si="22"/>
        <v>45764</v>
      </c>
      <c r="K461" t="str">
        <f t="shared" si="23"/>
        <v>ACTIVE</v>
      </c>
    </row>
    <row r="462" spans="1:11">
      <c r="A462">
        <v>1445</v>
      </c>
      <c r="B462" t="s">
        <v>135</v>
      </c>
      <c r="C462" s="1">
        <v>45720</v>
      </c>
      <c r="D462" s="2" t="s">
        <v>27</v>
      </c>
      <c r="E462" t="s">
        <v>31</v>
      </c>
      <c r="G462" s="3">
        <v>4421</v>
      </c>
      <c r="H462" t="s">
        <v>173</v>
      </c>
      <c r="I462" s="3" t="str">
        <f t="shared" si="21"/>
        <v>2025-03</v>
      </c>
      <c r="J462" s="1">
        <f t="shared" si="22"/>
        <v>45785</v>
      </c>
      <c r="K462" t="str">
        <f t="shared" si="23"/>
        <v>ACTIVE</v>
      </c>
    </row>
    <row r="463" spans="1:11">
      <c r="A463">
        <v>370</v>
      </c>
      <c r="B463" t="s">
        <v>122</v>
      </c>
      <c r="C463" s="1">
        <v>45473</v>
      </c>
      <c r="D463" s="2" t="s">
        <v>23</v>
      </c>
      <c r="E463" t="s">
        <v>33</v>
      </c>
      <c r="G463" s="3">
        <v>1262</v>
      </c>
      <c r="H463" t="s">
        <v>175</v>
      </c>
      <c r="I463" s="3" t="str">
        <f t="shared" si="21"/>
        <v>2024-06</v>
      </c>
      <c r="J463" s="1">
        <f t="shared" si="22"/>
        <v>45793</v>
      </c>
      <c r="K463" t="str">
        <f t="shared" si="23"/>
        <v>ACTIVE</v>
      </c>
    </row>
    <row r="464" spans="1:11">
      <c r="A464">
        <v>159</v>
      </c>
      <c r="B464" t="s">
        <v>124</v>
      </c>
      <c r="C464" s="1">
        <v>45558</v>
      </c>
      <c r="D464" s="2" t="s">
        <v>28</v>
      </c>
      <c r="E464" t="s">
        <v>33</v>
      </c>
      <c r="G464" s="3">
        <v>2694</v>
      </c>
      <c r="H464" t="s">
        <v>173</v>
      </c>
      <c r="I464" s="3" t="str">
        <f t="shared" si="21"/>
        <v>2024-09</v>
      </c>
      <c r="J464" s="1">
        <f t="shared" si="22"/>
        <v>45793</v>
      </c>
      <c r="K464" t="str">
        <f t="shared" si="23"/>
        <v>ACTIVE</v>
      </c>
    </row>
    <row r="465" spans="1:11">
      <c r="A465">
        <v>1679</v>
      </c>
      <c r="B465" t="s">
        <v>44</v>
      </c>
      <c r="C465" s="1">
        <v>45546</v>
      </c>
      <c r="D465" s="2" t="s">
        <v>24</v>
      </c>
      <c r="E465" t="s">
        <v>31</v>
      </c>
      <c r="G465" s="3">
        <v>10044</v>
      </c>
      <c r="H465" t="s">
        <v>173</v>
      </c>
      <c r="I465" s="3" t="str">
        <f t="shared" si="21"/>
        <v>2024-09</v>
      </c>
      <c r="J465" s="1">
        <f t="shared" si="22"/>
        <v>45814</v>
      </c>
      <c r="K465" t="str">
        <f t="shared" si="23"/>
        <v>ACTIVE</v>
      </c>
    </row>
    <row r="466" spans="1:11">
      <c r="A466">
        <v>308</v>
      </c>
      <c r="B466" t="s">
        <v>148</v>
      </c>
      <c r="C466" s="1">
        <v>45617</v>
      </c>
      <c r="D466" s="2" t="s">
        <v>23</v>
      </c>
      <c r="E466" t="s">
        <v>33</v>
      </c>
      <c r="G466" s="3">
        <v>1175</v>
      </c>
      <c r="H466" t="s">
        <v>172</v>
      </c>
      <c r="I466" s="3" t="str">
        <f t="shared" si="21"/>
        <v>2024-11</v>
      </c>
      <c r="J466" s="1">
        <f t="shared" si="22"/>
        <v>45766</v>
      </c>
      <c r="K466" t="str">
        <f t="shared" si="23"/>
        <v>ACTIVE</v>
      </c>
    </row>
    <row r="467" spans="1:11">
      <c r="A467">
        <v>286</v>
      </c>
      <c r="B467" t="s">
        <v>78</v>
      </c>
      <c r="C467" s="1">
        <v>45301</v>
      </c>
      <c r="D467" s="2" t="s">
        <v>25</v>
      </c>
      <c r="E467" t="s">
        <v>30</v>
      </c>
      <c r="G467" s="3">
        <v>855</v>
      </c>
      <c r="H467" t="s">
        <v>174</v>
      </c>
      <c r="I467" s="3" t="str">
        <f t="shared" si="21"/>
        <v>2024-01</v>
      </c>
      <c r="J467" s="1">
        <f t="shared" si="22"/>
        <v>45821</v>
      </c>
      <c r="K467" t="str">
        <f t="shared" si="23"/>
        <v>ACTIVE</v>
      </c>
    </row>
    <row r="468" spans="1:11">
      <c r="A468">
        <v>1261</v>
      </c>
      <c r="B468" t="s">
        <v>42</v>
      </c>
      <c r="C468" s="1">
        <v>45477</v>
      </c>
      <c r="D468" s="2" t="s">
        <v>28</v>
      </c>
      <c r="E468" t="s">
        <v>30</v>
      </c>
      <c r="G468" s="3">
        <v>933</v>
      </c>
      <c r="H468" t="s">
        <v>176</v>
      </c>
      <c r="I468" s="3" t="str">
        <f t="shared" si="21"/>
        <v>2024-07</v>
      </c>
      <c r="J468" s="1">
        <f t="shared" si="22"/>
        <v>45803</v>
      </c>
      <c r="K468" t="str">
        <f t="shared" si="23"/>
        <v>ACTIVE</v>
      </c>
    </row>
    <row r="469" spans="1:11">
      <c r="A469">
        <v>331</v>
      </c>
      <c r="B469" t="s">
        <v>140</v>
      </c>
      <c r="C469" s="1">
        <v>45458</v>
      </c>
      <c r="D469" s="2" t="s">
        <v>23</v>
      </c>
      <c r="E469" t="s">
        <v>33</v>
      </c>
      <c r="G469" s="3">
        <v>2118</v>
      </c>
      <c r="H469" t="s">
        <v>172</v>
      </c>
      <c r="I469" s="3" t="str">
        <f t="shared" si="21"/>
        <v>2024-06</v>
      </c>
      <c r="J469" s="1">
        <f t="shared" si="22"/>
        <v>45812</v>
      </c>
      <c r="K469" t="str">
        <f t="shared" si="23"/>
        <v>ACTIVE</v>
      </c>
    </row>
    <row r="470" spans="1:11">
      <c r="A470">
        <v>1307</v>
      </c>
      <c r="B470" t="s">
        <v>123</v>
      </c>
      <c r="C470" s="1">
        <v>45536</v>
      </c>
      <c r="D470" s="2" t="s">
        <v>24</v>
      </c>
      <c r="E470" t="s">
        <v>31</v>
      </c>
      <c r="G470" s="3">
        <v>360</v>
      </c>
      <c r="H470" t="s">
        <v>174</v>
      </c>
      <c r="I470" s="3" t="str">
        <f t="shared" si="21"/>
        <v>2024-09</v>
      </c>
      <c r="J470" s="1">
        <f t="shared" si="22"/>
        <v>45772</v>
      </c>
      <c r="K470" t="str">
        <f t="shared" si="23"/>
        <v>ACTIVE</v>
      </c>
    </row>
    <row r="471" spans="1:11">
      <c r="A471">
        <v>1579</v>
      </c>
      <c r="B471" t="s">
        <v>104</v>
      </c>
      <c r="C471" s="1">
        <v>45635</v>
      </c>
      <c r="D471" s="2" t="s">
        <v>28</v>
      </c>
      <c r="E471" t="s">
        <v>34</v>
      </c>
      <c r="G471" s="3">
        <v>2405</v>
      </c>
      <c r="H471" t="s">
        <v>172</v>
      </c>
      <c r="I471" s="3" t="str">
        <f t="shared" si="21"/>
        <v>2024-12</v>
      </c>
      <c r="J471" s="1">
        <f t="shared" si="22"/>
        <v>45743</v>
      </c>
      <c r="K471" t="str">
        <f t="shared" si="23"/>
        <v>ACTIVE</v>
      </c>
    </row>
    <row r="472" spans="1:11">
      <c r="A472">
        <v>1127</v>
      </c>
      <c r="B472" t="s">
        <v>155</v>
      </c>
      <c r="C472" s="1">
        <v>45326</v>
      </c>
      <c r="D472" s="2" t="s">
        <v>25</v>
      </c>
      <c r="E472" t="s">
        <v>30</v>
      </c>
      <c r="G472" s="3">
        <v>5739</v>
      </c>
      <c r="H472" t="s">
        <v>176</v>
      </c>
      <c r="I472" s="3" t="str">
        <f t="shared" si="21"/>
        <v>2024-02</v>
      </c>
      <c r="J472" s="1">
        <f t="shared" si="22"/>
        <v>45698</v>
      </c>
      <c r="K472" t="str">
        <f t="shared" si="23"/>
        <v>LAPSED</v>
      </c>
    </row>
    <row r="473" spans="1:11">
      <c r="A473">
        <v>1466</v>
      </c>
      <c r="B473" t="s">
        <v>85</v>
      </c>
      <c r="C473" s="1">
        <v>45760</v>
      </c>
      <c r="D473" s="2" t="s">
        <v>26</v>
      </c>
      <c r="E473" t="s">
        <v>30</v>
      </c>
      <c r="G473" s="3">
        <v>4398</v>
      </c>
      <c r="H473" t="s">
        <v>176</v>
      </c>
      <c r="I473" s="3" t="str">
        <f t="shared" si="21"/>
        <v>2025-04</v>
      </c>
      <c r="J473" s="1">
        <f t="shared" si="22"/>
        <v>45826</v>
      </c>
      <c r="K473" t="str">
        <f t="shared" si="23"/>
        <v>ACTIVE</v>
      </c>
    </row>
    <row r="474" spans="1:11">
      <c r="A474">
        <v>554</v>
      </c>
      <c r="B474" t="s">
        <v>118</v>
      </c>
      <c r="C474" s="1">
        <v>45446</v>
      </c>
      <c r="D474" s="2" t="s">
        <v>28</v>
      </c>
      <c r="E474" t="s">
        <v>31</v>
      </c>
      <c r="G474" s="3">
        <v>1357</v>
      </c>
      <c r="H474" t="s">
        <v>172</v>
      </c>
      <c r="I474" s="3" t="str">
        <f t="shared" si="21"/>
        <v>2024-06</v>
      </c>
      <c r="J474" s="1">
        <f t="shared" si="22"/>
        <v>45830</v>
      </c>
      <c r="K474" t="str">
        <f t="shared" si="23"/>
        <v>ACTIVE</v>
      </c>
    </row>
    <row r="475" spans="1:11">
      <c r="A475">
        <v>729</v>
      </c>
      <c r="B475" t="s">
        <v>134</v>
      </c>
      <c r="C475" s="1">
        <v>45320</v>
      </c>
      <c r="D475" s="2" t="s">
        <v>27</v>
      </c>
      <c r="E475" t="s">
        <v>33</v>
      </c>
      <c r="G475" s="3">
        <v>615</v>
      </c>
      <c r="H475" t="s">
        <v>174</v>
      </c>
      <c r="I475" s="3" t="str">
        <f t="shared" si="21"/>
        <v>2024-01</v>
      </c>
      <c r="J475" s="1">
        <f t="shared" si="22"/>
        <v>45776</v>
      </c>
      <c r="K475" t="str">
        <f t="shared" si="23"/>
        <v>ACTIVE</v>
      </c>
    </row>
    <row r="476" spans="1:11">
      <c r="A476">
        <v>253</v>
      </c>
      <c r="B476" t="s">
        <v>49</v>
      </c>
      <c r="C476" s="1">
        <v>45463</v>
      </c>
      <c r="D476" s="2" t="s">
        <v>23</v>
      </c>
      <c r="E476" t="s">
        <v>34</v>
      </c>
      <c r="G476" s="3">
        <v>1834</v>
      </c>
      <c r="H476" t="s">
        <v>174</v>
      </c>
      <c r="I476" s="3" t="str">
        <f t="shared" si="21"/>
        <v>2024-06</v>
      </c>
      <c r="J476" s="1">
        <f t="shared" si="22"/>
        <v>45812</v>
      </c>
      <c r="K476" t="str">
        <f t="shared" si="23"/>
        <v>ACTIVE</v>
      </c>
    </row>
    <row r="477" spans="1:11">
      <c r="A477">
        <v>622</v>
      </c>
      <c r="B477" t="s">
        <v>71</v>
      </c>
      <c r="C477" s="1">
        <v>45600</v>
      </c>
      <c r="D477" s="2" t="s">
        <v>24</v>
      </c>
      <c r="E477" t="s">
        <v>34</v>
      </c>
      <c r="G477" s="3">
        <v>10320</v>
      </c>
      <c r="H477" t="s">
        <v>172</v>
      </c>
      <c r="I477" s="3" t="str">
        <f t="shared" si="21"/>
        <v>2024-11</v>
      </c>
      <c r="J477" s="1">
        <f t="shared" si="22"/>
        <v>45823</v>
      </c>
      <c r="K477" t="str">
        <f t="shared" si="23"/>
        <v>ACTIVE</v>
      </c>
    </row>
    <row r="478" spans="1:11">
      <c r="A478">
        <v>110</v>
      </c>
      <c r="B478" t="s">
        <v>84</v>
      </c>
      <c r="C478" s="1">
        <v>45624</v>
      </c>
      <c r="D478" s="2" t="s">
        <v>23</v>
      </c>
      <c r="E478" t="s">
        <v>35</v>
      </c>
      <c r="G478" s="3">
        <v>2454</v>
      </c>
      <c r="H478" t="s">
        <v>175</v>
      </c>
      <c r="I478" s="3" t="str">
        <f t="shared" si="21"/>
        <v>2024-11</v>
      </c>
      <c r="J478" s="1">
        <f t="shared" si="22"/>
        <v>45827</v>
      </c>
      <c r="K478" t="str">
        <f t="shared" si="23"/>
        <v>ACTIVE</v>
      </c>
    </row>
    <row r="479" spans="1:11">
      <c r="A479">
        <v>778</v>
      </c>
      <c r="B479" t="s">
        <v>86</v>
      </c>
      <c r="C479" s="1">
        <v>45532</v>
      </c>
      <c r="D479" s="2" t="s">
        <v>27</v>
      </c>
      <c r="E479" t="s">
        <v>31</v>
      </c>
      <c r="G479" s="3">
        <v>867</v>
      </c>
      <c r="H479" t="s">
        <v>175</v>
      </c>
      <c r="I479" s="3" t="str">
        <f t="shared" si="21"/>
        <v>2024-08</v>
      </c>
      <c r="J479" s="1">
        <f t="shared" si="22"/>
        <v>45819</v>
      </c>
      <c r="K479" t="str">
        <f t="shared" si="23"/>
        <v>ACTIVE</v>
      </c>
    </row>
    <row r="480" spans="1:11">
      <c r="A480">
        <v>1578</v>
      </c>
      <c r="B480" t="s">
        <v>61</v>
      </c>
      <c r="C480" s="1">
        <v>45467</v>
      </c>
      <c r="D480" s="2" t="s">
        <v>27</v>
      </c>
      <c r="E480" t="s">
        <v>30</v>
      </c>
      <c r="G480" s="3">
        <v>4656</v>
      </c>
      <c r="H480" t="s">
        <v>172</v>
      </c>
      <c r="I480" s="3" t="str">
        <f t="shared" si="21"/>
        <v>2024-06</v>
      </c>
      <c r="J480" s="1">
        <f t="shared" si="22"/>
        <v>45815</v>
      </c>
      <c r="K480" t="str">
        <f t="shared" si="23"/>
        <v>ACTIVE</v>
      </c>
    </row>
    <row r="481" spans="1:11">
      <c r="A481">
        <v>165</v>
      </c>
      <c r="B481" t="s">
        <v>80</v>
      </c>
      <c r="C481" s="1">
        <v>45522</v>
      </c>
      <c r="D481" s="2" t="s">
        <v>23</v>
      </c>
      <c r="E481" t="s">
        <v>31</v>
      </c>
      <c r="G481" s="3">
        <v>900</v>
      </c>
      <c r="H481" t="s">
        <v>175</v>
      </c>
      <c r="I481" s="3" t="str">
        <f t="shared" si="21"/>
        <v>2024-08</v>
      </c>
      <c r="J481" s="1">
        <f t="shared" si="22"/>
        <v>45788</v>
      </c>
      <c r="K481" t="str">
        <f t="shared" si="23"/>
        <v>ACTIVE</v>
      </c>
    </row>
    <row r="482" spans="1:11">
      <c r="A482">
        <v>1740</v>
      </c>
      <c r="B482" t="s">
        <v>125</v>
      </c>
      <c r="C482" s="1">
        <v>45560</v>
      </c>
      <c r="D482" s="2" t="s">
        <v>28</v>
      </c>
      <c r="E482" t="s">
        <v>33</v>
      </c>
      <c r="G482" s="3">
        <v>854</v>
      </c>
      <c r="H482" t="s">
        <v>173</v>
      </c>
      <c r="I482" s="3" t="str">
        <f t="shared" si="21"/>
        <v>2024-09</v>
      </c>
      <c r="J482" s="1">
        <f t="shared" si="22"/>
        <v>45784</v>
      </c>
      <c r="K482" t="str">
        <f t="shared" si="23"/>
        <v>ACTIVE</v>
      </c>
    </row>
    <row r="483" spans="1:11">
      <c r="A483">
        <v>761</v>
      </c>
      <c r="B483" t="s">
        <v>94</v>
      </c>
      <c r="C483" s="1">
        <v>45302</v>
      </c>
      <c r="D483" s="2" t="s">
        <v>28</v>
      </c>
      <c r="E483" t="s">
        <v>32</v>
      </c>
      <c r="G483" s="3">
        <v>864</v>
      </c>
      <c r="H483" t="s">
        <v>175</v>
      </c>
      <c r="I483" s="3" t="str">
        <f t="shared" si="21"/>
        <v>2024-01</v>
      </c>
      <c r="J483" s="1">
        <f t="shared" si="22"/>
        <v>45824</v>
      </c>
      <c r="K483" t="str">
        <f t="shared" si="23"/>
        <v>ACTIVE</v>
      </c>
    </row>
    <row r="484" spans="1:11">
      <c r="A484">
        <v>208</v>
      </c>
      <c r="B484" t="s">
        <v>114</v>
      </c>
      <c r="C484" s="1">
        <v>45471</v>
      </c>
      <c r="D484" s="2" t="s">
        <v>28</v>
      </c>
      <c r="E484" t="s">
        <v>35</v>
      </c>
      <c r="G484" s="3">
        <v>246</v>
      </c>
      <c r="H484" t="s">
        <v>174</v>
      </c>
      <c r="I484" s="3" t="str">
        <f t="shared" si="21"/>
        <v>2024-06</v>
      </c>
      <c r="J484" s="1">
        <f t="shared" si="22"/>
        <v>45815</v>
      </c>
      <c r="K484" t="str">
        <f t="shared" si="23"/>
        <v>ACTIVE</v>
      </c>
    </row>
    <row r="485" spans="1:11">
      <c r="A485">
        <v>152</v>
      </c>
      <c r="B485" t="s">
        <v>54</v>
      </c>
      <c r="C485" s="1">
        <v>45571</v>
      </c>
      <c r="D485" s="2" t="s">
        <v>24</v>
      </c>
      <c r="E485" t="s">
        <v>32</v>
      </c>
      <c r="G485" s="3">
        <v>823</v>
      </c>
      <c r="H485" t="s">
        <v>173</v>
      </c>
      <c r="I485" s="3" t="str">
        <f t="shared" si="21"/>
        <v>2024-10</v>
      </c>
      <c r="J485" s="1">
        <f t="shared" si="22"/>
        <v>45825</v>
      </c>
      <c r="K485" t="str">
        <f t="shared" si="23"/>
        <v>ACTIVE</v>
      </c>
    </row>
    <row r="486" spans="1:11">
      <c r="A486">
        <v>263</v>
      </c>
      <c r="B486" t="s">
        <v>51</v>
      </c>
      <c r="C486" s="1">
        <v>45339</v>
      </c>
      <c r="D486" s="2" t="s">
        <v>28</v>
      </c>
      <c r="E486" t="s">
        <v>34</v>
      </c>
      <c r="G486" s="3">
        <v>1172</v>
      </c>
      <c r="H486" t="s">
        <v>172</v>
      </c>
      <c r="I486" s="3" t="str">
        <f t="shared" si="21"/>
        <v>2024-02</v>
      </c>
      <c r="J486" s="1">
        <f t="shared" si="22"/>
        <v>45775</v>
      </c>
      <c r="K486" t="str">
        <f t="shared" si="23"/>
        <v>ACTIVE</v>
      </c>
    </row>
    <row r="487" spans="1:11">
      <c r="A487">
        <v>1512</v>
      </c>
      <c r="B487" t="s">
        <v>49</v>
      </c>
      <c r="C487" s="1">
        <v>45375</v>
      </c>
      <c r="D487" s="2" t="s">
        <v>27</v>
      </c>
      <c r="E487" t="s">
        <v>32</v>
      </c>
      <c r="G487" s="3">
        <v>976</v>
      </c>
      <c r="H487" t="s">
        <v>175</v>
      </c>
      <c r="I487" s="3" t="str">
        <f t="shared" si="21"/>
        <v>2024-03</v>
      </c>
      <c r="J487" s="1">
        <f t="shared" si="22"/>
        <v>45812</v>
      </c>
      <c r="K487" t="str">
        <f t="shared" si="23"/>
        <v>ACTIVE</v>
      </c>
    </row>
    <row r="488" spans="1:11">
      <c r="A488">
        <v>699</v>
      </c>
      <c r="B488" t="s">
        <v>64</v>
      </c>
      <c r="C488" s="1">
        <v>45319</v>
      </c>
      <c r="D488" s="2" t="s">
        <v>28</v>
      </c>
      <c r="E488" t="s">
        <v>30</v>
      </c>
      <c r="G488" s="3">
        <v>1590</v>
      </c>
      <c r="H488" t="s">
        <v>173</v>
      </c>
      <c r="I488" s="3" t="str">
        <f t="shared" si="21"/>
        <v>2024-01</v>
      </c>
      <c r="J488" s="1">
        <f t="shared" si="22"/>
        <v>45814</v>
      </c>
      <c r="K488" t="str">
        <f t="shared" si="23"/>
        <v>ACTIVE</v>
      </c>
    </row>
    <row r="489" spans="1:11">
      <c r="A489">
        <v>1034</v>
      </c>
      <c r="B489" t="s">
        <v>80</v>
      </c>
      <c r="C489" s="1">
        <v>45328</v>
      </c>
      <c r="D489" s="2" t="s">
        <v>25</v>
      </c>
      <c r="E489" t="s">
        <v>32</v>
      </c>
      <c r="G489" s="3">
        <v>1155</v>
      </c>
      <c r="H489" t="s">
        <v>173</v>
      </c>
      <c r="I489" s="3" t="str">
        <f t="shared" si="21"/>
        <v>2024-02</v>
      </c>
      <c r="J489" s="1">
        <f t="shared" si="22"/>
        <v>45788</v>
      </c>
      <c r="K489" t="str">
        <f t="shared" si="23"/>
        <v>ACTIVE</v>
      </c>
    </row>
    <row r="490" spans="1:11">
      <c r="A490">
        <v>515</v>
      </c>
      <c r="B490" t="s">
        <v>157</v>
      </c>
      <c r="C490" s="1">
        <v>45729</v>
      </c>
      <c r="D490" s="2" t="s">
        <v>24</v>
      </c>
      <c r="E490" t="s">
        <v>31</v>
      </c>
      <c r="G490" s="3">
        <v>10301</v>
      </c>
      <c r="H490" t="s">
        <v>175</v>
      </c>
      <c r="I490" s="3" t="str">
        <f t="shared" si="21"/>
        <v>2025-03</v>
      </c>
      <c r="J490" s="1">
        <f t="shared" si="22"/>
        <v>45729</v>
      </c>
      <c r="K490" t="str">
        <f t="shared" si="23"/>
        <v>LAPSED</v>
      </c>
    </row>
    <row r="491" spans="1:11">
      <c r="A491">
        <v>21</v>
      </c>
      <c r="B491" t="s">
        <v>95</v>
      </c>
      <c r="C491" s="1">
        <v>45577</v>
      </c>
      <c r="D491" s="2" t="s">
        <v>26</v>
      </c>
      <c r="E491" t="s">
        <v>34</v>
      </c>
      <c r="G491" s="3">
        <v>337</v>
      </c>
      <c r="H491" t="s">
        <v>175</v>
      </c>
      <c r="I491" s="3" t="str">
        <f t="shared" si="21"/>
        <v>2024-10</v>
      </c>
      <c r="J491" s="1">
        <f t="shared" si="22"/>
        <v>45797</v>
      </c>
      <c r="K491" t="str">
        <f t="shared" si="23"/>
        <v>ACTIVE</v>
      </c>
    </row>
    <row r="492" spans="1:11">
      <c r="A492">
        <v>1625</v>
      </c>
      <c r="B492" t="s">
        <v>43</v>
      </c>
      <c r="C492" s="1">
        <v>45469</v>
      </c>
      <c r="D492" s="2" t="s">
        <v>25</v>
      </c>
      <c r="E492" t="s">
        <v>31</v>
      </c>
      <c r="G492" s="3">
        <v>9956</v>
      </c>
      <c r="H492" t="s">
        <v>173</v>
      </c>
      <c r="I492" s="3" t="str">
        <f t="shared" si="21"/>
        <v>2024-06</v>
      </c>
      <c r="J492" s="1">
        <f t="shared" si="22"/>
        <v>45818</v>
      </c>
      <c r="K492" t="str">
        <f t="shared" si="23"/>
        <v>ACTIVE</v>
      </c>
    </row>
    <row r="493" spans="1:11">
      <c r="A493">
        <v>98</v>
      </c>
      <c r="B493" t="s">
        <v>129</v>
      </c>
      <c r="C493" s="1">
        <v>45436</v>
      </c>
      <c r="D493" s="2" t="s">
        <v>27</v>
      </c>
      <c r="E493" t="s">
        <v>30</v>
      </c>
      <c r="G493" s="3">
        <v>0</v>
      </c>
      <c r="H493" t="s">
        <v>175</v>
      </c>
      <c r="I493" s="3" t="str">
        <f t="shared" si="21"/>
        <v>2024-05</v>
      </c>
      <c r="J493" s="1">
        <f t="shared" si="22"/>
        <v>45812</v>
      </c>
      <c r="K493" t="str">
        <f t="shared" si="23"/>
        <v>ACTIVE</v>
      </c>
    </row>
    <row r="494" spans="1:11">
      <c r="A494">
        <v>1165</v>
      </c>
      <c r="B494" t="s">
        <v>159</v>
      </c>
      <c r="C494" s="1">
        <v>45405</v>
      </c>
      <c r="D494" s="2" t="s">
        <v>23</v>
      </c>
      <c r="E494" t="s">
        <v>31</v>
      </c>
      <c r="G494" s="3">
        <v>1347</v>
      </c>
      <c r="H494" t="s">
        <v>176</v>
      </c>
      <c r="I494" s="3" t="str">
        <f t="shared" si="21"/>
        <v>2024-04</v>
      </c>
      <c r="J494" s="1">
        <f t="shared" si="22"/>
        <v>45713</v>
      </c>
      <c r="K494" t="str">
        <f t="shared" si="23"/>
        <v>LAPSED</v>
      </c>
    </row>
    <row r="495" spans="1:11">
      <c r="A495">
        <v>973</v>
      </c>
      <c r="B495" t="s">
        <v>108</v>
      </c>
      <c r="C495" s="1">
        <v>45368</v>
      </c>
      <c r="D495" s="2" t="s">
        <v>28</v>
      </c>
      <c r="E495" t="s">
        <v>30</v>
      </c>
      <c r="G495" s="3">
        <v>695</v>
      </c>
      <c r="H495" t="s">
        <v>174</v>
      </c>
      <c r="I495" s="3" t="str">
        <f t="shared" si="21"/>
        <v>2024-03</v>
      </c>
      <c r="J495" s="1">
        <f t="shared" si="22"/>
        <v>45826</v>
      </c>
      <c r="K495" t="str">
        <f t="shared" si="23"/>
        <v>ACTIVE</v>
      </c>
    </row>
    <row r="496" spans="1:11">
      <c r="A496">
        <v>1488</v>
      </c>
      <c r="B496" t="s">
        <v>116</v>
      </c>
      <c r="C496" s="1">
        <v>45813</v>
      </c>
      <c r="D496" s="2" t="s">
        <v>27</v>
      </c>
      <c r="E496" t="s">
        <v>34</v>
      </c>
      <c r="G496" s="3">
        <v>2721</v>
      </c>
      <c r="H496" t="s">
        <v>175</v>
      </c>
      <c r="I496" s="3" t="str">
        <f t="shared" si="21"/>
        <v>2025-06</v>
      </c>
      <c r="J496" s="1">
        <f t="shared" si="22"/>
        <v>45829</v>
      </c>
      <c r="K496" t="str">
        <f t="shared" si="23"/>
        <v>ACTIVE</v>
      </c>
    </row>
    <row r="497" spans="1:11">
      <c r="A497">
        <v>140</v>
      </c>
      <c r="B497" t="s">
        <v>58</v>
      </c>
      <c r="C497" s="1">
        <v>45720</v>
      </c>
      <c r="D497" s="2" t="s">
        <v>27</v>
      </c>
      <c r="E497" t="s">
        <v>35</v>
      </c>
      <c r="G497" s="3">
        <v>1724</v>
      </c>
      <c r="H497" t="s">
        <v>176</v>
      </c>
      <c r="I497" s="3" t="str">
        <f t="shared" si="21"/>
        <v>2025-03</v>
      </c>
      <c r="J497" s="1">
        <f t="shared" si="22"/>
        <v>45752</v>
      </c>
      <c r="K497" t="str">
        <f t="shared" si="23"/>
        <v>ACTIVE</v>
      </c>
    </row>
    <row r="498" spans="1:11">
      <c r="A498">
        <v>439</v>
      </c>
      <c r="B498" t="s">
        <v>80</v>
      </c>
      <c r="C498" s="1">
        <v>45416</v>
      </c>
      <c r="D498" s="2" t="s">
        <v>23</v>
      </c>
      <c r="E498" t="s">
        <v>33</v>
      </c>
      <c r="G498" s="3">
        <v>8698</v>
      </c>
      <c r="H498" t="s">
        <v>174</v>
      </c>
      <c r="I498" s="3" t="str">
        <f t="shared" si="21"/>
        <v>2024-05</v>
      </c>
      <c r="J498" s="1">
        <f t="shared" si="22"/>
        <v>45788</v>
      </c>
      <c r="K498" t="str">
        <f t="shared" si="23"/>
        <v>ACTIVE</v>
      </c>
    </row>
    <row r="499" spans="1:11">
      <c r="A499">
        <v>649</v>
      </c>
      <c r="B499" t="s">
        <v>63</v>
      </c>
      <c r="C499" s="1">
        <v>45738</v>
      </c>
      <c r="D499" s="2" t="s">
        <v>28</v>
      </c>
      <c r="E499" t="s">
        <v>30</v>
      </c>
      <c r="G499" s="3">
        <v>1136</v>
      </c>
      <c r="H499" t="s">
        <v>175</v>
      </c>
      <c r="I499" s="3" t="str">
        <f t="shared" si="21"/>
        <v>2025-03</v>
      </c>
      <c r="J499" s="1">
        <f t="shared" si="22"/>
        <v>45805</v>
      </c>
      <c r="K499" t="str">
        <f t="shared" si="23"/>
        <v>ACTIVE</v>
      </c>
    </row>
    <row r="500" spans="1:11">
      <c r="A500">
        <v>747</v>
      </c>
      <c r="B500" t="s">
        <v>157</v>
      </c>
      <c r="C500" s="1">
        <v>45294</v>
      </c>
      <c r="D500" s="2" t="s">
        <v>28</v>
      </c>
      <c r="E500" t="s">
        <v>34</v>
      </c>
      <c r="G500" s="3">
        <v>535</v>
      </c>
      <c r="H500" t="s">
        <v>173</v>
      </c>
      <c r="I500" s="3" t="str">
        <f t="shared" si="21"/>
        <v>2024-01</v>
      </c>
      <c r="J500" s="1">
        <f t="shared" si="22"/>
        <v>45729</v>
      </c>
      <c r="K500" t="str">
        <f t="shared" si="23"/>
        <v>LAPSED</v>
      </c>
    </row>
    <row r="501" spans="1:11">
      <c r="A501">
        <v>1688</v>
      </c>
      <c r="B501" t="s">
        <v>66</v>
      </c>
      <c r="C501" s="1">
        <v>45355</v>
      </c>
      <c r="D501" s="2" t="s">
        <v>23</v>
      </c>
      <c r="E501" t="s">
        <v>35</v>
      </c>
      <c r="G501" s="3">
        <v>11230</v>
      </c>
      <c r="H501" t="s">
        <v>172</v>
      </c>
      <c r="I501" s="3" t="str">
        <f t="shared" si="21"/>
        <v>2024-03</v>
      </c>
      <c r="J501" s="1">
        <f t="shared" si="22"/>
        <v>45802</v>
      </c>
      <c r="K501" t="str">
        <f t="shared" si="23"/>
        <v>ACTIVE</v>
      </c>
    </row>
    <row r="502" spans="1:11">
      <c r="A502">
        <v>1489</v>
      </c>
      <c r="B502" t="s">
        <v>128</v>
      </c>
      <c r="C502" s="1">
        <v>45609</v>
      </c>
      <c r="D502" s="2" t="s">
        <v>28</v>
      </c>
      <c r="E502" t="s">
        <v>34</v>
      </c>
      <c r="G502" s="3">
        <v>1027</v>
      </c>
      <c r="H502" t="s">
        <v>176</v>
      </c>
      <c r="I502" s="3" t="str">
        <f t="shared" si="21"/>
        <v>2024-11</v>
      </c>
      <c r="J502" s="1">
        <f t="shared" si="22"/>
        <v>45812</v>
      </c>
      <c r="K502" t="str">
        <f t="shared" si="23"/>
        <v>ACTIVE</v>
      </c>
    </row>
    <row r="503" spans="1:11">
      <c r="A503">
        <v>276</v>
      </c>
      <c r="B503" t="s">
        <v>86</v>
      </c>
      <c r="C503" s="1">
        <v>45626</v>
      </c>
      <c r="D503" s="2" t="s">
        <v>23</v>
      </c>
      <c r="E503" t="s">
        <v>30</v>
      </c>
      <c r="G503" s="3">
        <v>924</v>
      </c>
      <c r="H503" t="s">
        <v>173</v>
      </c>
      <c r="I503" s="3" t="str">
        <f t="shared" si="21"/>
        <v>2024-11</v>
      </c>
      <c r="J503" s="1">
        <f t="shared" si="22"/>
        <v>45819</v>
      </c>
      <c r="K503" t="str">
        <f t="shared" si="23"/>
        <v>ACTIVE</v>
      </c>
    </row>
    <row r="504" spans="1:11">
      <c r="A504">
        <v>957</v>
      </c>
      <c r="B504" t="s">
        <v>66</v>
      </c>
      <c r="C504" s="1">
        <v>45739</v>
      </c>
      <c r="D504" s="2" t="s">
        <v>25</v>
      </c>
      <c r="E504" t="s">
        <v>30</v>
      </c>
      <c r="G504" s="3">
        <v>1503</v>
      </c>
      <c r="H504" t="s">
        <v>175</v>
      </c>
      <c r="I504" s="3" t="str">
        <f t="shared" si="21"/>
        <v>2025-03</v>
      </c>
      <c r="J504" s="1">
        <f t="shared" si="22"/>
        <v>45802</v>
      </c>
      <c r="K504" t="str">
        <f t="shared" si="23"/>
        <v>ACTIVE</v>
      </c>
    </row>
    <row r="505" spans="1:11">
      <c r="A505">
        <v>1009</v>
      </c>
      <c r="B505" t="s">
        <v>88</v>
      </c>
      <c r="C505" s="1">
        <v>45722</v>
      </c>
      <c r="D505" s="2" t="s">
        <v>28</v>
      </c>
      <c r="E505" t="s">
        <v>34</v>
      </c>
      <c r="G505" s="3">
        <v>8106</v>
      </c>
      <c r="H505" t="s">
        <v>173</v>
      </c>
      <c r="I505" s="3" t="str">
        <f t="shared" si="21"/>
        <v>2025-03</v>
      </c>
      <c r="J505" s="1">
        <f t="shared" si="22"/>
        <v>45763</v>
      </c>
      <c r="K505" t="str">
        <f t="shared" si="23"/>
        <v>ACTIVE</v>
      </c>
    </row>
    <row r="506" spans="1:11">
      <c r="A506">
        <v>758</v>
      </c>
      <c r="B506" t="s">
        <v>101</v>
      </c>
      <c r="C506" s="1">
        <v>45633</v>
      </c>
      <c r="D506" s="2" t="s">
        <v>27</v>
      </c>
      <c r="E506" t="s">
        <v>34</v>
      </c>
      <c r="G506" s="3">
        <v>332</v>
      </c>
      <c r="H506" t="s">
        <v>173</v>
      </c>
      <c r="I506" s="3" t="str">
        <f t="shared" si="21"/>
        <v>2024-12</v>
      </c>
      <c r="J506" s="1">
        <f t="shared" si="22"/>
        <v>45823</v>
      </c>
      <c r="K506" t="str">
        <f t="shared" si="23"/>
        <v>ACTIVE</v>
      </c>
    </row>
    <row r="507" spans="1:11">
      <c r="A507">
        <v>214</v>
      </c>
      <c r="B507" t="s">
        <v>84</v>
      </c>
      <c r="C507" s="1">
        <v>45581</v>
      </c>
      <c r="D507" s="2" t="s">
        <v>28</v>
      </c>
      <c r="E507" t="s">
        <v>35</v>
      </c>
      <c r="G507" s="3">
        <v>4617</v>
      </c>
      <c r="H507" t="s">
        <v>174</v>
      </c>
      <c r="I507" s="3" t="str">
        <f t="shared" si="21"/>
        <v>2024-10</v>
      </c>
      <c r="J507" s="1">
        <f t="shared" si="22"/>
        <v>45827</v>
      </c>
      <c r="K507" t="str">
        <f t="shared" si="23"/>
        <v>ACTIVE</v>
      </c>
    </row>
    <row r="508" spans="1:11">
      <c r="A508">
        <v>1258</v>
      </c>
      <c r="B508" t="s">
        <v>154</v>
      </c>
      <c r="C508" s="1">
        <v>45697</v>
      </c>
      <c r="D508" s="2" t="s">
        <v>28</v>
      </c>
      <c r="E508" t="s">
        <v>31</v>
      </c>
      <c r="G508" s="3">
        <v>10789</v>
      </c>
      <c r="H508" t="s">
        <v>174</v>
      </c>
      <c r="I508" s="3" t="str">
        <f t="shared" si="21"/>
        <v>2025-02</v>
      </c>
      <c r="J508" s="1">
        <f t="shared" si="22"/>
        <v>45725</v>
      </c>
      <c r="K508" t="str">
        <f t="shared" si="23"/>
        <v>LAPSED</v>
      </c>
    </row>
    <row r="509" spans="1:11">
      <c r="A509">
        <v>359</v>
      </c>
      <c r="B509" t="s">
        <v>70</v>
      </c>
      <c r="C509" s="1">
        <v>45356</v>
      </c>
      <c r="D509" s="2" t="s">
        <v>24</v>
      </c>
      <c r="E509" t="s">
        <v>34</v>
      </c>
      <c r="G509" s="3">
        <v>11070</v>
      </c>
      <c r="H509" t="s">
        <v>175</v>
      </c>
      <c r="I509" s="3" t="str">
        <f t="shared" si="21"/>
        <v>2024-03</v>
      </c>
      <c r="J509" s="1">
        <f t="shared" si="22"/>
        <v>45829</v>
      </c>
      <c r="K509" t="str">
        <f t="shared" si="23"/>
        <v>ACTIVE</v>
      </c>
    </row>
    <row r="510" spans="1:11">
      <c r="A510">
        <v>1309</v>
      </c>
      <c r="B510" t="s">
        <v>84</v>
      </c>
      <c r="C510" s="1">
        <v>45773</v>
      </c>
      <c r="D510" s="2" t="s">
        <v>28</v>
      </c>
      <c r="E510" t="s">
        <v>34</v>
      </c>
      <c r="G510" s="3">
        <v>2697</v>
      </c>
      <c r="H510" t="s">
        <v>174</v>
      </c>
      <c r="I510" s="3" t="str">
        <f t="shared" si="21"/>
        <v>2025-04</v>
      </c>
      <c r="J510" s="1">
        <f t="shared" si="22"/>
        <v>45827</v>
      </c>
      <c r="K510" t="str">
        <f t="shared" si="23"/>
        <v>ACTIVE</v>
      </c>
    </row>
    <row r="511" spans="1:11">
      <c r="A511">
        <v>611</v>
      </c>
      <c r="B511" t="s">
        <v>63</v>
      </c>
      <c r="C511" s="1">
        <v>45576</v>
      </c>
      <c r="D511" s="2" t="s">
        <v>25</v>
      </c>
      <c r="E511" t="s">
        <v>34</v>
      </c>
      <c r="G511" s="3">
        <v>11398</v>
      </c>
      <c r="H511" t="s">
        <v>176</v>
      </c>
      <c r="I511" s="3" t="str">
        <f t="shared" si="21"/>
        <v>2024-10</v>
      </c>
      <c r="J511" s="1">
        <f t="shared" si="22"/>
        <v>45805</v>
      </c>
      <c r="K511" t="str">
        <f t="shared" si="23"/>
        <v>ACTIVE</v>
      </c>
    </row>
    <row r="512" spans="1:11">
      <c r="A512">
        <v>129</v>
      </c>
      <c r="B512" t="s">
        <v>93</v>
      </c>
      <c r="C512" s="1">
        <v>45764</v>
      </c>
      <c r="D512" s="2" t="s">
        <v>25</v>
      </c>
      <c r="E512" t="s">
        <v>34</v>
      </c>
      <c r="G512" s="3">
        <v>5663</v>
      </c>
      <c r="H512" t="s">
        <v>176</v>
      </c>
      <c r="I512" s="3" t="str">
        <f t="shared" si="21"/>
        <v>2025-04</v>
      </c>
      <c r="J512" s="1">
        <f t="shared" si="22"/>
        <v>45830</v>
      </c>
      <c r="K512" t="str">
        <f t="shared" si="23"/>
        <v>ACTIVE</v>
      </c>
    </row>
    <row r="513" spans="1:11">
      <c r="A513">
        <v>1229</v>
      </c>
      <c r="B513" t="s">
        <v>138</v>
      </c>
      <c r="C513" s="1">
        <v>45523</v>
      </c>
      <c r="D513" s="2" t="s">
        <v>27</v>
      </c>
      <c r="E513" t="s">
        <v>35</v>
      </c>
      <c r="G513" s="3">
        <v>857</v>
      </c>
      <c r="H513" t="s">
        <v>174</v>
      </c>
      <c r="I513" s="3" t="str">
        <f t="shared" si="21"/>
        <v>2024-08</v>
      </c>
      <c r="J513" s="1">
        <f t="shared" si="22"/>
        <v>45798</v>
      </c>
      <c r="K513" t="str">
        <f t="shared" si="23"/>
        <v>ACTIVE</v>
      </c>
    </row>
    <row r="514" spans="1:11">
      <c r="A514">
        <v>1432</v>
      </c>
      <c r="B514" t="s">
        <v>119</v>
      </c>
      <c r="C514" s="1">
        <v>45373</v>
      </c>
      <c r="D514" s="2" t="s">
        <v>28</v>
      </c>
      <c r="E514" t="s">
        <v>31</v>
      </c>
      <c r="G514" s="3">
        <v>5701</v>
      </c>
      <c r="H514" t="s">
        <v>174</v>
      </c>
      <c r="I514" s="3" t="str">
        <f t="shared" si="21"/>
        <v>2024-03</v>
      </c>
      <c r="J514" s="1">
        <f t="shared" si="22"/>
        <v>45806</v>
      </c>
      <c r="K514" t="str">
        <f t="shared" si="23"/>
        <v>ACTIVE</v>
      </c>
    </row>
    <row r="515" spans="1:11">
      <c r="A515">
        <v>1481</v>
      </c>
      <c r="B515" t="s">
        <v>125</v>
      </c>
      <c r="C515" s="1">
        <v>45427</v>
      </c>
      <c r="D515" s="2" t="s">
        <v>25</v>
      </c>
      <c r="E515" t="s">
        <v>33</v>
      </c>
      <c r="G515" s="3">
        <v>2196</v>
      </c>
      <c r="H515" t="s">
        <v>176</v>
      </c>
      <c r="I515" s="3" t="str">
        <f t="shared" ref="I515:I578" si="24">TEXT(C515, "yyyy-mm")</f>
        <v>2024-05</v>
      </c>
      <c r="J515" s="1">
        <f t="shared" ref="J515:J578" si="25">_xlfn.MAXIFS(C:C, B:B, B515)</f>
        <v>45784</v>
      </c>
      <c r="K515" t="str">
        <f t="shared" ref="K515:K578" si="26">IF($L$3-J515&gt;90, "LAPSED","ACTIVE")</f>
        <v>ACTIVE</v>
      </c>
    </row>
    <row r="516" spans="1:11">
      <c r="A516">
        <v>1702</v>
      </c>
      <c r="B516" t="s">
        <v>83</v>
      </c>
      <c r="C516" s="1">
        <v>45464</v>
      </c>
      <c r="D516" s="2" t="s">
        <v>24</v>
      </c>
      <c r="E516" t="s">
        <v>35</v>
      </c>
      <c r="G516" s="3">
        <v>1386</v>
      </c>
      <c r="H516" t="s">
        <v>176</v>
      </c>
      <c r="I516" s="3" t="str">
        <f t="shared" si="24"/>
        <v>2024-06</v>
      </c>
      <c r="J516" s="1">
        <f t="shared" si="25"/>
        <v>45816</v>
      </c>
      <c r="K516" t="str">
        <f t="shared" si="26"/>
        <v>ACTIVE</v>
      </c>
    </row>
    <row r="517" spans="1:11">
      <c r="A517">
        <v>265</v>
      </c>
      <c r="B517" t="s">
        <v>114</v>
      </c>
      <c r="C517" s="1">
        <v>45697</v>
      </c>
      <c r="D517" s="2" t="s">
        <v>24</v>
      </c>
      <c r="E517" t="s">
        <v>30</v>
      </c>
      <c r="G517" s="3">
        <v>1943</v>
      </c>
      <c r="H517" t="s">
        <v>176</v>
      </c>
      <c r="I517" s="3" t="str">
        <f t="shared" si="24"/>
        <v>2025-02</v>
      </c>
      <c r="J517" s="1">
        <f t="shared" si="25"/>
        <v>45815</v>
      </c>
      <c r="K517" t="str">
        <f t="shared" si="26"/>
        <v>ACTIVE</v>
      </c>
    </row>
    <row r="518" spans="1:11">
      <c r="A518">
        <v>803</v>
      </c>
      <c r="B518" t="s">
        <v>147</v>
      </c>
      <c r="C518" s="1">
        <v>45675</v>
      </c>
      <c r="D518" s="2" t="s">
        <v>27</v>
      </c>
      <c r="E518" t="s">
        <v>33</v>
      </c>
      <c r="G518" s="3">
        <v>806</v>
      </c>
      <c r="H518" t="s">
        <v>176</v>
      </c>
      <c r="I518" s="3" t="str">
        <f t="shared" si="24"/>
        <v>2025-01</v>
      </c>
      <c r="J518" s="1">
        <f t="shared" si="25"/>
        <v>45752</v>
      </c>
      <c r="K518" t="str">
        <f t="shared" si="26"/>
        <v>ACTIVE</v>
      </c>
    </row>
    <row r="519" spans="1:11">
      <c r="A519">
        <v>763</v>
      </c>
      <c r="B519" t="s">
        <v>115</v>
      </c>
      <c r="C519" s="1">
        <v>45421</v>
      </c>
      <c r="D519" s="2" t="s">
        <v>23</v>
      </c>
      <c r="E519" t="s">
        <v>31</v>
      </c>
      <c r="G519" s="3">
        <v>4842</v>
      </c>
      <c r="H519" t="s">
        <v>175</v>
      </c>
      <c r="I519" s="3" t="str">
        <f t="shared" si="24"/>
        <v>2024-05</v>
      </c>
      <c r="J519" s="1">
        <f t="shared" si="25"/>
        <v>45810</v>
      </c>
      <c r="K519" t="str">
        <f t="shared" si="26"/>
        <v>ACTIVE</v>
      </c>
    </row>
    <row r="520" spans="1:11">
      <c r="A520">
        <v>1437</v>
      </c>
      <c r="B520" t="s">
        <v>91</v>
      </c>
      <c r="C520" s="1">
        <v>45350</v>
      </c>
      <c r="D520" s="2" t="s">
        <v>28</v>
      </c>
      <c r="E520" t="s">
        <v>32</v>
      </c>
      <c r="G520" s="3">
        <v>1449</v>
      </c>
      <c r="H520" t="s">
        <v>176</v>
      </c>
      <c r="I520" s="3" t="str">
        <f t="shared" si="24"/>
        <v>2024-02</v>
      </c>
      <c r="J520" s="1">
        <f t="shared" si="25"/>
        <v>45785</v>
      </c>
      <c r="K520" t="str">
        <f t="shared" si="26"/>
        <v>ACTIVE</v>
      </c>
    </row>
    <row r="521" spans="1:11">
      <c r="A521">
        <v>499</v>
      </c>
      <c r="B521" t="s">
        <v>149</v>
      </c>
      <c r="C521" s="1">
        <v>45307</v>
      </c>
      <c r="D521" s="2" t="s">
        <v>24</v>
      </c>
      <c r="E521" t="s">
        <v>32</v>
      </c>
      <c r="G521" s="3">
        <v>2194</v>
      </c>
      <c r="H521" t="s">
        <v>172</v>
      </c>
      <c r="I521" s="3" t="str">
        <f t="shared" si="24"/>
        <v>2024-01</v>
      </c>
      <c r="J521" s="1">
        <f t="shared" si="25"/>
        <v>45795</v>
      </c>
      <c r="K521" t="str">
        <f t="shared" si="26"/>
        <v>ACTIVE</v>
      </c>
    </row>
    <row r="522" spans="1:11">
      <c r="A522">
        <v>1206</v>
      </c>
      <c r="B522" t="s">
        <v>90</v>
      </c>
      <c r="C522" s="1">
        <v>45459</v>
      </c>
      <c r="D522" s="2" t="s">
        <v>24</v>
      </c>
      <c r="E522" t="s">
        <v>33</v>
      </c>
      <c r="G522" s="3">
        <v>2218</v>
      </c>
      <c r="H522" t="s">
        <v>176</v>
      </c>
      <c r="I522" s="3" t="str">
        <f t="shared" si="24"/>
        <v>2024-06</v>
      </c>
      <c r="J522" s="1">
        <f t="shared" si="25"/>
        <v>45788</v>
      </c>
      <c r="K522" t="str">
        <f t="shared" si="26"/>
        <v>ACTIVE</v>
      </c>
    </row>
    <row r="523" spans="1:11">
      <c r="A523">
        <v>1502</v>
      </c>
      <c r="B523" t="s">
        <v>103</v>
      </c>
      <c r="C523" s="1">
        <v>45327</v>
      </c>
      <c r="D523" s="2" t="s">
        <v>27</v>
      </c>
      <c r="E523" t="s">
        <v>30</v>
      </c>
      <c r="G523" s="3">
        <v>633</v>
      </c>
      <c r="H523" t="s">
        <v>172</v>
      </c>
      <c r="I523" s="3" t="str">
        <f t="shared" si="24"/>
        <v>2024-02</v>
      </c>
      <c r="J523" s="1">
        <f t="shared" si="25"/>
        <v>45821</v>
      </c>
      <c r="K523" t="str">
        <f t="shared" si="26"/>
        <v>ACTIVE</v>
      </c>
    </row>
    <row r="524" spans="1:11">
      <c r="A524">
        <v>732</v>
      </c>
      <c r="B524" t="s">
        <v>85</v>
      </c>
      <c r="C524" s="1">
        <v>45711</v>
      </c>
      <c r="D524" s="2" t="s">
        <v>27</v>
      </c>
      <c r="E524" t="s">
        <v>32</v>
      </c>
      <c r="G524" s="3">
        <v>5082</v>
      </c>
      <c r="H524" t="s">
        <v>173</v>
      </c>
      <c r="I524" s="3" t="str">
        <f t="shared" si="24"/>
        <v>2025-02</v>
      </c>
      <c r="J524" s="1">
        <f t="shared" si="25"/>
        <v>45826</v>
      </c>
      <c r="K524" t="str">
        <f t="shared" si="26"/>
        <v>ACTIVE</v>
      </c>
    </row>
    <row r="525" spans="1:11">
      <c r="A525">
        <v>433</v>
      </c>
      <c r="B525" t="s">
        <v>94</v>
      </c>
      <c r="C525" s="1">
        <v>45470</v>
      </c>
      <c r="D525" s="2" t="s">
        <v>25</v>
      </c>
      <c r="E525" t="s">
        <v>30</v>
      </c>
      <c r="G525" s="3">
        <v>9840</v>
      </c>
      <c r="H525" t="s">
        <v>176</v>
      </c>
      <c r="I525" s="3" t="str">
        <f t="shared" si="24"/>
        <v>2024-06</v>
      </c>
      <c r="J525" s="1">
        <f t="shared" si="25"/>
        <v>45824</v>
      </c>
      <c r="K525" t="str">
        <f t="shared" si="26"/>
        <v>ACTIVE</v>
      </c>
    </row>
    <row r="526" spans="1:11">
      <c r="A526">
        <v>1048</v>
      </c>
      <c r="B526" t="s">
        <v>70</v>
      </c>
      <c r="C526" s="1">
        <v>45823</v>
      </c>
      <c r="D526" s="2" t="s">
        <v>27</v>
      </c>
      <c r="E526" t="s">
        <v>32</v>
      </c>
      <c r="G526" s="3">
        <v>329</v>
      </c>
      <c r="H526" t="s">
        <v>172</v>
      </c>
      <c r="I526" s="3" t="str">
        <f t="shared" si="24"/>
        <v>2025-06</v>
      </c>
      <c r="J526" s="1">
        <f t="shared" si="25"/>
        <v>45829</v>
      </c>
      <c r="K526" t="str">
        <f t="shared" si="26"/>
        <v>ACTIVE</v>
      </c>
    </row>
    <row r="527" spans="1:11">
      <c r="A527">
        <v>982</v>
      </c>
      <c r="B527" t="s">
        <v>65</v>
      </c>
      <c r="C527" s="1">
        <v>45786</v>
      </c>
      <c r="D527" s="2" t="s">
        <v>25</v>
      </c>
      <c r="E527" t="s">
        <v>31</v>
      </c>
      <c r="G527" s="3">
        <v>2711</v>
      </c>
      <c r="H527" t="s">
        <v>174</v>
      </c>
      <c r="I527" s="3" t="str">
        <f t="shared" si="24"/>
        <v>2025-05</v>
      </c>
      <c r="J527" s="1">
        <f t="shared" si="25"/>
        <v>45813</v>
      </c>
      <c r="K527" t="str">
        <f t="shared" si="26"/>
        <v>ACTIVE</v>
      </c>
    </row>
    <row r="528" spans="1:11">
      <c r="A528">
        <v>69</v>
      </c>
      <c r="B528" t="s">
        <v>135</v>
      </c>
      <c r="C528" s="1">
        <v>45444</v>
      </c>
      <c r="D528" s="2" t="s">
        <v>23</v>
      </c>
      <c r="E528" t="s">
        <v>31</v>
      </c>
      <c r="G528" s="3">
        <v>1198</v>
      </c>
      <c r="H528" t="s">
        <v>176</v>
      </c>
      <c r="I528" s="3" t="str">
        <f t="shared" si="24"/>
        <v>2024-06</v>
      </c>
      <c r="J528" s="1">
        <f t="shared" si="25"/>
        <v>45785</v>
      </c>
      <c r="K528" t="str">
        <f t="shared" si="26"/>
        <v>ACTIVE</v>
      </c>
    </row>
    <row r="529" spans="1:11">
      <c r="A529">
        <v>659</v>
      </c>
      <c r="B529" t="s">
        <v>69</v>
      </c>
      <c r="C529" s="1">
        <v>45829</v>
      </c>
      <c r="D529" s="2" t="s">
        <v>28</v>
      </c>
      <c r="E529" t="s">
        <v>34</v>
      </c>
      <c r="G529" s="3">
        <v>2080</v>
      </c>
      <c r="H529" t="s">
        <v>174</v>
      </c>
      <c r="I529" s="3" t="str">
        <f t="shared" si="24"/>
        <v>2025-06</v>
      </c>
      <c r="J529" s="1">
        <f t="shared" si="25"/>
        <v>45829</v>
      </c>
      <c r="K529" t="str">
        <f t="shared" si="26"/>
        <v>ACTIVE</v>
      </c>
    </row>
    <row r="530" spans="1:11">
      <c r="A530">
        <v>949</v>
      </c>
      <c r="B530" t="s">
        <v>75</v>
      </c>
      <c r="C530" s="1">
        <v>45308</v>
      </c>
      <c r="D530" s="2" t="s">
        <v>24</v>
      </c>
      <c r="E530" t="s">
        <v>35</v>
      </c>
      <c r="G530" s="3">
        <v>1080</v>
      </c>
      <c r="H530" t="s">
        <v>173</v>
      </c>
      <c r="I530" s="3" t="str">
        <f t="shared" si="24"/>
        <v>2024-01</v>
      </c>
      <c r="J530" s="1">
        <f t="shared" si="25"/>
        <v>45772</v>
      </c>
      <c r="K530" t="str">
        <f t="shared" si="26"/>
        <v>ACTIVE</v>
      </c>
    </row>
    <row r="531" spans="1:11">
      <c r="A531">
        <v>1011</v>
      </c>
      <c r="B531" t="s">
        <v>135</v>
      </c>
      <c r="C531" s="1">
        <v>45765</v>
      </c>
      <c r="D531" s="2" t="s">
        <v>23</v>
      </c>
      <c r="E531" t="s">
        <v>32</v>
      </c>
      <c r="G531" s="3">
        <v>417</v>
      </c>
      <c r="H531" t="s">
        <v>174</v>
      </c>
      <c r="I531" s="3" t="str">
        <f t="shared" si="24"/>
        <v>2025-04</v>
      </c>
      <c r="J531" s="1">
        <f t="shared" si="25"/>
        <v>45785</v>
      </c>
      <c r="K531" t="str">
        <f t="shared" si="26"/>
        <v>ACTIVE</v>
      </c>
    </row>
    <row r="532" spans="1:11">
      <c r="A532">
        <v>718</v>
      </c>
      <c r="B532" t="s">
        <v>123</v>
      </c>
      <c r="C532" s="1">
        <v>45442</v>
      </c>
      <c r="D532" s="2" t="s">
        <v>28</v>
      </c>
      <c r="E532" t="s">
        <v>32</v>
      </c>
      <c r="G532" s="3">
        <v>2310</v>
      </c>
      <c r="H532" t="s">
        <v>175</v>
      </c>
      <c r="I532" s="3" t="str">
        <f t="shared" si="24"/>
        <v>2024-05</v>
      </c>
      <c r="J532" s="1">
        <f t="shared" si="25"/>
        <v>45772</v>
      </c>
      <c r="K532" t="str">
        <f t="shared" si="26"/>
        <v>ACTIVE</v>
      </c>
    </row>
    <row r="533" spans="1:11">
      <c r="A533">
        <v>384</v>
      </c>
      <c r="B533" t="s">
        <v>42</v>
      </c>
      <c r="C533" s="1">
        <v>45581</v>
      </c>
      <c r="D533" s="2" t="s">
        <v>23</v>
      </c>
      <c r="E533" t="s">
        <v>31</v>
      </c>
      <c r="G533" s="3">
        <v>11211</v>
      </c>
      <c r="H533" t="s">
        <v>173</v>
      </c>
      <c r="I533" s="3" t="str">
        <f t="shared" si="24"/>
        <v>2024-10</v>
      </c>
      <c r="J533" s="1">
        <f t="shared" si="25"/>
        <v>45803</v>
      </c>
      <c r="K533" t="str">
        <f t="shared" si="26"/>
        <v>ACTIVE</v>
      </c>
    </row>
    <row r="534" spans="1:11">
      <c r="A534">
        <v>1699</v>
      </c>
      <c r="B534" t="s">
        <v>108</v>
      </c>
      <c r="C534" s="1">
        <v>45469</v>
      </c>
      <c r="D534" s="2" t="s">
        <v>23</v>
      </c>
      <c r="E534" t="s">
        <v>31</v>
      </c>
      <c r="G534" s="3">
        <v>352</v>
      </c>
      <c r="H534" t="s">
        <v>176</v>
      </c>
      <c r="I534" s="3" t="str">
        <f t="shared" si="24"/>
        <v>2024-06</v>
      </c>
      <c r="J534" s="1">
        <f t="shared" si="25"/>
        <v>45826</v>
      </c>
      <c r="K534" t="str">
        <f t="shared" si="26"/>
        <v>ACTIVE</v>
      </c>
    </row>
    <row r="535" spans="1:11">
      <c r="A535">
        <v>56</v>
      </c>
      <c r="B535" t="s">
        <v>95</v>
      </c>
      <c r="C535" s="1">
        <v>45515</v>
      </c>
      <c r="D535" s="2" t="s">
        <v>24</v>
      </c>
      <c r="E535" t="s">
        <v>31</v>
      </c>
      <c r="G535" s="3">
        <v>1564</v>
      </c>
      <c r="H535" t="s">
        <v>176</v>
      </c>
      <c r="I535" s="3" t="str">
        <f t="shared" si="24"/>
        <v>2024-08</v>
      </c>
      <c r="J535" s="1">
        <f t="shared" si="25"/>
        <v>45797</v>
      </c>
      <c r="K535" t="str">
        <f t="shared" si="26"/>
        <v>ACTIVE</v>
      </c>
    </row>
    <row r="536" spans="1:11">
      <c r="A536">
        <v>1479</v>
      </c>
      <c r="B536" t="s">
        <v>147</v>
      </c>
      <c r="C536" s="1">
        <v>45713</v>
      </c>
      <c r="D536" s="2" t="s">
        <v>26</v>
      </c>
      <c r="E536" t="s">
        <v>31</v>
      </c>
      <c r="G536" s="3">
        <v>2249</v>
      </c>
      <c r="H536" t="s">
        <v>176</v>
      </c>
      <c r="I536" s="3" t="str">
        <f t="shared" si="24"/>
        <v>2025-02</v>
      </c>
      <c r="J536" s="1">
        <f t="shared" si="25"/>
        <v>45752</v>
      </c>
      <c r="K536" t="str">
        <f t="shared" si="26"/>
        <v>ACTIVE</v>
      </c>
    </row>
    <row r="537" spans="1:11">
      <c r="A537">
        <v>613</v>
      </c>
      <c r="B537" t="s">
        <v>142</v>
      </c>
      <c r="C537" s="1">
        <v>45748</v>
      </c>
      <c r="D537" s="2" t="s">
        <v>23</v>
      </c>
      <c r="E537" t="s">
        <v>34</v>
      </c>
      <c r="G537" s="3">
        <v>2182</v>
      </c>
      <c r="H537" t="s">
        <v>173</v>
      </c>
      <c r="I537" s="3" t="str">
        <f t="shared" si="24"/>
        <v>2025-04</v>
      </c>
      <c r="J537" s="1">
        <f t="shared" si="25"/>
        <v>45803</v>
      </c>
      <c r="K537" t="str">
        <f t="shared" si="26"/>
        <v>ACTIVE</v>
      </c>
    </row>
    <row r="538" spans="1:11">
      <c r="A538">
        <v>1524</v>
      </c>
      <c r="B538" t="s">
        <v>142</v>
      </c>
      <c r="C538" s="1">
        <v>45765</v>
      </c>
      <c r="D538" s="2" t="s">
        <v>25</v>
      </c>
      <c r="E538" t="s">
        <v>32</v>
      </c>
      <c r="G538" s="3">
        <v>2945</v>
      </c>
      <c r="H538" t="s">
        <v>173</v>
      </c>
      <c r="I538" s="3" t="str">
        <f t="shared" si="24"/>
        <v>2025-04</v>
      </c>
      <c r="J538" s="1">
        <f t="shared" si="25"/>
        <v>45803</v>
      </c>
      <c r="K538" t="str">
        <f t="shared" si="26"/>
        <v>ACTIVE</v>
      </c>
    </row>
    <row r="539" spans="1:11">
      <c r="A539">
        <v>171</v>
      </c>
      <c r="B539" t="s">
        <v>141</v>
      </c>
      <c r="C539" s="1">
        <v>45546</v>
      </c>
      <c r="D539" s="2" t="s">
        <v>27</v>
      </c>
      <c r="E539" t="s">
        <v>31</v>
      </c>
      <c r="G539" s="3">
        <v>4380</v>
      </c>
      <c r="H539" t="s">
        <v>172</v>
      </c>
      <c r="I539" s="3" t="str">
        <f t="shared" si="24"/>
        <v>2024-09</v>
      </c>
      <c r="J539" s="1">
        <f t="shared" si="25"/>
        <v>45773</v>
      </c>
      <c r="K539" t="str">
        <f t="shared" si="26"/>
        <v>ACTIVE</v>
      </c>
    </row>
    <row r="540" spans="1:11">
      <c r="A540">
        <v>821</v>
      </c>
      <c r="B540" t="s">
        <v>156</v>
      </c>
      <c r="C540" s="1">
        <v>45648</v>
      </c>
      <c r="D540" s="2" t="s">
        <v>28</v>
      </c>
      <c r="E540" t="s">
        <v>30</v>
      </c>
      <c r="G540" s="3">
        <v>5393</v>
      </c>
      <c r="H540" t="s">
        <v>173</v>
      </c>
      <c r="I540" s="3" t="str">
        <f t="shared" si="24"/>
        <v>2024-12</v>
      </c>
      <c r="J540" s="1">
        <f t="shared" si="25"/>
        <v>45738</v>
      </c>
      <c r="K540" t="str">
        <f t="shared" si="26"/>
        <v>LAPSED</v>
      </c>
    </row>
    <row r="541" spans="1:11">
      <c r="A541">
        <v>1538</v>
      </c>
      <c r="B541" t="s">
        <v>62</v>
      </c>
      <c r="C541" s="1">
        <v>45709</v>
      </c>
      <c r="D541" s="2" t="s">
        <v>27</v>
      </c>
      <c r="E541" t="s">
        <v>30</v>
      </c>
      <c r="G541" s="3">
        <v>1765</v>
      </c>
      <c r="H541" t="s">
        <v>175</v>
      </c>
      <c r="I541" s="3" t="str">
        <f t="shared" si="24"/>
        <v>2025-02</v>
      </c>
      <c r="J541" s="1">
        <f t="shared" si="25"/>
        <v>45815</v>
      </c>
      <c r="K541" t="str">
        <f t="shared" si="26"/>
        <v>ACTIVE</v>
      </c>
    </row>
    <row r="542" spans="1:11">
      <c r="A542">
        <v>327</v>
      </c>
      <c r="B542" t="s">
        <v>147</v>
      </c>
      <c r="C542" s="1">
        <v>45508</v>
      </c>
      <c r="D542" s="2" t="s">
        <v>28</v>
      </c>
      <c r="E542" t="s">
        <v>30</v>
      </c>
      <c r="G542" s="3">
        <v>331</v>
      </c>
      <c r="H542" t="s">
        <v>174</v>
      </c>
      <c r="I542" s="3" t="str">
        <f t="shared" si="24"/>
        <v>2024-08</v>
      </c>
      <c r="J542" s="1">
        <f t="shared" si="25"/>
        <v>45752</v>
      </c>
      <c r="K542" t="str">
        <f t="shared" si="26"/>
        <v>ACTIVE</v>
      </c>
    </row>
    <row r="543" spans="1:11">
      <c r="A543">
        <v>504</v>
      </c>
      <c r="B543" t="s">
        <v>86</v>
      </c>
      <c r="C543" s="1">
        <v>45430</v>
      </c>
      <c r="D543" s="2" t="s">
        <v>28</v>
      </c>
      <c r="E543" t="s">
        <v>31</v>
      </c>
      <c r="G543" s="3">
        <v>243</v>
      </c>
      <c r="H543" t="s">
        <v>173</v>
      </c>
      <c r="I543" s="3" t="str">
        <f t="shared" si="24"/>
        <v>2024-05</v>
      </c>
      <c r="J543" s="1">
        <f t="shared" si="25"/>
        <v>45819</v>
      </c>
      <c r="K543" t="str">
        <f t="shared" si="26"/>
        <v>ACTIVE</v>
      </c>
    </row>
    <row r="544" spans="1:11">
      <c r="A544">
        <v>1753</v>
      </c>
      <c r="B544" t="s">
        <v>126</v>
      </c>
      <c r="C544" s="1">
        <v>45479</v>
      </c>
      <c r="D544" s="2" t="s">
        <v>25</v>
      </c>
      <c r="E544" t="s">
        <v>35</v>
      </c>
      <c r="G544" s="3">
        <v>508</v>
      </c>
      <c r="H544" t="s">
        <v>174</v>
      </c>
      <c r="I544" s="3" t="str">
        <f t="shared" si="24"/>
        <v>2024-07</v>
      </c>
      <c r="J544" s="1">
        <f t="shared" si="25"/>
        <v>45827</v>
      </c>
      <c r="K544" t="str">
        <f t="shared" si="26"/>
        <v>ACTIVE</v>
      </c>
    </row>
    <row r="545" spans="1:11">
      <c r="A545">
        <v>410</v>
      </c>
      <c r="B545" t="s">
        <v>113</v>
      </c>
      <c r="C545" s="1">
        <v>45478</v>
      </c>
      <c r="D545" s="2" t="s">
        <v>23</v>
      </c>
      <c r="E545" t="s">
        <v>31</v>
      </c>
      <c r="G545" s="3">
        <v>1635</v>
      </c>
      <c r="H545" t="s">
        <v>174</v>
      </c>
      <c r="I545" s="3" t="str">
        <f t="shared" si="24"/>
        <v>2024-07</v>
      </c>
      <c r="J545" s="1">
        <f t="shared" si="25"/>
        <v>45788</v>
      </c>
      <c r="K545" t="str">
        <f t="shared" si="26"/>
        <v>ACTIVE</v>
      </c>
    </row>
    <row r="546" spans="1:11">
      <c r="A546">
        <v>298</v>
      </c>
      <c r="B546" t="s">
        <v>89</v>
      </c>
      <c r="C546" s="1">
        <v>45432</v>
      </c>
      <c r="D546" s="2" t="s">
        <v>27</v>
      </c>
      <c r="E546" t="s">
        <v>30</v>
      </c>
      <c r="G546" s="3">
        <v>8997</v>
      </c>
      <c r="H546" t="s">
        <v>175</v>
      </c>
      <c r="I546" s="3" t="str">
        <f t="shared" si="24"/>
        <v>2024-05</v>
      </c>
      <c r="J546" s="1">
        <f t="shared" si="25"/>
        <v>45826</v>
      </c>
      <c r="K546" t="str">
        <f t="shared" si="26"/>
        <v>ACTIVE</v>
      </c>
    </row>
    <row r="547" spans="1:11">
      <c r="A547">
        <v>1158</v>
      </c>
      <c r="B547" t="s">
        <v>141</v>
      </c>
      <c r="C547" s="1">
        <v>45474</v>
      </c>
      <c r="D547" s="2" t="s">
        <v>27</v>
      </c>
      <c r="E547" t="s">
        <v>30</v>
      </c>
      <c r="G547" s="3">
        <v>765</v>
      </c>
      <c r="H547" t="s">
        <v>174</v>
      </c>
      <c r="I547" s="3" t="str">
        <f t="shared" si="24"/>
        <v>2024-07</v>
      </c>
      <c r="J547" s="1">
        <f t="shared" si="25"/>
        <v>45773</v>
      </c>
      <c r="K547" t="str">
        <f t="shared" si="26"/>
        <v>ACTIVE</v>
      </c>
    </row>
    <row r="548" spans="1:11">
      <c r="A548">
        <v>958</v>
      </c>
      <c r="B548" t="s">
        <v>155</v>
      </c>
      <c r="C548" s="1">
        <v>45454</v>
      </c>
      <c r="D548" s="2" t="s">
        <v>27</v>
      </c>
      <c r="E548" t="s">
        <v>34</v>
      </c>
      <c r="G548" s="3">
        <v>810</v>
      </c>
      <c r="H548" t="s">
        <v>176</v>
      </c>
      <c r="I548" s="3" t="str">
        <f t="shared" si="24"/>
        <v>2024-06</v>
      </c>
      <c r="J548" s="1">
        <f t="shared" si="25"/>
        <v>45698</v>
      </c>
      <c r="K548" t="str">
        <f t="shared" si="26"/>
        <v>LAPSED</v>
      </c>
    </row>
    <row r="549" spans="1:11">
      <c r="A549">
        <v>563</v>
      </c>
      <c r="B549" t="s">
        <v>95</v>
      </c>
      <c r="C549" s="1">
        <v>45593</v>
      </c>
      <c r="D549" s="2" t="s">
        <v>25</v>
      </c>
      <c r="E549" t="s">
        <v>30</v>
      </c>
      <c r="G549" s="3">
        <v>351</v>
      </c>
      <c r="H549" t="s">
        <v>174</v>
      </c>
      <c r="I549" s="3" t="str">
        <f t="shared" si="24"/>
        <v>2024-10</v>
      </c>
      <c r="J549" s="1">
        <f t="shared" si="25"/>
        <v>45797</v>
      </c>
      <c r="K549" t="str">
        <f t="shared" si="26"/>
        <v>ACTIVE</v>
      </c>
    </row>
    <row r="550" spans="1:11">
      <c r="A550">
        <v>1308</v>
      </c>
      <c r="B550" t="s">
        <v>78</v>
      </c>
      <c r="C550" s="1">
        <v>45374</v>
      </c>
      <c r="D550" s="2" t="s">
        <v>23</v>
      </c>
      <c r="E550" t="s">
        <v>34</v>
      </c>
      <c r="G550" s="3">
        <v>1723</v>
      </c>
      <c r="H550" t="s">
        <v>175</v>
      </c>
      <c r="I550" s="3" t="str">
        <f t="shared" si="24"/>
        <v>2024-03</v>
      </c>
      <c r="J550" s="1">
        <f t="shared" si="25"/>
        <v>45821</v>
      </c>
      <c r="K550" t="str">
        <f t="shared" si="26"/>
        <v>ACTIVE</v>
      </c>
    </row>
    <row r="551" spans="1:11">
      <c r="A551">
        <v>680</v>
      </c>
      <c r="B551" t="s">
        <v>77</v>
      </c>
      <c r="C551" s="1">
        <v>45821</v>
      </c>
      <c r="D551" s="2" t="s">
        <v>28</v>
      </c>
      <c r="E551" t="s">
        <v>33</v>
      </c>
      <c r="G551" s="3">
        <v>5474</v>
      </c>
      <c r="H551" t="s">
        <v>173</v>
      </c>
      <c r="I551" s="3" t="str">
        <f t="shared" si="24"/>
        <v>2025-06</v>
      </c>
      <c r="J551" s="1">
        <f t="shared" si="25"/>
        <v>45821</v>
      </c>
      <c r="K551" t="str">
        <f t="shared" si="26"/>
        <v>ACTIVE</v>
      </c>
    </row>
    <row r="552" spans="1:11">
      <c r="A552">
        <v>1525</v>
      </c>
      <c r="B552" t="s">
        <v>61</v>
      </c>
      <c r="C552" s="1">
        <v>45335</v>
      </c>
      <c r="D552" s="2" t="s">
        <v>28</v>
      </c>
      <c r="E552" t="s">
        <v>33</v>
      </c>
      <c r="G552" s="3">
        <v>4680</v>
      </c>
      <c r="H552" t="s">
        <v>172</v>
      </c>
      <c r="I552" s="3" t="str">
        <f t="shared" si="24"/>
        <v>2024-02</v>
      </c>
      <c r="J552" s="1">
        <f t="shared" si="25"/>
        <v>45815</v>
      </c>
      <c r="K552" t="str">
        <f t="shared" si="26"/>
        <v>ACTIVE</v>
      </c>
    </row>
    <row r="553" spans="1:11">
      <c r="A553">
        <v>1390</v>
      </c>
      <c r="B553" t="s">
        <v>131</v>
      </c>
      <c r="C553" s="1">
        <v>45441</v>
      </c>
      <c r="D553" s="2" t="s">
        <v>25</v>
      </c>
      <c r="E553" t="s">
        <v>31</v>
      </c>
      <c r="G553" s="3">
        <v>2393</v>
      </c>
      <c r="H553" t="s">
        <v>173</v>
      </c>
      <c r="I553" s="3" t="str">
        <f t="shared" si="24"/>
        <v>2024-05</v>
      </c>
      <c r="J553" s="1">
        <f t="shared" si="25"/>
        <v>45807</v>
      </c>
      <c r="K553" t="str">
        <f t="shared" si="26"/>
        <v>ACTIVE</v>
      </c>
    </row>
    <row r="554" spans="1:11">
      <c r="A554">
        <v>1775</v>
      </c>
      <c r="B554" t="s">
        <v>159</v>
      </c>
      <c r="C554" s="1">
        <v>45475</v>
      </c>
      <c r="D554" s="2" t="s">
        <v>25</v>
      </c>
      <c r="E554" t="s">
        <v>30</v>
      </c>
      <c r="G554" s="3">
        <v>1475</v>
      </c>
      <c r="H554" t="s">
        <v>174</v>
      </c>
      <c r="I554" s="3" t="str">
        <f t="shared" si="24"/>
        <v>2024-07</v>
      </c>
      <c r="J554" s="1">
        <f t="shared" si="25"/>
        <v>45713</v>
      </c>
      <c r="K554" t="str">
        <f t="shared" si="26"/>
        <v>LAPSED</v>
      </c>
    </row>
    <row r="555" spans="1:11">
      <c r="A555">
        <v>726</v>
      </c>
      <c r="B555" t="s">
        <v>126</v>
      </c>
      <c r="C555" s="1">
        <v>45793</v>
      </c>
      <c r="D555" s="2" t="s">
        <v>28</v>
      </c>
      <c r="E555" t="s">
        <v>33</v>
      </c>
      <c r="G555" s="3">
        <v>1503</v>
      </c>
      <c r="H555" t="s">
        <v>173</v>
      </c>
      <c r="I555" s="3" t="str">
        <f t="shared" si="24"/>
        <v>2025-05</v>
      </c>
      <c r="J555" s="1">
        <f t="shared" si="25"/>
        <v>45827</v>
      </c>
      <c r="K555" t="str">
        <f t="shared" si="26"/>
        <v>ACTIVE</v>
      </c>
    </row>
    <row r="556" spans="1:11">
      <c r="A556">
        <v>532</v>
      </c>
      <c r="B556" t="s">
        <v>112</v>
      </c>
      <c r="C556" s="1">
        <v>45748</v>
      </c>
      <c r="D556" s="2" t="s">
        <v>24</v>
      </c>
      <c r="E556" t="s">
        <v>31</v>
      </c>
      <c r="G556" s="3">
        <v>5635</v>
      </c>
      <c r="H556" t="s">
        <v>175</v>
      </c>
      <c r="I556" s="3" t="str">
        <f t="shared" si="24"/>
        <v>2025-04</v>
      </c>
      <c r="J556" s="1">
        <f t="shared" si="25"/>
        <v>45815</v>
      </c>
      <c r="K556" t="str">
        <f t="shared" si="26"/>
        <v>ACTIVE</v>
      </c>
    </row>
    <row r="557" spans="1:11">
      <c r="A557">
        <v>408</v>
      </c>
      <c r="B557" t="s">
        <v>70</v>
      </c>
      <c r="C557" s="1">
        <v>45462</v>
      </c>
      <c r="D557" s="2" t="s">
        <v>27</v>
      </c>
      <c r="E557" t="s">
        <v>35</v>
      </c>
      <c r="G557" s="3">
        <v>780</v>
      </c>
      <c r="H557" t="s">
        <v>175</v>
      </c>
      <c r="I557" s="3" t="str">
        <f t="shared" si="24"/>
        <v>2024-06</v>
      </c>
      <c r="J557" s="1">
        <f t="shared" si="25"/>
        <v>45829</v>
      </c>
      <c r="K557" t="str">
        <f t="shared" si="26"/>
        <v>ACTIVE</v>
      </c>
    </row>
    <row r="558" spans="1:11">
      <c r="A558">
        <v>200</v>
      </c>
      <c r="B558" t="s">
        <v>136</v>
      </c>
      <c r="C558" s="1">
        <v>45552</v>
      </c>
      <c r="D558" s="2" t="s">
        <v>25</v>
      </c>
      <c r="E558" t="s">
        <v>30</v>
      </c>
      <c r="G558" s="3">
        <v>2063</v>
      </c>
      <c r="H558" t="s">
        <v>176</v>
      </c>
      <c r="I558" s="3" t="str">
        <f t="shared" si="24"/>
        <v>2024-09</v>
      </c>
      <c r="J558" s="1">
        <f t="shared" si="25"/>
        <v>45823</v>
      </c>
      <c r="K558" t="str">
        <f t="shared" si="26"/>
        <v>ACTIVE</v>
      </c>
    </row>
    <row r="559" spans="1:11">
      <c r="A559">
        <v>474</v>
      </c>
      <c r="B559" t="s">
        <v>39</v>
      </c>
      <c r="C559" s="1">
        <v>45698</v>
      </c>
      <c r="D559" s="2" t="s">
        <v>25</v>
      </c>
      <c r="E559" t="s">
        <v>31</v>
      </c>
      <c r="G559" s="3">
        <v>504</v>
      </c>
      <c r="H559" t="s">
        <v>174</v>
      </c>
      <c r="I559" s="3" t="str">
        <f t="shared" si="24"/>
        <v>2025-02</v>
      </c>
      <c r="J559" s="1">
        <f t="shared" si="25"/>
        <v>45795</v>
      </c>
      <c r="K559" t="str">
        <f t="shared" si="26"/>
        <v>ACTIVE</v>
      </c>
    </row>
    <row r="560" spans="1:11">
      <c r="A560">
        <v>1269</v>
      </c>
      <c r="B560" t="s">
        <v>133</v>
      </c>
      <c r="C560" s="1">
        <v>45690</v>
      </c>
      <c r="D560" s="2" t="s">
        <v>28</v>
      </c>
      <c r="E560" t="s">
        <v>34</v>
      </c>
      <c r="G560" s="3">
        <v>8262</v>
      </c>
      <c r="H560" t="s">
        <v>172</v>
      </c>
      <c r="I560" s="3" t="str">
        <f t="shared" si="24"/>
        <v>2025-02</v>
      </c>
      <c r="J560" s="1">
        <f t="shared" si="25"/>
        <v>45788</v>
      </c>
      <c r="K560" t="str">
        <f t="shared" si="26"/>
        <v>ACTIVE</v>
      </c>
    </row>
    <row r="561" spans="1:11">
      <c r="A561">
        <v>217</v>
      </c>
      <c r="B561" t="s">
        <v>130</v>
      </c>
      <c r="C561" s="1">
        <v>45555</v>
      </c>
      <c r="D561" s="2" t="s">
        <v>28</v>
      </c>
      <c r="E561" t="s">
        <v>30</v>
      </c>
      <c r="G561" s="3">
        <v>295</v>
      </c>
      <c r="H561" t="s">
        <v>174</v>
      </c>
      <c r="I561" s="3" t="str">
        <f t="shared" si="24"/>
        <v>2024-09</v>
      </c>
      <c r="J561" s="1">
        <f t="shared" si="25"/>
        <v>45828</v>
      </c>
      <c r="K561" t="str">
        <f t="shared" si="26"/>
        <v>ACTIVE</v>
      </c>
    </row>
    <row r="562" spans="1:11">
      <c r="A562">
        <v>254</v>
      </c>
      <c r="B562" t="s">
        <v>105</v>
      </c>
      <c r="C562" s="1">
        <v>45799</v>
      </c>
      <c r="D562" s="2" t="s">
        <v>23</v>
      </c>
      <c r="E562" t="s">
        <v>34</v>
      </c>
      <c r="G562" s="3">
        <v>907</v>
      </c>
      <c r="H562" t="s">
        <v>175</v>
      </c>
      <c r="I562" s="3" t="str">
        <f t="shared" si="24"/>
        <v>2025-05</v>
      </c>
      <c r="J562" s="1">
        <f t="shared" si="25"/>
        <v>45816</v>
      </c>
      <c r="K562" t="str">
        <f t="shared" si="26"/>
        <v>ACTIVE</v>
      </c>
    </row>
    <row r="563" spans="1:11">
      <c r="A563">
        <v>153</v>
      </c>
      <c r="B563" t="s">
        <v>71</v>
      </c>
      <c r="C563" s="1">
        <v>45823</v>
      </c>
      <c r="D563" s="2" t="s">
        <v>25</v>
      </c>
      <c r="E563" t="s">
        <v>30</v>
      </c>
      <c r="G563" s="3">
        <v>624</v>
      </c>
      <c r="H563" t="s">
        <v>175</v>
      </c>
      <c r="I563" s="3" t="str">
        <f t="shared" si="24"/>
        <v>2025-06</v>
      </c>
      <c r="J563" s="1">
        <f t="shared" si="25"/>
        <v>45823</v>
      </c>
      <c r="K563" t="str">
        <f t="shared" si="26"/>
        <v>ACTIVE</v>
      </c>
    </row>
    <row r="564" spans="1:11">
      <c r="A564">
        <v>740</v>
      </c>
      <c r="B564" t="s">
        <v>147</v>
      </c>
      <c r="C564" s="1">
        <v>45531</v>
      </c>
      <c r="D564" s="2" t="s">
        <v>25</v>
      </c>
      <c r="E564" t="s">
        <v>31</v>
      </c>
      <c r="G564" s="3">
        <v>11854</v>
      </c>
      <c r="H564" t="s">
        <v>176</v>
      </c>
      <c r="I564" s="3" t="str">
        <f t="shared" si="24"/>
        <v>2024-08</v>
      </c>
      <c r="J564" s="1">
        <f t="shared" si="25"/>
        <v>45752</v>
      </c>
      <c r="K564" t="str">
        <f t="shared" si="26"/>
        <v>ACTIVE</v>
      </c>
    </row>
    <row r="565" spans="1:11">
      <c r="A565">
        <v>743</v>
      </c>
      <c r="B565" t="s">
        <v>150</v>
      </c>
      <c r="C565" s="1">
        <v>45353</v>
      </c>
      <c r="D565" s="2" t="s">
        <v>28</v>
      </c>
      <c r="E565" t="s">
        <v>31</v>
      </c>
      <c r="G565" s="3">
        <v>2839</v>
      </c>
      <c r="H565" t="s">
        <v>173</v>
      </c>
      <c r="I565" s="3" t="str">
        <f t="shared" si="24"/>
        <v>2024-03</v>
      </c>
      <c r="J565" s="1">
        <f t="shared" si="25"/>
        <v>45827</v>
      </c>
      <c r="K565" t="str">
        <f t="shared" si="26"/>
        <v>ACTIVE</v>
      </c>
    </row>
    <row r="566" spans="1:11">
      <c r="A566">
        <v>1140</v>
      </c>
      <c r="B566" t="s">
        <v>159</v>
      </c>
      <c r="C566" s="1">
        <v>45706</v>
      </c>
      <c r="D566" s="2" t="s">
        <v>25</v>
      </c>
      <c r="E566" t="s">
        <v>33</v>
      </c>
      <c r="G566" s="3">
        <v>4257</v>
      </c>
      <c r="H566" t="s">
        <v>175</v>
      </c>
      <c r="I566" s="3" t="str">
        <f t="shared" si="24"/>
        <v>2025-02</v>
      </c>
      <c r="J566" s="1">
        <f t="shared" si="25"/>
        <v>45713</v>
      </c>
      <c r="K566" t="str">
        <f t="shared" si="26"/>
        <v>LAPSED</v>
      </c>
    </row>
    <row r="567" spans="1:11">
      <c r="A567">
        <v>1233</v>
      </c>
      <c r="B567" t="s">
        <v>158</v>
      </c>
      <c r="C567" s="1">
        <v>45418</v>
      </c>
      <c r="D567" s="2" t="s">
        <v>23</v>
      </c>
      <c r="E567" t="s">
        <v>30</v>
      </c>
      <c r="G567" s="3">
        <v>0</v>
      </c>
      <c r="H567" t="s">
        <v>172</v>
      </c>
      <c r="I567" s="3" t="str">
        <f t="shared" si="24"/>
        <v>2024-05</v>
      </c>
      <c r="J567" s="1">
        <f t="shared" si="25"/>
        <v>45740</v>
      </c>
      <c r="K567" t="str">
        <f t="shared" si="26"/>
        <v>LAPSED</v>
      </c>
    </row>
    <row r="568" spans="1:11">
      <c r="A568">
        <v>1459</v>
      </c>
      <c r="B568" t="s">
        <v>41</v>
      </c>
      <c r="C568" s="1">
        <v>45783</v>
      </c>
      <c r="D568" s="2" t="s">
        <v>25</v>
      </c>
      <c r="E568" t="s">
        <v>33</v>
      </c>
      <c r="G568" s="3">
        <v>2169</v>
      </c>
      <c r="H568" t="s">
        <v>174</v>
      </c>
      <c r="I568" s="3" t="str">
        <f t="shared" si="24"/>
        <v>2025-05</v>
      </c>
      <c r="J568" s="1">
        <f t="shared" si="25"/>
        <v>45785</v>
      </c>
      <c r="K568" t="str">
        <f t="shared" si="26"/>
        <v>ACTIVE</v>
      </c>
    </row>
    <row r="569" spans="1:11">
      <c r="A569">
        <v>1124</v>
      </c>
      <c r="B569" t="s">
        <v>43</v>
      </c>
      <c r="C569" s="1">
        <v>45466</v>
      </c>
      <c r="D569" s="2" t="s">
        <v>23</v>
      </c>
      <c r="E569" t="s">
        <v>32</v>
      </c>
      <c r="G569" s="3">
        <v>1523</v>
      </c>
      <c r="H569" t="s">
        <v>172</v>
      </c>
      <c r="I569" s="3" t="str">
        <f t="shared" si="24"/>
        <v>2024-06</v>
      </c>
      <c r="J569" s="1">
        <f t="shared" si="25"/>
        <v>45818</v>
      </c>
      <c r="K569" t="str">
        <f t="shared" si="26"/>
        <v>ACTIVE</v>
      </c>
    </row>
    <row r="570" spans="1:11">
      <c r="A570">
        <v>531</v>
      </c>
      <c r="B570" t="s">
        <v>52</v>
      </c>
      <c r="C570" s="1">
        <v>45343</v>
      </c>
      <c r="D570" s="2" t="s">
        <v>28</v>
      </c>
      <c r="E570" t="s">
        <v>34</v>
      </c>
      <c r="G570" s="3">
        <v>971</v>
      </c>
      <c r="H570" t="s">
        <v>172</v>
      </c>
      <c r="I570" s="3" t="str">
        <f t="shared" si="24"/>
        <v>2024-02</v>
      </c>
      <c r="J570" s="1">
        <f t="shared" si="25"/>
        <v>45811</v>
      </c>
      <c r="K570" t="str">
        <f t="shared" si="26"/>
        <v>ACTIVE</v>
      </c>
    </row>
    <row r="571" spans="1:11">
      <c r="A571">
        <v>1788</v>
      </c>
      <c r="B571" t="s">
        <v>125</v>
      </c>
      <c r="C571" s="1">
        <v>45644</v>
      </c>
      <c r="D571" s="2" t="s">
        <v>23</v>
      </c>
      <c r="E571" t="s">
        <v>33</v>
      </c>
      <c r="G571" s="3">
        <v>295</v>
      </c>
      <c r="H571" t="s">
        <v>174</v>
      </c>
      <c r="I571" s="3" t="str">
        <f t="shared" si="24"/>
        <v>2024-12</v>
      </c>
      <c r="J571" s="1">
        <f t="shared" si="25"/>
        <v>45784</v>
      </c>
      <c r="K571" t="str">
        <f t="shared" si="26"/>
        <v>ACTIVE</v>
      </c>
    </row>
    <row r="572" spans="1:11">
      <c r="A572">
        <v>1780</v>
      </c>
      <c r="B572" t="s">
        <v>84</v>
      </c>
      <c r="C572" s="1">
        <v>45388</v>
      </c>
      <c r="D572" s="2" t="s">
        <v>23</v>
      </c>
      <c r="E572" t="s">
        <v>35</v>
      </c>
      <c r="G572" s="3">
        <v>542</v>
      </c>
      <c r="H572" t="s">
        <v>174</v>
      </c>
      <c r="I572" s="3" t="str">
        <f t="shared" si="24"/>
        <v>2024-04</v>
      </c>
      <c r="J572" s="1">
        <f t="shared" si="25"/>
        <v>45827</v>
      </c>
      <c r="K572" t="str">
        <f t="shared" si="26"/>
        <v>ACTIVE</v>
      </c>
    </row>
    <row r="573" spans="1:11">
      <c r="A573">
        <v>241</v>
      </c>
      <c r="B573" t="s">
        <v>107</v>
      </c>
      <c r="C573" s="1">
        <v>45337</v>
      </c>
      <c r="D573" s="2" t="s">
        <v>28</v>
      </c>
      <c r="E573" t="s">
        <v>31</v>
      </c>
      <c r="G573" s="3">
        <v>632</v>
      </c>
      <c r="H573" t="s">
        <v>176</v>
      </c>
      <c r="I573" s="3" t="str">
        <f t="shared" si="24"/>
        <v>2024-02</v>
      </c>
      <c r="J573" s="1">
        <f t="shared" si="25"/>
        <v>45831</v>
      </c>
      <c r="K573" t="str">
        <f t="shared" si="26"/>
        <v>ACTIVE</v>
      </c>
    </row>
    <row r="574" spans="1:11">
      <c r="A574">
        <v>1294</v>
      </c>
      <c r="B574" t="s">
        <v>158</v>
      </c>
      <c r="C574" s="1">
        <v>45428</v>
      </c>
      <c r="D574" s="2" t="s">
        <v>23</v>
      </c>
      <c r="E574" t="s">
        <v>33</v>
      </c>
      <c r="G574" s="3">
        <v>1774</v>
      </c>
      <c r="H574" t="s">
        <v>172</v>
      </c>
      <c r="I574" s="3" t="str">
        <f t="shared" si="24"/>
        <v>2024-05</v>
      </c>
      <c r="J574" s="1">
        <f t="shared" si="25"/>
        <v>45740</v>
      </c>
      <c r="K574" t="str">
        <f t="shared" si="26"/>
        <v>LAPSED</v>
      </c>
    </row>
    <row r="575" spans="1:11">
      <c r="A575">
        <v>798</v>
      </c>
      <c r="B575" t="s">
        <v>84</v>
      </c>
      <c r="C575" s="1">
        <v>45764</v>
      </c>
      <c r="D575" s="2" t="s">
        <v>24</v>
      </c>
      <c r="E575" t="s">
        <v>30</v>
      </c>
      <c r="G575" s="3">
        <v>857</v>
      </c>
      <c r="H575" t="s">
        <v>173</v>
      </c>
      <c r="I575" s="3" t="str">
        <f t="shared" si="24"/>
        <v>2025-04</v>
      </c>
      <c r="J575" s="1">
        <f t="shared" si="25"/>
        <v>45827</v>
      </c>
      <c r="K575" t="str">
        <f t="shared" si="26"/>
        <v>ACTIVE</v>
      </c>
    </row>
    <row r="576" spans="1:11">
      <c r="A576">
        <v>188</v>
      </c>
      <c r="B576" t="s">
        <v>129</v>
      </c>
      <c r="C576" s="1">
        <v>45496</v>
      </c>
      <c r="D576" s="2" t="s">
        <v>24</v>
      </c>
      <c r="E576" t="s">
        <v>31</v>
      </c>
      <c r="G576" s="3">
        <v>2646</v>
      </c>
      <c r="H576" t="s">
        <v>176</v>
      </c>
      <c r="I576" s="3" t="str">
        <f t="shared" si="24"/>
        <v>2024-07</v>
      </c>
      <c r="J576" s="1">
        <f t="shared" si="25"/>
        <v>45812</v>
      </c>
      <c r="K576" t="str">
        <f t="shared" si="26"/>
        <v>ACTIVE</v>
      </c>
    </row>
    <row r="577" spans="1:11">
      <c r="A577">
        <v>1495</v>
      </c>
      <c r="B577" t="s">
        <v>43</v>
      </c>
      <c r="C577" s="1">
        <v>45391</v>
      </c>
      <c r="D577" s="2" t="s">
        <v>24</v>
      </c>
      <c r="E577" t="s">
        <v>34</v>
      </c>
      <c r="G577" s="3">
        <v>636</v>
      </c>
      <c r="H577" t="s">
        <v>174</v>
      </c>
      <c r="I577" s="3" t="str">
        <f t="shared" si="24"/>
        <v>2024-04</v>
      </c>
      <c r="J577" s="1">
        <f t="shared" si="25"/>
        <v>45818</v>
      </c>
      <c r="K577" t="str">
        <f t="shared" si="26"/>
        <v>ACTIVE</v>
      </c>
    </row>
    <row r="578" spans="1:11">
      <c r="A578">
        <v>1264</v>
      </c>
      <c r="B578" t="s">
        <v>106</v>
      </c>
      <c r="C578" s="1">
        <v>45354</v>
      </c>
      <c r="D578" s="2" t="s">
        <v>25</v>
      </c>
      <c r="E578" t="s">
        <v>30</v>
      </c>
      <c r="G578" s="3">
        <v>0</v>
      </c>
      <c r="H578" t="s">
        <v>176</v>
      </c>
      <c r="I578" s="3" t="str">
        <f t="shared" si="24"/>
        <v>2024-03</v>
      </c>
      <c r="J578" s="1">
        <f t="shared" si="25"/>
        <v>45760</v>
      </c>
      <c r="K578" t="str">
        <f t="shared" si="26"/>
        <v>ACTIVE</v>
      </c>
    </row>
    <row r="579" spans="1:11">
      <c r="A579">
        <v>1297</v>
      </c>
      <c r="B579" t="s">
        <v>92</v>
      </c>
      <c r="C579" s="1">
        <v>45476</v>
      </c>
      <c r="D579" s="2" t="s">
        <v>25</v>
      </c>
      <c r="E579" t="s">
        <v>30</v>
      </c>
      <c r="G579" s="3">
        <v>1909</v>
      </c>
      <c r="H579" t="s">
        <v>172</v>
      </c>
      <c r="I579" s="3" t="str">
        <f t="shared" ref="I579:I642" si="27">TEXT(C579, "yyyy-mm")</f>
        <v>2024-07</v>
      </c>
      <c r="J579" s="1">
        <f t="shared" ref="J579:J642" si="28">_xlfn.MAXIFS(C:C, B:B, B579)</f>
        <v>45746</v>
      </c>
      <c r="K579" t="str">
        <f t="shared" ref="K579:K642" si="29">IF($L$3-J579&gt;90, "LAPSED","ACTIVE")</f>
        <v>ACTIVE</v>
      </c>
    </row>
    <row r="580" spans="1:11">
      <c r="A580">
        <v>722</v>
      </c>
      <c r="B580" t="s">
        <v>45</v>
      </c>
      <c r="C580" s="1">
        <v>45418</v>
      </c>
      <c r="D580" s="2" t="s">
        <v>25</v>
      </c>
      <c r="E580" t="s">
        <v>32</v>
      </c>
      <c r="G580" s="3">
        <v>2572</v>
      </c>
      <c r="H580" t="s">
        <v>176</v>
      </c>
      <c r="I580" s="3" t="str">
        <f t="shared" si="27"/>
        <v>2024-05</v>
      </c>
      <c r="J580" s="1">
        <f t="shared" si="28"/>
        <v>45829</v>
      </c>
      <c r="K580" t="str">
        <f t="shared" si="29"/>
        <v>ACTIVE</v>
      </c>
    </row>
    <row r="581" spans="1:11">
      <c r="A581">
        <v>303</v>
      </c>
      <c r="B581" t="s">
        <v>98</v>
      </c>
      <c r="C581" s="1">
        <v>45471</v>
      </c>
      <c r="D581" s="2" t="s">
        <v>25</v>
      </c>
      <c r="E581" t="s">
        <v>34</v>
      </c>
      <c r="G581" s="3">
        <v>447</v>
      </c>
      <c r="H581" t="s">
        <v>172</v>
      </c>
      <c r="I581" s="3" t="str">
        <f t="shared" si="27"/>
        <v>2024-06</v>
      </c>
      <c r="J581" s="1">
        <f t="shared" si="28"/>
        <v>45767</v>
      </c>
      <c r="K581" t="str">
        <f t="shared" si="29"/>
        <v>ACTIVE</v>
      </c>
    </row>
    <row r="582" spans="1:11">
      <c r="A582">
        <v>284</v>
      </c>
      <c r="B582" t="s">
        <v>105</v>
      </c>
      <c r="C582" s="1">
        <v>45380</v>
      </c>
      <c r="D582" s="2" t="s">
        <v>28</v>
      </c>
      <c r="E582" t="s">
        <v>34</v>
      </c>
      <c r="G582" s="3">
        <v>4401</v>
      </c>
      <c r="H582" t="s">
        <v>175</v>
      </c>
      <c r="I582" s="3" t="str">
        <f t="shared" si="27"/>
        <v>2024-03</v>
      </c>
      <c r="J582" s="1">
        <f t="shared" si="28"/>
        <v>45816</v>
      </c>
      <c r="K582" t="str">
        <f t="shared" si="29"/>
        <v>ACTIVE</v>
      </c>
    </row>
    <row r="583" spans="1:11">
      <c r="A583">
        <v>719</v>
      </c>
      <c r="B583" t="s">
        <v>132</v>
      </c>
      <c r="C583" s="1">
        <v>45706</v>
      </c>
      <c r="D583" s="2" t="s">
        <v>27</v>
      </c>
      <c r="E583" t="s">
        <v>31</v>
      </c>
      <c r="G583" s="3">
        <v>815</v>
      </c>
      <c r="H583" t="s">
        <v>174</v>
      </c>
      <c r="I583" s="3" t="str">
        <f t="shared" si="27"/>
        <v>2025-02</v>
      </c>
      <c r="J583" s="1">
        <f t="shared" si="28"/>
        <v>45822</v>
      </c>
      <c r="K583" t="str">
        <f t="shared" si="29"/>
        <v>ACTIVE</v>
      </c>
    </row>
    <row r="584" spans="1:11">
      <c r="A584">
        <v>506</v>
      </c>
      <c r="B584" t="s">
        <v>112</v>
      </c>
      <c r="C584" s="1">
        <v>45815</v>
      </c>
      <c r="D584" s="2" t="s">
        <v>27</v>
      </c>
      <c r="E584" t="s">
        <v>32</v>
      </c>
      <c r="G584" s="3">
        <v>9522</v>
      </c>
      <c r="H584" t="s">
        <v>172</v>
      </c>
      <c r="I584" s="3" t="str">
        <f t="shared" si="27"/>
        <v>2025-06</v>
      </c>
      <c r="J584" s="1">
        <f t="shared" si="28"/>
        <v>45815</v>
      </c>
      <c r="K584" t="str">
        <f t="shared" si="29"/>
        <v>ACTIVE</v>
      </c>
    </row>
    <row r="585" spans="1:11">
      <c r="A585">
        <v>1739</v>
      </c>
      <c r="B585" t="s">
        <v>144</v>
      </c>
      <c r="C585" s="1">
        <v>45627</v>
      </c>
      <c r="D585" s="2" t="s">
        <v>24</v>
      </c>
      <c r="E585" t="s">
        <v>34</v>
      </c>
      <c r="G585" s="3">
        <v>418</v>
      </c>
      <c r="H585" t="s">
        <v>175</v>
      </c>
      <c r="I585" s="3" t="str">
        <f t="shared" si="27"/>
        <v>2024-12</v>
      </c>
      <c r="J585" s="1">
        <f t="shared" si="28"/>
        <v>45751</v>
      </c>
      <c r="K585" t="str">
        <f t="shared" si="29"/>
        <v>ACTIVE</v>
      </c>
    </row>
    <row r="586" spans="1:11">
      <c r="A586">
        <v>871</v>
      </c>
      <c r="B586" t="s">
        <v>50</v>
      </c>
      <c r="C586" s="1">
        <v>45537</v>
      </c>
      <c r="D586" s="2" t="s">
        <v>27</v>
      </c>
      <c r="E586" t="s">
        <v>35</v>
      </c>
      <c r="G586" s="3">
        <v>417</v>
      </c>
      <c r="H586" t="s">
        <v>174</v>
      </c>
      <c r="I586" s="3" t="str">
        <f t="shared" si="27"/>
        <v>2024-09</v>
      </c>
      <c r="J586" s="1">
        <f t="shared" si="28"/>
        <v>45831</v>
      </c>
      <c r="K586" t="str">
        <f t="shared" si="29"/>
        <v>ACTIVE</v>
      </c>
    </row>
    <row r="587" spans="1:11">
      <c r="A587">
        <v>1603</v>
      </c>
      <c r="B587" t="s">
        <v>89</v>
      </c>
      <c r="C587" s="1">
        <v>45730</v>
      </c>
      <c r="D587" s="2" t="s">
        <v>25</v>
      </c>
      <c r="E587" t="s">
        <v>31</v>
      </c>
      <c r="G587" s="3">
        <v>9662</v>
      </c>
      <c r="H587" t="s">
        <v>173</v>
      </c>
      <c r="I587" s="3" t="str">
        <f t="shared" si="27"/>
        <v>2025-03</v>
      </c>
      <c r="J587" s="1">
        <f t="shared" si="28"/>
        <v>45826</v>
      </c>
      <c r="K587" t="str">
        <f t="shared" si="29"/>
        <v>ACTIVE</v>
      </c>
    </row>
    <row r="588" spans="1:11">
      <c r="A588">
        <v>1403</v>
      </c>
      <c r="B588" t="s">
        <v>64</v>
      </c>
      <c r="C588" s="1">
        <v>45684</v>
      </c>
      <c r="D588" s="2" t="s">
        <v>23</v>
      </c>
      <c r="E588" t="s">
        <v>35</v>
      </c>
      <c r="G588" s="3">
        <v>591</v>
      </c>
      <c r="H588" t="s">
        <v>176</v>
      </c>
      <c r="I588" s="3" t="str">
        <f t="shared" si="27"/>
        <v>2025-01</v>
      </c>
      <c r="J588" s="1">
        <f t="shared" si="28"/>
        <v>45814</v>
      </c>
      <c r="K588" t="str">
        <f t="shared" si="29"/>
        <v>ACTIVE</v>
      </c>
    </row>
    <row r="589" spans="1:11">
      <c r="A589">
        <v>1353</v>
      </c>
      <c r="B589" t="s">
        <v>48</v>
      </c>
      <c r="C589" s="1">
        <v>45546</v>
      </c>
      <c r="D589" s="2" t="s">
        <v>26</v>
      </c>
      <c r="E589" t="s">
        <v>34</v>
      </c>
      <c r="G589" s="3">
        <v>571</v>
      </c>
      <c r="H589" t="s">
        <v>175</v>
      </c>
      <c r="I589" s="3" t="str">
        <f t="shared" si="27"/>
        <v>2024-09</v>
      </c>
      <c r="J589" s="1">
        <f t="shared" si="28"/>
        <v>45809</v>
      </c>
      <c r="K589" t="str">
        <f t="shared" si="29"/>
        <v>ACTIVE</v>
      </c>
    </row>
    <row r="590" spans="1:11">
      <c r="A590">
        <v>123</v>
      </c>
      <c r="B590" t="s">
        <v>74</v>
      </c>
      <c r="C590" s="1">
        <v>45719</v>
      </c>
      <c r="D590" s="2" t="s">
        <v>25</v>
      </c>
      <c r="E590" t="s">
        <v>32</v>
      </c>
      <c r="G590" s="3">
        <v>593</v>
      </c>
      <c r="H590" t="s">
        <v>172</v>
      </c>
      <c r="I590" s="3" t="str">
        <f t="shared" si="27"/>
        <v>2025-03</v>
      </c>
      <c r="J590" s="1">
        <f t="shared" si="28"/>
        <v>45773</v>
      </c>
      <c r="K590" t="str">
        <f t="shared" si="29"/>
        <v>ACTIVE</v>
      </c>
    </row>
    <row r="591" spans="1:11">
      <c r="A591">
        <v>883</v>
      </c>
      <c r="B591" t="s">
        <v>153</v>
      </c>
      <c r="C591" s="1">
        <v>45690</v>
      </c>
      <c r="D591" s="2" t="s">
        <v>25</v>
      </c>
      <c r="E591" t="s">
        <v>34</v>
      </c>
      <c r="G591" s="3">
        <v>425</v>
      </c>
      <c r="H591" t="s">
        <v>174</v>
      </c>
      <c r="I591" s="3" t="str">
        <f t="shared" si="27"/>
        <v>2025-02</v>
      </c>
      <c r="J591" s="1">
        <f t="shared" si="28"/>
        <v>45690</v>
      </c>
      <c r="K591" t="str">
        <f t="shared" si="29"/>
        <v>LAPSED</v>
      </c>
    </row>
    <row r="592" spans="1:11">
      <c r="A592">
        <v>511</v>
      </c>
      <c r="B592" t="s">
        <v>148</v>
      </c>
      <c r="C592" s="1">
        <v>45631</v>
      </c>
      <c r="D592" s="2" t="s">
        <v>25</v>
      </c>
      <c r="E592" t="s">
        <v>34</v>
      </c>
      <c r="G592" s="3">
        <v>967</v>
      </c>
      <c r="H592" t="s">
        <v>172</v>
      </c>
      <c r="I592" s="3" t="str">
        <f t="shared" si="27"/>
        <v>2024-12</v>
      </c>
      <c r="J592" s="1">
        <f t="shared" si="28"/>
        <v>45766</v>
      </c>
      <c r="K592" t="str">
        <f t="shared" si="29"/>
        <v>ACTIVE</v>
      </c>
    </row>
    <row r="593" spans="1:11">
      <c r="A593">
        <v>281</v>
      </c>
      <c r="B593" t="s">
        <v>44</v>
      </c>
      <c r="C593" s="1">
        <v>45542</v>
      </c>
      <c r="D593" s="2" t="s">
        <v>28</v>
      </c>
      <c r="E593" t="s">
        <v>31</v>
      </c>
      <c r="G593" s="3">
        <v>876</v>
      </c>
      <c r="H593" t="s">
        <v>172</v>
      </c>
      <c r="I593" s="3" t="str">
        <f t="shared" si="27"/>
        <v>2024-09</v>
      </c>
      <c r="J593" s="1">
        <f t="shared" si="28"/>
        <v>45814</v>
      </c>
      <c r="K593" t="str">
        <f t="shared" si="29"/>
        <v>ACTIVE</v>
      </c>
    </row>
    <row r="594" spans="1:11">
      <c r="A594">
        <v>928</v>
      </c>
      <c r="B594" t="s">
        <v>44</v>
      </c>
      <c r="C594" s="1">
        <v>45787</v>
      </c>
      <c r="D594" s="2" t="s">
        <v>25</v>
      </c>
      <c r="E594" t="s">
        <v>31</v>
      </c>
      <c r="G594" s="3">
        <v>1177</v>
      </c>
      <c r="H594" t="s">
        <v>176</v>
      </c>
      <c r="I594" s="3" t="str">
        <f t="shared" si="27"/>
        <v>2025-05</v>
      </c>
      <c r="J594" s="1">
        <f t="shared" si="28"/>
        <v>45814</v>
      </c>
      <c r="K594" t="str">
        <f t="shared" si="29"/>
        <v>ACTIVE</v>
      </c>
    </row>
    <row r="595" spans="1:11">
      <c r="A595">
        <v>1664</v>
      </c>
      <c r="B595" t="s">
        <v>126</v>
      </c>
      <c r="C595" s="1">
        <v>45314</v>
      </c>
      <c r="D595" s="2" t="s">
        <v>23</v>
      </c>
      <c r="E595" t="s">
        <v>35</v>
      </c>
      <c r="G595" s="3">
        <v>2928</v>
      </c>
      <c r="H595" t="s">
        <v>175</v>
      </c>
      <c r="I595" s="3" t="str">
        <f t="shared" si="27"/>
        <v>2024-01</v>
      </c>
      <c r="J595" s="1">
        <f t="shared" si="28"/>
        <v>45827</v>
      </c>
      <c r="K595" t="str">
        <f t="shared" si="29"/>
        <v>ACTIVE</v>
      </c>
    </row>
    <row r="596" spans="1:11">
      <c r="A596">
        <v>1330</v>
      </c>
      <c r="B596" t="s">
        <v>115</v>
      </c>
      <c r="C596" s="1">
        <v>45612</v>
      </c>
      <c r="D596" s="2" t="s">
        <v>28</v>
      </c>
      <c r="E596" t="s">
        <v>31</v>
      </c>
      <c r="G596" s="3">
        <v>9363</v>
      </c>
      <c r="H596" t="s">
        <v>174</v>
      </c>
      <c r="I596" s="3" t="str">
        <f t="shared" si="27"/>
        <v>2024-11</v>
      </c>
      <c r="J596" s="1">
        <f t="shared" si="28"/>
        <v>45810</v>
      </c>
      <c r="K596" t="str">
        <f t="shared" si="29"/>
        <v>ACTIVE</v>
      </c>
    </row>
    <row r="597" spans="1:11">
      <c r="A597">
        <v>841</v>
      </c>
      <c r="B597" t="s">
        <v>50</v>
      </c>
      <c r="C597" s="1">
        <v>45589</v>
      </c>
      <c r="D597" s="2" t="s">
        <v>25</v>
      </c>
      <c r="E597" t="s">
        <v>34</v>
      </c>
      <c r="G597" s="3">
        <v>5481</v>
      </c>
      <c r="H597" t="s">
        <v>172</v>
      </c>
      <c r="I597" s="3" t="str">
        <f t="shared" si="27"/>
        <v>2024-10</v>
      </c>
      <c r="J597" s="1">
        <f t="shared" si="28"/>
        <v>45831</v>
      </c>
      <c r="K597" t="str">
        <f t="shared" si="29"/>
        <v>ACTIVE</v>
      </c>
    </row>
    <row r="598" spans="1:11">
      <c r="A598">
        <v>519</v>
      </c>
      <c r="B598" t="s">
        <v>160</v>
      </c>
      <c r="C598" s="1">
        <v>45321</v>
      </c>
      <c r="D598" s="2" t="s">
        <v>27</v>
      </c>
      <c r="E598" t="s">
        <v>33</v>
      </c>
      <c r="G598" s="3">
        <v>5668</v>
      </c>
      <c r="H598" t="s">
        <v>173</v>
      </c>
      <c r="I598" s="3" t="str">
        <f t="shared" si="27"/>
        <v>2024-01</v>
      </c>
      <c r="J598" s="1">
        <f t="shared" si="28"/>
        <v>45734</v>
      </c>
      <c r="K598" t="str">
        <f t="shared" si="29"/>
        <v>LAPSED</v>
      </c>
    </row>
    <row r="599" spans="1:11">
      <c r="A599">
        <v>856</v>
      </c>
      <c r="B599" t="s">
        <v>47</v>
      </c>
      <c r="C599" s="1">
        <v>45792</v>
      </c>
      <c r="D599" s="2" t="s">
        <v>23</v>
      </c>
      <c r="E599" t="s">
        <v>35</v>
      </c>
      <c r="G599" s="3">
        <v>10855</v>
      </c>
      <c r="H599" t="s">
        <v>176</v>
      </c>
      <c r="I599" s="3" t="str">
        <f t="shared" si="27"/>
        <v>2025-05</v>
      </c>
      <c r="J599" s="1">
        <f t="shared" si="28"/>
        <v>45792</v>
      </c>
      <c r="K599" t="str">
        <f t="shared" si="29"/>
        <v>ACTIVE</v>
      </c>
    </row>
    <row r="600" spans="1:11">
      <c r="A600">
        <v>1598</v>
      </c>
      <c r="B600" t="s">
        <v>86</v>
      </c>
      <c r="C600" s="1">
        <v>45507</v>
      </c>
      <c r="D600" s="2" t="s">
        <v>24</v>
      </c>
      <c r="E600" t="s">
        <v>34</v>
      </c>
      <c r="G600" s="3">
        <v>4587</v>
      </c>
      <c r="H600" t="s">
        <v>176</v>
      </c>
      <c r="I600" s="3" t="str">
        <f t="shared" si="27"/>
        <v>2024-08</v>
      </c>
      <c r="J600" s="1">
        <f t="shared" si="28"/>
        <v>45819</v>
      </c>
      <c r="K600" t="str">
        <f t="shared" si="29"/>
        <v>ACTIVE</v>
      </c>
    </row>
    <row r="601" spans="1:11">
      <c r="A601">
        <v>68</v>
      </c>
      <c r="B601" t="s">
        <v>61</v>
      </c>
      <c r="C601" s="1">
        <v>45640</v>
      </c>
      <c r="D601" s="2" t="s">
        <v>25</v>
      </c>
      <c r="E601" t="s">
        <v>31</v>
      </c>
      <c r="G601" s="3">
        <v>254</v>
      </c>
      <c r="H601" t="s">
        <v>176</v>
      </c>
      <c r="I601" s="3" t="str">
        <f t="shared" si="27"/>
        <v>2024-12</v>
      </c>
      <c r="J601" s="1">
        <f t="shared" si="28"/>
        <v>45815</v>
      </c>
      <c r="K601" t="str">
        <f t="shared" si="29"/>
        <v>ACTIVE</v>
      </c>
    </row>
    <row r="602" spans="1:11">
      <c r="A602">
        <v>1738</v>
      </c>
      <c r="B602" t="s">
        <v>88</v>
      </c>
      <c r="C602" s="1">
        <v>45642</v>
      </c>
      <c r="D602" s="2" t="s">
        <v>24</v>
      </c>
      <c r="E602" t="s">
        <v>34</v>
      </c>
      <c r="G602" s="3">
        <v>261</v>
      </c>
      <c r="H602" t="s">
        <v>172</v>
      </c>
      <c r="I602" s="3" t="str">
        <f t="shared" si="27"/>
        <v>2024-12</v>
      </c>
      <c r="J602" s="1">
        <f t="shared" si="28"/>
        <v>45763</v>
      </c>
      <c r="K602" t="str">
        <f t="shared" si="29"/>
        <v>ACTIVE</v>
      </c>
    </row>
    <row r="603" spans="1:11">
      <c r="A603">
        <v>569</v>
      </c>
      <c r="B603" t="s">
        <v>78</v>
      </c>
      <c r="C603" s="1">
        <v>45659</v>
      </c>
      <c r="D603" s="2" t="s">
        <v>24</v>
      </c>
      <c r="E603" t="s">
        <v>32</v>
      </c>
      <c r="G603" s="3">
        <v>526</v>
      </c>
      <c r="H603" t="s">
        <v>176</v>
      </c>
      <c r="I603" s="3" t="str">
        <f t="shared" si="27"/>
        <v>2025-01</v>
      </c>
      <c r="J603" s="1">
        <f t="shared" si="28"/>
        <v>45821</v>
      </c>
      <c r="K603" t="str">
        <f t="shared" si="29"/>
        <v>ACTIVE</v>
      </c>
    </row>
    <row r="604" spans="1:11">
      <c r="A604">
        <v>956</v>
      </c>
      <c r="B604" t="s">
        <v>160</v>
      </c>
      <c r="C604" s="1">
        <v>45694</v>
      </c>
      <c r="D604" s="2" t="s">
        <v>25</v>
      </c>
      <c r="E604" t="s">
        <v>35</v>
      </c>
      <c r="G604" s="3">
        <v>639</v>
      </c>
      <c r="H604" t="s">
        <v>173</v>
      </c>
      <c r="I604" s="3" t="str">
        <f t="shared" si="27"/>
        <v>2025-02</v>
      </c>
      <c r="J604" s="1">
        <f t="shared" si="28"/>
        <v>45734</v>
      </c>
      <c r="K604" t="str">
        <f t="shared" si="29"/>
        <v>LAPSED</v>
      </c>
    </row>
    <row r="605" spans="1:11">
      <c r="A605">
        <v>1086</v>
      </c>
      <c r="B605" t="s">
        <v>147</v>
      </c>
      <c r="C605" s="1">
        <v>45633</v>
      </c>
      <c r="D605" s="2" t="s">
        <v>24</v>
      </c>
      <c r="E605" t="s">
        <v>35</v>
      </c>
      <c r="G605" s="3">
        <v>1062</v>
      </c>
      <c r="H605" t="s">
        <v>175</v>
      </c>
      <c r="I605" s="3" t="str">
        <f t="shared" si="27"/>
        <v>2024-12</v>
      </c>
      <c r="J605" s="1">
        <f t="shared" si="28"/>
        <v>45752</v>
      </c>
      <c r="K605" t="str">
        <f t="shared" si="29"/>
        <v>ACTIVE</v>
      </c>
    </row>
    <row r="606" spans="1:11">
      <c r="A606">
        <v>1299</v>
      </c>
      <c r="B606" t="s">
        <v>120</v>
      </c>
      <c r="C606" s="1">
        <v>45328</v>
      </c>
      <c r="D606" s="2" t="s">
        <v>25</v>
      </c>
      <c r="E606" t="s">
        <v>34</v>
      </c>
      <c r="G606" s="3">
        <v>809</v>
      </c>
      <c r="H606" t="s">
        <v>176</v>
      </c>
      <c r="I606" s="3" t="str">
        <f t="shared" si="27"/>
        <v>2024-02</v>
      </c>
      <c r="J606" s="1">
        <f t="shared" si="28"/>
        <v>45817</v>
      </c>
      <c r="K606" t="str">
        <f t="shared" si="29"/>
        <v>ACTIVE</v>
      </c>
    </row>
    <row r="607" spans="1:11">
      <c r="A607">
        <v>838</v>
      </c>
      <c r="B607" t="s">
        <v>52</v>
      </c>
      <c r="C607" s="1">
        <v>45383</v>
      </c>
      <c r="D607" s="2" t="s">
        <v>28</v>
      </c>
      <c r="E607" t="s">
        <v>30</v>
      </c>
      <c r="G607" s="3">
        <v>432</v>
      </c>
      <c r="H607" t="s">
        <v>174</v>
      </c>
      <c r="I607" s="3" t="str">
        <f t="shared" si="27"/>
        <v>2024-04</v>
      </c>
      <c r="J607" s="1">
        <f t="shared" si="28"/>
        <v>45811</v>
      </c>
      <c r="K607" t="str">
        <f t="shared" si="29"/>
        <v>ACTIVE</v>
      </c>
    </row>
    <row r="608" spans="1:11">
      <c r="A608">
        <v>473</v>
      </c>
      <c r="B608" t="s">
        <v>157</v>
      </c>
      <c r="C608" s="1">
        <v>45623</v>
      </c>
      <c r="D608" s="2" t="s">
        <v>27</v>
      </c>
      <c r="E608" t="s">
        <v>35</v>
      </c>
      <c r="G608" s="3">
        <v>8856</v>
      </c>
      <c r="H608" t="s">
        <v>175</v>
      </c>
      <c r="I608" s="3" t="str">
        <f t="shared" si="27"/>
        <v>2024-11</v>
      </c>
      <c r="J608" s="1">
        <f t="shared" si="28"/>
        <v>45729</v>
      </c>
      <c r="K608" t="str">
        <f t="shared" si="29"/>
        <v>LAPSED</v>
      </c>
    </row>
    <row r="609" spans="1:11">
      <c r="A609">
        <v>1636</v>
      </c>
      <c r="B609" t="s">
        <v>114</v>
      </c>
      <c r="C609" s="1">
        <v>45696</v>
      </c>
      <c r="D609" s="2" t="s">
        <v>23</v>
      </c>
      <c r="E609" t="s">
        <v>33</v>
      </c>
      <c r="G609" s="3">
        <v>5720</v>
      </c>
      <c r="H609" t="s">
        <v>175</v>
      </c>
      <c r="I609" s="3" t="str">
        <f t="shared" si="27"/>
        <v>2025-02</v>
      </c>
      <c r="J609" s="1">
        <f t="shared" si="28"/>
        <v>45815</v>
      </c>
      <c r="K609" t="str">
        <f t="shared" si="29"/>
        <v>ACTIVE</v>
      </c>
    </row>
    <row r="610" spans="1:11">
      <c r="A610">
        <v>512</v>
      </c>
      <c r="B610" t="s">
        <v>94</v>
      </c>
      <c r="C610" s="1">
        <v>45473</v>
      </c>
      <c r="D610" s="2" t="s">
        <v>23</v>
      </c>
      <c r="E610" t="s">
        <v>31</v>
      </c>
      <c r="G610" s="3">
        <v>419</v>
      </c>
      <c r="H610" t="s">
        <v>174</v>
      </c>
      <c r="I610" s="3" t="str">
        <f t="shared" si="27"/>
        <v>2024-06</v>
      </c>
      <c r="J610" s="1">
        <f t="shared" si="28"/>
        <v>45824</v>
      </c>
      <c r="K610" t="str">
        <f t="shared" si="29"/>
        <v>ACTIVE</v>
      </c>
    </row>
    <row r="611" spans="1:11">
      <c r="A611">
        <v>1133</v>
      </c>
      <c r="B611" t="s">
        <v>61</v>
      </c>
      <c r="C611" s="1">
        <v>45374</v>
      </c>
      <c r="D611" s="2" t="s">
        <v>26</v>
      </c>
      <c r="E611" t="s">
        <v>33</v>
      </c>
      <c r="G611" s="3">
        <v>627</v>
      </c>
      <c r="H611" t="s">
        <v>172</v>
      </c>
      <c r="I611" s="3" t="str">
        <f t="shared" si="27"/>
        <v>2024-03</v>
      </c>
      <c r="J611" s="1">
        <f t="shared" si="28"/>
        <v>45815</v>
      </c>
      <c r="K611" t="str">
        <f t="shared" si="29"/>
        <v>ACTIVE</v>
      </c>
    </row>
    <row r="612" spans="1:11">
      <c r="A612">
        <v>1564</v>
      </c>
      <c r="B612" t="s">
        <v>144</v>
      </c>
      <c r="C612" s="1">
        <v>45751</v>
      </c>
      <c r="D612" s="2" t="s">
        <v>27</v>
      </c>
      <c r="E612" t="s">
        <v>30</v>
      </c>
      <c r="G612" s="3">
        <v>829</v>
      </c>
      <c r="H612" t="s">
        <v>173</v>
      </c>
      <c r="I612" s="3" t="str">
        <f t="shared" si="27"/>
        <v>2025-04</v>
      </c>
      <c r="J612" s="1">
        <f t="shared" si="28"/>
        <v>45751</v>
      </c>
      <c r="K612" t="str">
        <f t="shared" si="29"/>
        <v>ACTIVE</v>
      </c>
    </row>
    <row r="613" spans="1:11">
      <c r="A613">
        <v>1505</v>
      </c>
      <c r="B613" t="s">
        <v>77</v>
      </c>
      <c r="C613" s="1">
        <v>45577</v>
      </c>
      <c r="D613" s="2" t="s">
        <v>24</v>
      </c>
      <c r="E613" t="s">
        <v>35</v>
      </c>
      <c r="G613" s="3">
        <v>2341</v>
      </c>
      <c r="H613" t="s">
        <v>176</v>
      </c>
      <c r="I613" s="3" t="str">
        <f t="shared" si="27"/>
        <v>2024-10</v>
      </c>
      <c r="J613" s="1">
        <f t="shared" si="28"/>
        <v>45821</v>
      </c>
      <c r="K613" t="str">
        <f t="shared" si="29"/>
        <v>ACTIVE</v>
      </c>
    </row>
    <row r="614" spans="1:11">
      <c r="A614">
        <v>319</v>
      </c>
      <c r="B614" t="s">
        <v>108</v>
      </c>
      <c r="C614" s="1">
        <v>45778</v>
      </c>
      <c r="D614" s="2" t="s">
        <v>27</v>
      </c>
      <c r="E614" t="s">
        <v>32</v>
      </c>
      <c r="G614" s="3">
        <v>2079</v>
      </c>
      <c r="H614" t="s">
        <v>176</v>
      </c>
      <c r="I614" s="3" t="str">
        <f t="shared" si="27"/>
        <v>2025-05</v>
      </c>
      <c r="J614" s="1">
        <f t="shared" si="28"/>
        <v>45826</v>
      </c>
      <c r="K614" t="str">
        <f t="shared" si="29"/>
        <v>ACTIVE</v>
      </c>
    </row>
    <row r="615" spans="1:11">
      <c r="A615">
        <v>1552</v>
      </c>
      <c r="B615" t="s">
        <v>88</v>
      </c>
      <c r="C615" s="1">
        <v>45348</v>
      </c>
      <c r="D615" s="2" t="s">
        <v>23</v>
      </c>
      <c r="E615" t="s">
        <v>30</v>
      </c>
      <c r="G615" s="3">
        <v>598</v>
      </c>
      <c r="H615" t="s">
        <v>173</v>
      </c>
      <c r="I615" s="3" t="str">
        <f t="shared" si="27"/>
        <v>2024-02</v>
      </c>
      <c r="J615" s="1">
        <f t="shared" si="28"/>
        <v>45763</v>
      </c>
      <c r="K615" t="str">
        <f t="shared" si="29"/>
        <v>ACTIVE</v>
      </c>
    </row>
    <row r="616" spans="1:11">
      <c r="A616">
        <v>922</v>
      </c>
      <c r="B616" t="s">
        <v>96</v>
      </c>
      <c r="C616" s="1">
        <v>45598</v>
      </c>
      <c r="D616" s="2" t="s">
        <v>28</v>
      </c>
      <c r="E616" t="s">
        <v>30</v>
      </c>
      <c r="G616" s="3">
        <v>4888</v>
      </c>
      <c r="H616" t="s">
        <v>176</v>
      </c>
      <c r="I616" s="3" t="str">
        <f t="shared" si="27"/>
        <v>2024-11</v>
      </c>
      <c r="J616" s="1">
        <f t="shared" si="28"/>
        <v>45798</v>
      </c>
      <c r="K616" t="str">
        <f t="shared" si="29"/>
        <v>ACTIVE</v>
      </c>
    </row>
    <row r="617" spans="1:11">
      <c r="A617">
        <v>582</v>
      </c>
      <c r="B617" t="s">
        <v>65</v>
      </c>
      <c r="C617" s="1">
        <v>45811</v>
      </c>
      <c r="D617" s="2" t="s">
        <v>28</v>
      </c>
      <c r="E617" t="s">
        <v>30</v>
      </c>
      <c r="G617" s="3">
        <v>1821</v>
      </c>
      <c r="H617" t="s">
        <v>172</v>
      </c>
      <c r="I617" s="3" t="str">
        <f t="shared" si="27"/>
        <v>2025-06</v>
      </c>
      <c r="J617" s="1">
        <f t="shared" si="28"/>
        <v>45813</v>
      </c>
      <c r="K617" t="str">
        <f t="shared" si="29"/>
        <v>ACTIVE</v>
      </c>
    </row>
    <row r="618" spans="1:11">
      <c r="A618">
        <v>133</v>
      </c>
      <c r="B618" t="s">
        <v>51</v>
      </c>
      <c r="C618" s="1">
        <v>45629</v>
      </c>
      <c r="D618" s="2" t="s">
        <v>23</v>
      </c>
      <c r="E618" t="s">
        <v>30</v>
      </c>
      <c r="G618" s="3">
        <v>685</v>
      </c>
      <c r="H618" t="s">
        <v>175</v>
      </c>
      <c r="I618" s="3" t="str">
        <f t="shared" si="27"/>
        <v>2024-12</v>
      </c>
      <c r="J618" s="1">
        <f t="shared" si="28"/>
        <v>45775</v>
      </c>
      <c r="K618" t="str">
        <f t="shared" si="29"/>
        <v>ACTIVE</v>
      </c>
    </row>
    <row r="619" spans="1:11">
      <c r="A619">
        <v>673</v>
      </c>
      <c r="B619" t="s">
        <v>153</v>
      </c>
      <c r="C619" s="1">
        <v>45683</v>
      </c>
      <c r="D619" s="2" t="s">
        <v>28</v>
      </c>
      <c r="E619" t="s">
        <v>33</v>
      </c>
      <c r="G619" s="3">
        <v>2396</v>
      </c>
      <c r="H619" t="s">
        <v>174</v>
      </c>
      <c r="I619" s="3" t="str">
        <f t="shared" si="27"/>
        <v>2025-01</v>
      </c>
      <c r="J619" s="1">
        <f t="shared" si="28"/>
        <v>45690</v>
      </c>
      <c r="K619" t="str">
        <f t="shared" si="29"/>
        <v>LAPSED</v>
      </c>
    </row>
    <row r="620" spans="1:11">
      <c r="A620">
        <v>641</v>
      </c>
      <c r="B620" t="s">
        <v>130</v>
      </c>
      <c r="C620" s="1">
        <v>45310</v>
      </c>
      <c r="D620" s="2" t="s">
        <v>25</v>
      </c>
      <c r="E620" t="s">
        <v>32</v>
      </c>
      <c r="G620" s="3">
        <v>953</v>
      </c>
      <c r="H620" t="s">
        <v>174</v>
      </c>
      <c r="I620" s="3" t="str">
        <f t="shared" si="27"/>
        <v>2024-01</v>
      </c>
      <c r="J620" s="1">
        <f t="shared" si="28"/>
        <v>45828</v>
      </c>
      <c r="K620" t="str">
        <f t="shared" si="29"/>
        <v>ACTIVE</v>
      </c>
    </row>
    <row r="621" spans="1:11">
      <c r="A621">
        <v>1759</v>
      </c>
      <c r="B621" t="s">
        <v>159</v>
      </c>
      <c r="C621" s="1">
        <v>45647</v>
      </c>
      <c r="D621" s="2" t="s">
        <v>23</v>
      </c>
      <c r="E621" t="s">
        <v>31</v>
      </c>
      <c r="G621" s="3">
        <v>316</v>
      </c>
      <c r="H621" t="s">
        <v>175</v>
      </c>
      <c r="I621" s="3" t="str">
        <f t="shared" si="27"/>
        <v>2024-12</v>
      </c>
      <c r="J621" s="1">
        <f t="shared" si="28"/>
        <v>45713</v>
      </c>
      <c r="K621" t="str">
        <f t="shared" si="29"/>
        <v>LAPSED</v>
      </c>
    </row>
    <row r="622" spans="1:11">
      <c r="A622">
        <v>1049</v>
      </c>
      <c r="B622" t="s">
        <v>68</v>
      </c>
      <c r="C622" s="1">
        <v>45379</v>
      </c>
      <c r="D622" s="2" t="s">
        <v>23</v>
      </c>
      <c r="E622" t="s">
        <v>31</v>
      </c>
      <c r="G622" s="3">
        <v>5142</v>
      </c>
      <c r="H622" t="s">
        <v>176</v>
      </c>
      <c r="I622" s="3" t="str">
        <f t="shared" si="27"/>
        <v>2024-03</v>
      </c>
      <c r="J622" s="1">
        <f t="shared" si="28"/>
        <v>45776</v>
      </c>
      <c r="K622" t="str">
        <f t="shared" si="29"/>
        <v>ACTIVE</v>
      </c>
    </row>
    <row r="623" spans="1:11">
      <c r="A623">
        <v>1549</v>
      </c>
      <c r="B623" t="s">
        <v>142</v>
      </c>
      <c r="C623" s="1">
        <v>45676</v>
      </c>
      <c r="D623" s="2" t="s">
        <v>24</v>
      </c>
      <c r="E623" t="s">
        <v>35</v>
      </c>
      <c r="G623" s="3">
        <v>251</v>
      </c>
      <c r="H623" t="s">
        <v>175</v>
      </c>
      <c r="I623" s="3" t="str">
        <f t="shared" si="27"/>
        <v>2025-01</v>
      </c>
      <c r="J623" s="1">
        <f t="shared" si="28"/>
        <v>45803</v>
      </c>
      <c r="K623" t="str">
        <f t="shared" si="29"/>
        <v>ACTIVE</v>
      </c>
    </row>
    <row r="624" spans="1:11">
      <c r="A624">
        <v>126</v>
      </c>
      <c r="B624" t="s">
        <v>67</v>
      </c>
      <c r="C624" s="1">
        <v>45443</v>
      </c>
      <c r="D624" s="2" t="s">
        <v>25</v>
      </c>
      <c r="E624" t="s">
        <v>33</v>
      </c>
      <c r="G624" s="3">
        <v>2197</v>
      </c>
      <c r="H624" t="s">
        <v>175</v>
      </c>
      <c r="I624" s="3" t="str">
        <f t="shared" si="27"/>
        <v>2024-05</v>
      </c>
      <c r="J624" s="1">
        <f t="shared" si="28"/>
        <v>45794</v>
      </c>
      <c r="K624" t="str">
        <f t="shared" si="29"/>
        <v>ACTIVE</v>
      </c>
    </row>
    <row r="625" spans="1:11">
      <c r="A625">
        <v>1341</v>
      </c>
      <c r="B625" t="s">
        <v>57</v>
      </c>
      <c r="C625" s="1">
        <v>45435</v>
      </c>
      <c r="D625" s="2" t="s">
        <v>25</v>
      </c>
      <c r="E625" t="s">
        <v>35</v>
      </c>
      <c r="G625" s="3">
        <v>1764</v>
      </c>
      <c r="H625" t="s">
        <v>172</v>
      </c>
      <c r="I625" s="3" t="str">
        <f t="shared" si="27"/>
        <v>2024-05</v>
      </c>
      <c r="J625" s="1">
        <f t="shared" si="28"/>
        <v>45808</v>
      </c>
      <c r="K625" t="str">
        <f t="shared" si="29"/>
        <v>ACTIVE</v>
      </c>
    </row>
    <row r="626" spans="1:11">
      <c r="A626">
        <v>869</v>
      </c>
      <c r="B626" t="s">
        <v>124</v>
      </c>
      <c r="C626" s="1">
        <v>45671</v>
      </c>
      <c r="D626" s="2" t="s">
        <v>27</v>
      </c>
      <c r="E626" t="s">
        <v>30</v>
      </c>
      <c r="G626" s="3">
        <v>812</v>
      </c>
      <c r="H626" t="s">
        <v>172</v>
      </c>
      <c r="I626" s="3" t="str">
        <f t="shared" si="27"/>
        <v>2025-01</v>
      </c>
      <c r="J626" s="1">
        <f t="shared" si="28"/>
        <v>45793</v>
      </c>
      <c r="K626" t="str">
        <f t="shared" si="29"/>
        <v>ACTIVE</v>
      </c>
    </row>
    <row r="627" spans="1:11">
      <c r="A627">
        <v>257</v>
      </c>
      <c r="B627" t="s">
        <v>133</v>
      </c>
      <c r="C627" s="1">
        <v>45434</v>
      </c>
      <c r="D627" s="2" t="s">
        <v>27</v>
      </c>
      <c r="E627" t="s">
        <v>33</v>
      </c>
      <c r="G627" s="3">
        <v>514</v>
      </c>
      <c r="H627" t="s">
        <v>175</v>
      </c>
      <c r="I627" s="3" t="str">
        <f t="shared" si="27"/>
        <v>2024-05</v>
      </c>
      <c r="J627" s="1">
        <f t="shared" si="28"/>
        <v>45788</v>
      </c>
      <c r="K627" t="str">
        <f t="shared" si="29"/>
        <v>ACTIVE</v>
      </c>
    </row>
    <row r="628" spans="1:11">
      <c r="A628">
        <v>1773</v>
      </c>
      <c r="B628" t="s">
        <v>73</v>
      </c>
      <c r="C628" s="1">
        <v>45298</v>
      </c>
      <c r="D628" s="2" t="s">
        <v>24</v>
      </c>
      <c r="E628" t="s">
        <v>32</v>
      </c>
      <c r="G628" s="3">
        <v>5508</v>
      </c>
      <c r="H628" t="s">
        <v>175</v>
      </c>
      <c r="I628" s="3" t="str">
        <f t="shared" si="27"/>
        <v>2024-01</v>
      </c>
      <c r="J628" s="1">
        <f t="shared" si="28"/>
        <v>45800</v>
      </c>
      <c r="K628" t="str">
        <f t="shared" si="29"/>
        <v>ACTIVE</v>
      </c>
    </row>
    <row r="629" spans="1:11">
      <c r="A629">
        <v>290</v>
      </c>
      <c r="B629" t="s">
        <v>57</v>
      </c>
      <c r="C629" s="1">
        <v>45403</v>
      </c>
      <c r="D629" s="2" t="s">
        <v>25</v>
      </c>
      <c r="E629" t="s">
        <v>33</v>
      </c>
      <c r="G629" s="3">
        <v>296</v>
      </c>
      <c r="H629" t="s">
        <v>173</v>
      </c>
      <c r="I629" s="3" t="str">
        <f t="shared" si="27"/>
        <v>2024-04</v>
      </c>
      <c r="J629" s="1">
        <f t="shared" si="28"/>
        <v>45808</v>
      </c>
      <c r="K629" t="str">
        <f t="shared" si="29"/>
        <v>ACTIVE</v>
      </c>
    </row>
    <row r="630" spans="1:11">
      <c r="A630">
        <v>82</v>
      </c>
      <c r="B630" t="s">
        <v>99</v>
      </c>
      <c r="C630" s="1">
        <v>45449</v>
      </c>
      <c r="D630" s="2" t="s">
        <v>24</v>
      </c>
      <c r="E630" t="s">
        <v>35</v>
      </c>
      <c r="G630" s="3">
        <v>2415</v>
      </c>
      <c r="H630" t="s">
        <v>173</v>
      </c>
      <c r="I630" s="3" t="str">
        <f t="shared" si="27"/>
        <v>2024-06</v>
      </c>
      <c r="J630" s="1">
        <f t="shared" si="28"/>
        <v>45828</v>
      </c>
      <c r="K630" t="str">
        <f t="shared" si="29"/>
        <v>ACTIVE</v>
      </c>
    </row>
    <row r="631" spans="1:11">
      <c r="A631">
        <v>54</v>
      </c>
      <c r="B631" t="s">
        <v>69</v>
      </c>
      <c r="C631" s="1">
        <v>45723</v>
      </c>
      <c r="D631" s="2" t="s">
        <v>25</v>
      </c>
      <c r="E631" t="s">
        <v>32</v>
      </c>
      <c r="G631" s="3">
        <v>550</v>
      </c>
      <c r="H631" t="s">
        <v>176</v>
      </c>
      <c r="I631" s="3" t="str">
        <f t="shared" si="27"/>
        <v>2025-03</v>
      </c>
      <c r="J631" s="1">
        <f t="shared" si="28"/>
        <v>45829</v>
      </c>
      <c r="K631" t="str">
        <f t="shared" si="29"/>
        <v>ACTIVE</v>
      </c>
    </row>
    <row r="632" spans="1:11">
      <c r="A632">
        <v>858</v>
      </c>
      <c r="B632" t="s">
        <v>49</v>
      </c>
      <c r="C632" s="1">
        <v>45327</v>
      </c>
      <c r="D632" s="2" t="s">
        <v>25</v>
      </c>
      <c r="E632" t="s">
        <v>35</v>
      </c>
      <c r="G632" s="3">
        <v>2364</v>
      </c>
      <c r="H632" t="s">
        <v>175</v>
      </c>
      <c r="I632" s="3" t="str">
        <f t="shared" si="27"/>
        <v>2024-02</v>
      </c>
      <c r="J632" s="1">
        <f t="shared" si="28"/>
        <v>45812</v>
      </c>
      <c r="K632" t="str">
        <f t="shared" si="29"/>
        <v>ACTIVE</v>
      </c>
    </row>
    <row r="633" spans="1:11">
      <c r="A633">
        <v>993</v>
      </c>
      <c r="B633" t="s">
        <v>56</v>
      </c>
      <c r="C633" s="1">
        <v>45758</v>
      </c>
      <c r="D633" s="2" t="s">
        <v>25</v>
      </c>
      <c r="E633" t="s">
        <v>30</v>
      </c>
      <c r="G633" s="3">
        <v>291</v>
      </c>
      <c r="H633" t="s">
        <v>176</v>
      </c>
      <c r="I633" s="3" t="str">
        <f t="shared" si="27"/>
        <v>2025-04</v>
      </c>
      <c r="J633" s="1">
        <f t="shared" si="28"/>
        <v>45805</v>
      </c>
      <c r="K633" t="str">
        <f t="shared" si="29"/>
        <v>ACTIVE</v>
      </c>
    </row>
    <row r="634" spans="1:11">
      <c r="A634">
        <v>41</v>
      </c>
      <c r="B634" t="s">
        <v>123</v>
      </c>
      <c r="C634" s="1">
        <v>45704</v>
      </c>
      <c r="D634" s="2" t="s">
        <v>24</v>
      </c>
      <c r="E634" t="s">
        <v>35</v>
      </c>
      <c r="G634" s="3">
        <v>1315</v>
      </c>
      <c r="H634" t="s">
        <v>173</v>
      </c>
      <c r="I634" s="3" t="str">
        <f t="shared" si="27"/>
        <v>2025-02</v>
      </c>
      <c r="J634" s="1">
        <f t="shared" si="28"/>
        <v>45772</v>
      </c>
      <c r="K634" t="str">
        <f t="shared" si="29"/>
        <v>ACTIVE</v>
      </c>
    </row>
    <row r="635" spans="1:11">
      <c r="A635">
        <v>1313</v>
      </c>
      <c r="B635" t="s">
        <v>114</v>
      </c>
      <c r="C635" s="1">
        <v>45763</v>
      </c>
      <c r="D635" s="2" t="s">
        <v>24</v>
      </c>
      <c r="E635" t="s">
        <v>30</v>
      </c>
      <c r="G635" s="3">
        <v>1045</v>
      </c>
      <c r="H635" t="s">
        <v>176</v>
      </c>
      <c r="I635" s="3" t="str">
        <f t="shared" si="27"/>
        <v>2025-04</v>
      </c>
      <c r="J635" s="1">
        <f t="shared" si="28"/>
        <v>45815</v>
      </c>
      <c r="K635" t="str">
        <f t="shared" si="29"/>
        <v>ACTIVE</v>
      </c>
    </row>
    <row r="636" spans="1:11">
      <c r="A636">
        <v>262</v>
      </c>
      <c r="B636" t="s">
        <v>160</v>
      </c>
      <c r="C636" s="1">
        <v>45622</v>
      </c>
      <c r="D636" s="2" t="s">
        <v>24</v>
      </c>
      <c r="E636" t="s">
        <v>31</v>
      </c>
      <c r="G636" s="3">
        <v>10312</v>
      </c>
      <c r="H636" t="s">
        <v>175</v>
      </c>
      <c r="I636" s="3" t="str">
        <f t="shared" si="27"/>
        <v>2024-11</v>
      </c>
      <c r="J636" s="1">
        <f t="shared" si="28"/>
        <v>45734</v>
      </c>
      <c r="K636" t="str">
        <f t="shared" si="29"/>
        <v>LAPSED</v>
      </c>
    </row>
    <row r="637" spans="1:11">
      <c r="A637">
        <v>1695</v>
      </c>
      <c r="B637" t="s">
        <v>40</v>
      </c>
      <c r="C637" s="1">
        <v>45346</v>
      </c>
      <c r="D637" s="2" t="s">
        <v>28</v>
      </c>
      <c r="E637" t="s">
        <v>33</v>
      </c>
      <c r="G637" s="3">
        <v>1271</v>
      </c>
      <c r="H637" t="s">
        <v>172</v>
      </c>
      <c r="I637" s="3" t="str">
        <f t="shared" si="27"/>
        <v>2024-02</v>
      </c>
      <c r="J637" s="1">
        <f t="shared" si="28"/>
        <v>45759</v>
      </c>
      <c r="K637" t="str">
        <f t="shared" si="29"/>
        <v>ACTIVE</v>
      </c>
    </row>
    <row r="638" spans="1:11">
      <c r="A638">
        <v>84</v>
      </c>
      <c r="B638" t="s">
        <v>138</v>
      </c>
      <c r="C638" s="1">
        <v>45597</v>
      </c>
      <c r="D638" s="2" t="s">
        <v>23</v>
      </c>
      <c r="E638" t="s">
        <v>35</v>
      </c>
      <c r="G638" s="3">
        <v>344</v>
      </c>
      <c r="H638" t="s">
        <v>173</v>
      </c>
      <c r="I638" s="3" t="str">
        <f t="shared" si="27"/>
        <v>2024-11</v>
      </c>
      <c r="J638" s="1">
        <f t="shared" si="28"/>
        <v>45798</v>
      </c>
      <c r="K638" t="str">
        <f t="shared" si="29"/>
        <v>ACTIVE</v>
      </c>
    </row>
    <row r="639" spans="1:11">
      <c r="A639">
        <v>1352</v>
      </c>
      <c r="B639" t="s">
        <v>94</v>
      </c>
      <c r="C639" s="1">
        <v>45627</v>
      </c>
      <c r="D639" s="2" t="s">
        <v>28</v>
      </c>
      <c r="E639" t="s">
        <v>35</v>
      </c>
      <c r="G639" s="3">
        <v>1752</v>
      </c>
      <c r="H639" t="s">
        <v>173</v>
      </c>
      <c r="I639" s="3" t="str">
        <f t="shared" si="27"/>
        <v>2024-12</v>
      </c>
      <c r="J639" s="1">
        <f t="shared" si="28"/>
        <v>45824</v>
      </c>
      <c r="K639" t="str">
        <f t="shared" si="29"/>
        <v>ACTIVE</v>
      </c>
    </row>
    <row r="640" spans="1:11">
      <c r="A640">
        <v>1443</v>
      </c>
      <c r="B640" t="s">
        <v>55</v>
      </c>
      <c r="C640" s="1">
        <v>45583</v>
      </c>
      <c r="D640" s="2" t="s">
        <v>25</v>
      </c>
      <c r="E640" t="s">
        <v>32</v>
      </c>
      <c r="G640" s="3">
        <v>2157</v>
      </c>
      <c r="H640" t="s">
        <v>175</v>
      </c>
      <c r="I640" s="3" t="str">
        <f t="shared" si="27"/>
        <v>2024-10</v>
      </c>
      <c r="J640" s="1">
        <f t="shared" si="28"/>
        <v>45824</v>
      </c>
      <c r="K640" t="str">
        <f t="shared" si="29"/>
        <v>ACTIVE</v>
      </c>
    </row>
    <row r="641" spans="1:11">
      <c r="A641">
        <v>1401</v>
      </c>
      <c r="B641" t="s">
        <v>145</v>
      </c>
      <c r="C641" s="1">
        <v>45332</v>
      </c>
      <c r="D641" s="2" t="s">
        <v>23</v>
      </c>
      <c r="E641" t="s">
        <v>34</v>
      </c>
      <c r="G641" s="3">
        <v>422</v>
      </c>
      <c r="H641" t="s">
        <v>175</v>
      </c>
      <c r="I641" s="3" t="str">
        <f t="shared" si="27"/>
        <v>2024-02</v>
      </c>
      <c r="J641" s="1">
        <f t="shared" si="28"/>
        <v>45828</v>
      </c>
      <c r="K641" t="str">
        <f t="shared" si="29"/>
        <v>ACTIVE</v>
      </c>
    </row>
    <row r="642" spans="1:11">
      <c r="A642">
        <v>654</v>
      </c>
      <c r="B642" t="s">
        <v>139</v>
      </c>
      <c r="C642" s="1">
        <v>45599</v>
      </c>
      <c r="D642" s="2" t="s">
        <v>28</v>
      </c>
      <c r="E642" t="s">
        <v>32</v>
      </c>
      <c r="G642" s="3">
        <v>5720</v>
      </c>
      <c r="H642" t="s">
        <v>176</v>
      </c>
      <c r="I642" s="3" t="str">
        <f t="shared" si="27"/>
        <v>2024-11</v>
      </c>
      <c r="J642" s="1">
        <f t="shared" si="28"/>
        <v>45830</v>
      </c>
      <c r="K642" t="str">
        <f t="shared" si="29"/>
        <v>ACTIVE</v>
      </c>
    </row>
    <row r="643" spans="1:11">
      <c r="A643">
        <v>31</v>
      </c>
      <c r="B643" t="s">
        <v>160</v>
      </c>
      <c r="C643" s="1">
        <v>45725</v>
      </c>
      <c r="D643" s="2" t="s">
        <v>24</v>
      </c>
      <c r="E643" t="s">
        <v>34</v>
      </c>
      <c r="G643" s="3">
        <v>467</v>
      </c>
      <c r="H643" t="s">
        <v>172</v>
      </c>
      <c r="I643" s="3" t="str">
        <f t="shared" ref="I643:I706" si="30">TEXT(C643, "yyyy-mm")</f>
        <v>2025-03</v>
      </c>
      <c r="J643" s="1">
        <f t="shared" ref="J643:J706" si="31">_xlfn.MAXIFS(C:C, B:B, B643)</f>
        <v>45734</v>
      </c>
      <c r="K643" t="str">
        <f t="shared" ref="K643:K706" si="32">IF($L$3-J643&gt;90, "LAPSED","ACTIVE")</f>
        <v>LAPSED</v>
      </c>
    </row>
    <row r="644" spans="1:11">
      <c r="A644">
        <v>514</v>
      </c>
      <c r="B644" t="s">
        <v>52</v>
      </c>
      <c r="C644" s="1">
        <v>45351</v>
      </c>
      <c r="D644" s="2" t="s">
        <v>23</v>
      </c>
      <c r="E644" t="s">
        <v>30</v>
      </c>
      <c r="G644" s="3">
        <v>11949</v>
      </c>
      <c r="H644" t="s">
        <v>173</v>
      </c>
      <c r="I644" s="3" t="str">
        <f t="shared" si="30"/>
        <v>2024-02</v>
      </c>
      <c r="J644" s="1">
        <f t="shared" si="31"/>
        <v>45811</v>
      </c>
      <c r="K644" t="str">
        <f t="shared" si="32"/>
        <v>ACTIVE</v>
      </c>
    </row>
    <row r="645" spans="1:11">
      <c r="A645">
        <v>1444</v>
      </c>
      <c r="B645" t="s">
        <v>119</v>
      </c>
      <c r="C645" s="1">
        <v>45638</v>
      </c>
      <c r="D645" s="2" t="s">
        <v>27</v>
      </c>
      <c r="E645" t="s">
        <v>30</v>
      </c>
      <c r="G645" s="3">
        <v>337</v>
      </c>
      <c r="H645" t="s">
        <v>174</v>
      </c>
      <c r="I645" s="3" t="str">
        <f t="shared" si="30"/>
        <v>2024-12</v>
      </c>
      <c r="J645" s="1">
        <f t="shared" si="31"/>
        <v>45806</v>
      </c>
      <c r="K645" t="str">
        <f t="shared" si="32"/>
        <v>ACTIVE</v>
      </c>
    </row>
    <row r="646" spans="1:11">
      <c r="A646">
        <v>1517</v>
      </c>
      <c r="B646" t="s">
        <v>67</v>
      </c>
      <c r="C646" s="1">
        <v>45417</v>
      </c>
      <c r="D646" s="2" t="s">
        <v>28</v>
      </c>
      <c r="E646" t="s">
        <v>33</v>
      </c>
      <c r="G646" s="3">
        <v>2512</v>
      </c>
      <c r="H646" t="s">
        <v>174</v>
      </c>
      <c r="I646" s="3" t="str">
        <f t="shared" si="30"/>
        <v>2024-05</v>
      </c>
      <c r="J646" s="1">
        <f t="shared" si="31"/>
        <v>45794</v>
      </c>
      <c r="K646" t="str">
        <f t="shared" si="32"/>
        <v>ACTIVE</v>
      </c>
    </row>
    <row r="647" spans="1:11">
      <c r="A647">
        <v>1462</v>
      </c>
      <c r="B647" t="s">
        <v>54</v>
      </c>
      <c r="C647" s="1">
        <v>45815</v>
      </c>
      <c r="D647" s="2" t="s">
        <v>28</v>
      </c>
      <c r="E647" t="s">
        <v>30</v>
      </c>
      <c r="G647" s="3">
        <v>2785</v>
      </c>
      <c r="H647" t="s">
        <v>174</v>
      </c>
      <c r="I647" s="3" t="str">
        <f t="shared" si="30"/>
        <v>2025-06</v>
      </c>
      <c r="J647" s="1">
        <f t="shared" si="31"/>
        <v>45825</v>
      </c>
      <c r="K647" t="str">
        <f t="shared" si="32"/>
        <v>ACTIVE</v>
      </c>
    </row>
    <row r="648" spans="1:11">
      <c r="A648">
        <v>1424</v>
      </c>
      <c r="B648" t="s">
        <v>74</v>
      </c>
      <c r="C648" s="1">
        <v>45395</v>
      </c>
      <c r="D648" s="2" t="s">
        <v>24</v>
      </c>
      <c r="E648" t="s">
        <v>34</v>
      </c>
      <c r="G648" s="3">
        <v>4930</v>
      </c>
      <c r="H648" t="s">
        <v>173</v>
      </c>
      <c r="I648" s="3" t="str">
        <f t="shared" si="30"/>
        <v>2024-04</v>
      </c>
      <c r="J648" s="1">
        <f t="shared" si="31"/>
        <v>45773</v>
      </c>
      <c r="K648" t="str">
        <f t="shared" si="32"/>
        <v>ACTIVE</v>
      </c>
    </row>
    <row r="649" spans="1:11">
      <c r="A649">
        <v>1184</v>
      </c>
      <c r="B649" t="s">
        <v>142</v>
      </c>
      <c r="C649" s="1">
        <v>45562</v>
      </c>
      <c r="D649" s="2" t="s">
        <v>23</v>
      </c>
      <c r="E649" t="s">
        <v>33</v>
      </c>
      <c r="G649" s="3">
        <v>4551</v>
      </c>
      <c r="H649" t="s">
        <v>175</v>
      </c>
      <c r="I649" s="3" t="str">
        <f t="shared" si="30"/>
        <v>2024-09</v>
      </c>
      <c r="J649" s="1">
        <f t="shared" si="31"/>
        <v>45803</v>
      </c>
      <c r="K649" t="str">
        <f t="shared" si="32"/>
        <v>ACTIVE</v>
      </c>
    </row>
    <row r="650" spans="1:11">
      <c r="A650">
        <v>1439</v>
      </c>
      <c r="B650" t="s">
        <v>110</v>
      </c>
      <c r="C650" s="1">
        <v>45626</v>
      </c>
      <c r="D650" s="2" t="s">
        <v>28</v>
      </c>
      <c r="E650" t="s">
        <v>34</v>
      </c>
      <c r="G650" s="3">
        <v>833</v>
      </c>
      <c r="H650" t="s">
        <v>176</v>
      </c>
      <c r="I650" s="3" t="str">
        <f t="shared" si="30"/>
        <v>2024-11</v>
      </c>
      <c r="J650" s="1">
        <f t="shared" si="31"/>
        <v>45816</v>
      </c>
      <c r="K650" t="str">
        <f t="shared" si="32"/>
        <v>ACTIVE</v>
      </c>
    </row>
    <row r="651" spans="1:11">
      <c r="A651">
        <v>759</v>
      </c>
      <c r="B651" t="s">
        <v>144</v>
      </c>
      <c r="C651" s="1">
        <v>45612</v>
      </c>
      <c r="D651" s="2" t="s">
        <v>25</v>
      </c>
      <c r="E651" t="s">
        <v>33</v>
      </c>
      <c r="G651" s="3">
        <v>584</v>
      </c>
      <c r="H651" t="s">
        <v>173</v>
      </c>
      <c r="I651" s="3" t="str">
        <f t="shared" si="30"/>
        <v>2024-11</v>
      </c>
      <c r="J651" s="1">
        <f t="shared" si="31"/>
        <v>45751</v>
      </c>
      <c r="K651" t="str">
        <f t="shared" si="32"/>
        <v>ACTIVE</v>
      </c>
    </row>
    <row r="652" spans="1:11">
      <c r="A652">
        <v>682</v>
      </c>
      <c r="B652" t="s">
        <v>44</v>
      </c>
      <c r="C652" s="1">
        <v>45798</v>
      </c>
      <c r="D652" s="2" t="s">
        <v>28</v>
      </c>
      <c r="E652" t="s">
        <v>31</v>
      </c>
      <c r="G652" s="3">
        <v>9941</v>
      </c>
      <c r="H652" t="s">
        <v>173</v>
      </c>
      <c r="I652" s="3" t="str">
        <f t="shared" si="30"/>
        <v>2025-05</v>
      </c>
      <c r="J652" s="1">
        <f t="shared" si="31"/>
        <v>45814</v>
      </c>
      <c r="K652" t="str">
        <f t="shared" si="32"/>
        <v>ACTIVE</v>
      </c>
    </row>
    <row r="653" spans="1:11">
      <c r="A653">
        <v>1654</v>
      </c>
      <c r="B653" t="s">
        <v>89</v>
      </c>
      <c r="C653" s="1">
        <v>45704</v>
      </c>
      <c r="D653" s="2" t="s">
        <v>28</v>
      </c>
      <c r="E653" t="s">
        <v>34</v>
      </c>
      <c r="G653" s="3">
        <v>2965</v>
      </c>
      <c r="H653" t="s">
        <v>175</v>
      </c>
      <c r="I653" s="3" t="str">
        <f t="shared" si="30"/>
        <v>2025-02</v>
      </c>
      <c r="J653" s="1">
        <f t="shared" si="31"/>
        <v>45826</v>
      </c>
      <c r="K653" t="str">
        <f t="shared" si="32"/>
        <v>ACTIVE</v>
      </c>
    </row>
    <row r="654" spans="1:11">
      <c r="A654">
        <v>49</v>
      </c>
      <c r="B654" t="s">
        <v>55</v>
      </c>
      <c r="C654" s="1">
        <v>45374</v>
      </c>
      <c r="D654" s="2" t="s">
        <v>27</v>
      </c>
      <c r="E654" t="s">
        <v>33</v>
      </c>
      <c r="G654" s="3">
        <v>808</v>
      </c>
      <c r="H654" t="s">
        <v>172</v>
      </c>
      <c r="I654" s="3" t="str">
        <f t="shared" si="30"/>
        <v>2024-03</v>
      </c>
      <c r="J654" s="1">
        <f t="shared" si="31"/>
        <v>45824</v>
      </c>
      <c r="K654" t="str">
        <f t="shared" si="32"/>
        <v>ACTIVE</v>
      </c>
    </row>
    <row r="655" spans="1:11">
      <c r="A655">
        <v>1079</v>
      </c>
      <c r="B655" t="s">
        <v>43</v>
      </c>
      <c r="C655" s="1">
        <v>45474</v>
      </c>
      <c r="D655" s="2" t="s">
        <v>28</v>
      </c>
      <c r="E655" t="s">
        <v>30</v>
      </c>
      <c r="G655" s="3">
        <v>2613</v>
      </c>
      <c r="H655" t="s">
        <v>175</v>
      </c>
      <c r="I655" s="3" t="str">
        <f t="shared" si="30"/>
        <v>2024-07</v>
      </c>
      <c r="J655" s="1">
        <f t="shared" si="31"/>
        <v>45818</v>
      </c>
      <c r="K655" t="str">
        <f t="shared" si="32"/>
        <v>ACTIVE</v>
      </c>
    </row>
    <row r="656" spans="1:11">
      <c r="A656">
        <v>468</v>
      </c>
      <c r="B656" t="s">
        <v>149</v>
      </c>
      <c r="C656" s="1">
        <v>45795</v>
      </c>
      <c r="D656" s="2" t="s">
        <v>25</v>
      </c>
      <c r="E656" t="s">
        <v>32</v>
      </c>
      <c r="G656" s="3">
        <v>472</v>
      </c>
      <c r="H656" t="s">
        <v>173</v>
      </c>
      <c r="I656" s="3" t="str">
        <f t="shared" si="30"/>
        <v>2025-05</v>
      </c>
      <c r="J656" s="1">
        <f t="shared" si="31"/>
        <v>45795</v>
      </c>
      <c r="K656" t="str">
        <f t="shared" si="32"/>
        <v>ACTIVE</v>
      </c>
    </row>
    <row r="657" spans="1:11">
      <c r="A657">
        <v>154</v>
      </c>
      <c r="B657" t="s">
        <v>118</v>
      </c>
      <c r="C657" s="1">
        <v>45627</v>
      </c>
      <c r="D657" s="2" t="s">
        <v>24</v>
      </c>
      <c r="E657" t="s">
        <v>31</v>
      </c>
      <c r="G657" s="3">
        <v>312</v>
      </c>
      <c r="H657" t="s">
        <v>173</v>
      </c>
      <c r="I657" s="3" t="str">
        <f t="shared" si="30"/>
        <v>2024-12</v>
      </c>
      <c r="J657" s="1">
        <f t="shared" si="31"/>
        <v>45830</v>
      </c>
      <c r="K657" t="str">
        <f t="shared" si="32"/>
        <v>ACTIVE</v>
      </c>
    </row>
    <row r="658" spans="1:11">
      <c r="A658">
        <v>1691</v>
      </c>
      <c r="B658" t="s">
        <v>133</v>
      </c>
      <c r="C658" s="1">
        <v>45572</v>
      </c>
      <c r="D658" s="2" t="s">
        <v>26</v>
      </c>
      <c r="E658" t="s">
        <v>35</v>
      </c>
      <c r="G658" s="3">
        <v>729</v>
      </c>
      <c r="H658" t="s">
        <v>173</v>
      </c>
      <c r="I658" s="3" t="str">
        <f t="shared" si="30"/>
        <v>2024-10</v>
      </c>
      <c r="J658" s="1">
        <f t="shared" si="31"/>
        <v>45788</v>
      </c>
      <c r="K658" t="str">
        <f t="shared" si="32"/>
        <v>ACTIVE</v>
      </c>
    </row>
    <row r="659" spans="1:11">
      <c r="A659">
        <v>395</v>
      </c>
      <c r="B659" t="s">
        <v>122</v>
      </c>
      <c r="C659" s="1">
        <v>45605</v>
      </c>
      <c r="D659" s="2" t="s">
        <v>23</v>
      </c>
      <c r="E659" t="s">
        <v>33</v>
      </c>
      <c r="G659" s="3">
        <v>5615</v>
      </c>
      <c r="H659" t="s">
        <v>173</v>
      </c>
      <c r="I659" s="3" t="str">
        <f t="shared" si="30"/>
        <v>2024-11</v>
      </c>
      <c r="J659" s="1">
        <f t="shared" si="31"/>
        <v>45793</v>
      </c>
      <c r="K659" t="str">
        <f t="shared" si="32"/>
        <v>ACTIVE</v>
      </c>
    </row>
    <row r="660" spans="1:11">
      <c r="A660">
        <v>124</v>
      </c>
      <c r="B660" t="s">
        <v>91</v>
      </c>
      <c r="C660" s="1">
        <v>45382</v>
      </c>
      <c r="D660" s="2" t="s">
        <v>25</v>
      </c>
      <c r="E660" t="s">
        <v>33</v>
      </c>
      <c r="G660" s="3">
        <v>777</v>
      </c>
      <c r="H660" t="s">
        <v>175</v>
      </c>
      <c r="I660" s="3" t="str">
        <f t="shared" si="30"/>
        <v>2024-03</v>
      </c>
      <c r="J660" s="1">
        <f t="shared" si="31"/>
        <v>45785</v>
      </c>
      <c r="K660" t="str">
        <f t="shared" si="32"/>
        <v>ACTIVE</v>
      </c>
    </row>
    <row r="661" spans="1:11">
      <c r="A661">
        <v>356</v>
      </c>
      <c r="B661" t="s">
        <v>61</v>
      </c>
      <c r="C661" s="1">
        <v>45642</v>
      </c>
      <c r="D661" s="2" t="s">
        <v>25</v>
      </c>
      <c r="E661" t="s">
        <v>32</v>
      </c>
      <c r="G661" s="3">
        <v>889</v>
      </c>
      <c r="H661" t="s">
        <v>174</v>
      </c>
      <c r="I661" s="3" t="str">
        <f t="shared" si="30"/>
        <v>2024-12</v>
      </c>
      <c r="J661" s="1">
        <f t="shared" si="31"/>
        <v>45815</v>
      </c>
      <c r="K661" t="str">
        <f t="shared" si="32"/>
        <v>ACTIVE</v>
      </c>
    </row>
    <row r="662" spans="1:11">
      <c r="A662">
        <v>135</v>
      </c>
      <c r="B662" t="s">
        <v>50</v>
      </c>
      <c r="C662" s="1">
        <v>45831</v>
      </c>
      <c r="D662" s="2" t="s">
        <v>28</v>
      </c>
      <c r="E662" t="s">
        <v>35</v>
      </c>
      <c r="G662" s="3">
        <v>4036</v>
      </c>
      <c r="H662" t="s">
        <v>174</v>
      </c>
      <c r="I662" s="3" t="str">
        <f t="shared" si="30"/>
        <v>2025-06</v>
      </c>
      <c r="J662" s="1">
        <f t="shared" si="31"/>
        <v>45831</v>
      </c>
      <c r="K662" t="str">
        <f t="shared" si="32"/>
        <v>ACTIVE</v>
      </c>
    </row>
    <row r="663" spans="1:11">
      <c r="A663">
        <v>269</v>
      </c>
      <c r="B663" t="s">
        <v>112</v>
      </c>
      <c r="C663" s="1">
        <v>45713</v>
      </c>
      <c r="D663" s="2" t="s">
        <v>28</v>
      </c>
      <c r="E663" t="s">
        <v>33</v>
      </c>
      <c r="G663" s="3">
        <v>1159</v>
      </c>
      <c r="H663" t="s">
        <v>172</v>
      </c>
      <c r="I663" s="3" t="str">
        <f t="shared" si="30"/>
        <v>2025-02</v>
      </c>
      <c r="J663" s="1">
        <f t="shared" si="31"/>
        <v>45815</v>
      </c>
      <c r="K663" t="str">
        <f t="shared" si="32"/>
        <v>ACTIVE</v>
      </c>
    </row>
    <row r="664" spans="1:11">
      <c r="A664">
        <v>386</v>
      </c>
      <c r="B664" t="s">
        <v>64</v>
      </c>
      <c r="C664" s="1">
        <v>45398</v>
      </c>
      <c r="D664" s="2" t="s">
        <v>23</v>
      </c>
      <c r="E664" t="s">
        <v>30</v>
      </c>
      <c r="G664" s="3">
        <v>794</v>
      </c>
      <c r="H664" t="s">
        <v>176</v>
      </c>
      <c r="I664" s="3" t="str">
        <f t="shared" si="30"/>
        <v>2024-04</v>
      </c>
      <c r="J664" s="1">
        <f t="shared" si="31"/>
        <v>45814</v>
      </c>
      <c r="K664" t="str">
        <f t="shared" si="32"/>
        <v>ACTIVE</v>
      </c>
    </row>
    <row r="665" spans="1:11">
      <c r="A665">
        <v>610</v>
      </c>
      <c r="B665" t="s">
        <v>76</v>
      </c>
      <c r="C665" s="1">
        <v>45411</v>
      </c>
      <c r="D665" s="2" t="s">
        <v>25</v>
      </c>
      <c r="E665" t="s">
        <v>32</v>
      </c>
      <c r="G665" s="3">
        <v>1957</v>
      </c>
      <c r="H665" t="s">
        <v>176</v>
      </c>
      <c r="I665" s="3" t="str">
        <f t="shared" si="30"/>
        <v>2024-04</v>
      </c>
      <c r="J665" s="1">
        <f t="shared" si="31"/>
        <v>45792</v>
      </c>
      <c r="K665" t="str">
        <f t="shared" si="32"/>
        <v>ACTIVE</v>
      </c>
    </row>
    <row r="666" spans="1:11">
      <c r="A666">
        <v>221</v>
      </c>
      <c r="B666" t="s">
        <v>52</v>
      </c>
      <c r="C666" s="1">
        <v>45475</v>
      </c>
      <c r="D666" s="2" t="s">
        <v>25</v>
      </c>
      <c r="E666" t="s">
        <v>35</v>
      </c>
      <c r="G666" s="3">
        <v>1345</v>
      </c>
      <c r="H666" t="s">
        <v>175</v>
      </c>
      <c r="I666" s="3" t="str">
        <f t="shared" si="30"/>
        <v>2024-07</v>
      </c>
      <c r="J666" s="1">
        <f t="shared" si="31"/>
        <v>45811</v>
      </c>
      <c r="K666" t="str">
        <f t="shared" si="32"/>
        <v>ACTIVE</v>
      </c>
    </row>
    <row r="667" spans="1:11">
      <c r="A667">
        <v>42</v>
      </c>
      <c r="B667" t="s">
        <v>75</v>
      </c>
      <c r="C667" s="1">
        <v>45292</v>
      </c>
      <c r="D667" s="2" t="s">
        <v>24</v>
      </c>
      <c r="E667" t="s">
        <v>33</v>
      </c>
      <c r="G667" s="3">
        <v>836</v>
      </c>
      <c r="H667" t="s">
        <v>175</v>
      </c>
      <c r="I667" s="3" t="str">
        <f t="shared" si="30"/>
        <v>2024-01</v>
      </c>
      <c r="J667" s="1">
        <f t="shared" si="31"/>
        <v>45772</v>
      </c>
      <c r="K667" t="str">
        <f t="shared" si="32"/>
        <v>ACTIVE</v>
      </c>
    </row>
    <row r="668" spans="1:11">
      <c r="A668">
        <v>220</v>
      </c>
      <c r="B668" t="s">
        <v>40</v>
      </c>
      <c r="C668" s="1">
        <v>45713</v>
      </c>
      <c r="D668" s="2" t="s">
        <v>25</v>
      </c>
      <c r="E668" t="s">
        <v>35</v>
      </c>
      <c r="G668" s="3">
        <v>2536</v>
      </c>
      <c r="H668" t="s">
        <v>174</v>
      </c>
      <c r="I668" s="3" t="str">
        <f t="shared" si="30"/>
        <v>2025-02</v>
      </c>
      <c r="J668" s="1">
        <f t="shared" si="31"/>
        <v>45759</v>
      </c>
      <c r="K668" t="str">
        <f t="shared" si="32"/>
        <v>ACTIVE</v>
      </c>
    </row>
    <row r="669" spans="1:11">
      <c r="A669">
        <v>598</v>
      </c>
      <c r="B669" t="s">
        <v>117</v>
      </c>
      <c r="C669" s="1">
        <v>45408</v>
      </c>
      <c r="D669" s="2" t="s">
        <v>28</v>
      </c>
      <c r="E669" t="s">
        <v>30</v>
      </c>
      <c r="G669" s="3">
        <v>2203</v>
      </c>
      <c r="H669" t="s">
        <v>172</v>
      </c>
      <c r="I669" s="3" t="str">
        <f t="shared" si="30"/>
        <v>2024-04</v>
      </c>
      <c r="J669" s="1">
        <f t="shared" si="31"/>
        <v>45790</v>
      </c>
      <c r="K669" t="str">
        <f t="shared" si="32"/>
        <v>ACTIVE</v>
      </c>
    </row>
    <row r="670" spans="1:11">
      <c r="A670">
        <v>1273</v>
      </c>
      <c r="B670" t="s">
        <v>99</v>
      </c>
      <c r="C670" s="1">
        <v>45605</v>
      </c>
      <c r="D670" s="2" t="s">
        <v>24</v>
      </c>
      <c r="E670" t="s">
        <v>30</v>
      </c>
      <c r="G670" s="3">
        <v>506</v>
      </c>
      <c r="H670" t="s">
        <v>176</v>
      </c>
      <c r="I670" s="3" t="str">
        <f t="shared" si="30"/>
        <v>2024-11</v>
      </c>
      <c r="J670" s="1">
        <f t="shared" si="31"/>
        <v>45828</v>
      </c>
      <c r="K670" t="str">
        <f t="shared" si="32"/>
        <v>ACTIVE</v>
      </c>
    </row>
    <row r="671" spans="1:11">
      <c r="A671">
        <v>1174</v>
      </c>
      <c r="B671" t="s">
        <v>87</v>
      </c>
      <c r="C671" s="1">
        <v>45821</v>
      </c>
      <c r="D671" s="2" t="s">
        <v>28</v>
      </c>
      <c r="E671" t="s">
        <v>35</v>
      </c>
      <c r="G671" s="3">
        <v>1783</v>
      </c>
      <c r="H671" t="s">
        <v>172</v>
      </c>
      <c r="I671" s="3" t="str">
        <f t="shared" si="30"/>
        <v>2025-06</v>
      </c>
      <c r="J671" s="1">
        <f t="shared" si="31"/>
        <v>45821</v>
      </c>
      <c r="K671" t="str">
        <f t="shared" si="32"/>
        <v>ACTIVE</v>
      </c>
    </row>
    <row r="672" spans="1:11">
      <c r="A672">
        <v>931</v>
      </c>
      <c r="B672" t="s">
        <v>125</v>
      </c>
      <c r="C672" s="1">
        <v>45387</v>
      </c>
      <c r="D672" s="2" t="s">
        <v>27</v>
      </c>
      <c r="E672" t="s">
        <v>33</v>
      </c>
      <c r="G672" s="3">
        <v>1661</v>
      </c>
      <c r="H672" t="s">
        <v>172</v>
      </c>
      <c r="I672" s="3" t="str">
        <f t="shared" si="30"/>
        <v>2024-04</v>
      </c>
      <c r="J672" s="1">
        <f t="shared" si="31"/>
        <v>45784</v>
      </c>
      <c r="K672" t="str">
        <f t="shared" si="32"/>
        <v>ACTIVE</v>
      </c>
    </row>
    <row r="673" spans="1:11">
      <c r="A673">
        <v>1718</v>
      </c>
      <c r="B673" t="s">
        <v>59</v>
      </c>
      <c r="C673" s="1">
        <v>45509</v>
      </c>
      <c r="D673" s="2" t="s">
        <v>27</v>
      </c>
      <c r="E673" t="s">
        <v>34</v>
      </c>
      <c r="G673" s="3">
        <v>0</v>
      </c>
      <c r="H673" t="s">
        <v>176</v>
      </c>
      <c r="I673" s="3" t="str">
        <f t="shared" si="30"/>
        <v>2024-08</v>
      </c>
      <c r="J673" s="1">
        <f t="shared" si="31"/>
        <v>45829</v>
      </c>
      <c r="K673" t="str">
        <f t="shared" si="32"/>
        <v>ACTIVE</v>
      </c>
    </row>
    <row r="674" spans="1:11">
      <c r="A674">
        <v>684</v>
      </c>
      <c r="B674" t="s">
        <v>102</v>
      </c>
      <c r="C674" s="1">
        <v>45296</v>
      </c>
      <c r="D674" s="2" t="s">
        <v>23</v>
      </c>
      <c r="E674" t="s">
        <v>33</v>
      </c>
      <c r="G674" s="3">
        <v>876</v>
      </c>
      <c r="H674" t="s">
        <v>172</v>
      </c>
      <c r="I674" s="3" t="str">
        <f t="shared" si="30"/>
        <v>2024-01</v>
      </c>
      <c r="J674" s="1">
        <f t="shared" si="31"/>
        <v>45793</v>
      </c>
      <c r="K674" t="str">
        <f t="shared" si="32"/>
        <v>ACTIVE</v>
      </c>
    </row>
    <row r="675" spans="1:11">
      <c r="A675">
        <v>542</v>
      </c>
      <c r="B675" t="s">
        <v>87</v>
      </c>
      <c r="C675" s="1">
        <v>45814</v>
      </c>
      <c r="D675" s="2" t="s">
        <v>27</v>
      </c>
      <c r="E675" t="s">
        <v>31</v>
      </c>
      <c r="G675" s="3">
        <v>474</v>
      </c>
      <c r="H675" t="s">
        <v>175</v>
      </c>
      <c r="I675" s="3" t="str">
        <f t="shared" si="30"/>
        <v>2025-06</v>
      </c>
      <c r="J675" s="1">
        <f t="shared" si="31"/>
        <v>45821</v>
      </c>
      <c r="K675" t="str">
        <f t="shared" si="32"/>
        <v>ACTIVE</v>
      </c>
    </row>
    <row r="676" spans="1:11">
      <c r="A676">
        <v>868</v>
      </c>
      <c r="B676" t="s">
        <v>40</v>
      </c>
      <c r="C676" s="1">
        <v>45557</v>
      </c>
      <c r="D676" s="2" t="s">
        <v>23</v>
      </c>
      <c r="E676" t="s">
        <v>30</v>
      </c>
      <c r="G676" s="3">
        <v>1595</v>
      </c>
      <c r="H676" t="s">
        <v>172</v>
      </c>
      <c r="I676" s="3" t="str">
        <f t="shared" si="30"/>
        <v>2024-09</v>
      </c>
      <c r="J676" s="1">
        <f t="shared" si="31"/>
        <v>45759</v>
      </c>
      <c r="K676" t="str">
        <f t="shared" si="32"/>
        <v>ACTIVE</v>
      </c>
    </row>
    <row r="677" spans="1:11">
      <c r="A677">
        <v>1690</v>
      </c>
      <c r="B677" t="s">
        <v>135</v>
      </c>
      <c r="C677" s="1">
        <v>45600</v>
      </c>
      <c r="D677" s="2" t="s">
        <v>27</v>
      </c>
      <c r="E677" t="s">
        <v>31</v>
      </c>
      <c r="G677" s="3">
        <v>11885</v>
      </c>
      <c r="H677" t="s">
        <v>174</v>
      </c>
      <c r="I677" s="3" t="str">
        <f t="shared" si="30"/>
        <v>2024-11</v>
      </c>
      <c r="J677" s="1">
        <f t="shared" si="31"/>
        <v>45785</v>
      </c>
      <c r="K677" t="str">
        <f t="shared" si="32"/>
        <v>ACTIVE</v>
      </c>
    </row>
    <row r="678" spans="1:11">
      <c r="A678">
        <v>842</v>
      </c>
      <c r="B678" t="s">
        <v>108</v>
      </c>
      <c r="C678" s="1">
        <v>45681</v>
      </c>
      <c r="D678" s="2" t="s">
        <v>25</v>
      </c>
      <c r="E678" t="s">
        <v>31</v>
      </c>
      <c r="G678" s="3">
        <v>518</v>
      </c>
      <c r="H678" t="s">
        <v>172</v>
      </c>
      <c r="I678" s="3" t="str">
        <f t="shared" si="30"/>
        <v>2025-01</v>
      </c>
      <c r="J678" s="1">
        <f t="shared" si="31"/>
        <v>45826</v>
      </c>
      <c r="K678" t="str">
        <f t="shared" si="32"/>
        <v>ACTIVE</v>
      </c>
    </row>
    <row r="679" spans="1:11">
      <c r="A679">
        <v>1697</v>
      </c>
      <c r="B679" t="s">
        <v>50</v>
      </c>
      <c r="C679" s="1">
        <v>45394</v>
      </c>
      <c r="D679" s="2" t="s">
        <v>24</v>
      </c>
      <c r="E679" t="s">
        <v>35</v>
      </c>
      <c r="G679" s="3">
        <v>0</v>
      </c>
      <c r="H679" t="s">
        <v>175</v>
      </c>
      <c r="I679" s="3" t="str">
        <f t="shared" si="30"/>
        <v>2024-04</v>
      </c>
      <c r="J679" s="1">
        <f t="shared" si="31"/>
        <v>45831</v>
      </c>
      <c r="K679" t="str">
        <f t="shared" si="32"/>
        <v>ACTIVE</v>
      </c>
    </row>
    <row r="680" spans="1:11">
      <c r="A680">
        <v>1737</v>
      </c>
      <c r="B680" t="s">
        <v>153</v>
      </c>
      <c r="C680" s="1">
        <v>45436</v>
      </c>
      <c r="D680" s="2" t="s">
        <v>24</v>
      </c>
      <c r="E680" t="s">
        <v>32</v>
      </c>
      <c r="G680" s="3">
        <v>542</v>
      </c>
      <c r="H680" t="s">
        <v>176</v>
      </c>
      <c r="I680" s="3" t="str">
        <f t="shared" si="30"/>
        <v>2024-05</v>
      </c>
      <c r="J680" s="1">
        <f t="shared" si="31"/>
        <v>45690</v>
      </c>
      <c r="K680" t="str">
        <f t="shared" si="32"/>
        <v>LAPSED</v>
      </c>
    </row>
    <row r="681" spans="1:11">
      <c r="A681">
        <v>906</v>
      </c>
      <c r="B681" t="s">
        <v>84</v>
      </c>
      <c r="C681" s="1">
        <v>45394</v>
      </c>
      <c r="D681" s="2" t="s">
        <v>28</v>
      </c>
      <c r="E681" t="s">
        <v>34</v>
      </c>
      <c r="G681" s="3">
        <v>1131</v>
      </c>
      <c r="H681" t="s">
        <v>176</v>
      </c>
      <c r="I681" s="3" t="str">
        <f t="shared" si="30"/>
        <v>2024-04</v>
      </c>
      <c r="J681" s="1">
        <f t="shared" si="31"/>
        <v>45827</v>
      </c>
      <c r="K681" t="str">
        <f t="shared" si="32"/>
        <v>ACTIVE</v>
      </c>
    </row>
    <row r="682" spans="1:11">
      <c r="A682">
        <v>1173</v>
      </c>
      <c r="B682" t="s">
        <v>69</v>
      </c>
      <c r="C682" s="1">
        <v>45685</v>
      </c>
      <c r="D682" s="2" t="s">
        <v>27</v>
      </c>
      <c r="E682" t="s">
        <v>34</v>
      </c>
      <c r="G682" s="3">
        <v>2067</v>
      </c>
      <c r="H682" t="s">
        <v>172</v>
      </c>
      <c r="I682" s="3" t="str">
        <f t="shared" si="30"/>
        <v>2025-01</v>
      </c>
      <c r="J682" s="1">
        <f t="shared" si="31"/>
        <v>45829</v>
      </c>
      <c r="K682" t="str">
        <f t="shared" si="32"/>
        <v>ACTIVE</v>
      </c>
    </row>
    <row r="683" spans="1:11">
      <c r="A683">
        <v>1662</v>
      </c>
      <c r="B683" t="s">
        <v>52</v>
      </c>
      <c r="C683" s="1">
        <v>45467</v>
      </c>
      <c r="D683" s="2" t="s">
        <v>25</v>
      </c>
      <c r="E683" t="s">
        <v>32</v>
      </c>
      <c r="G683" s="3">
        <v>568</v>
      </c>
      <c r="H683" t="s">
        <v>176</v>
      </c>
      <c r="I683" s="3" t="str">
        <f t="shared" si="30"/>
        <v>2024-06</v>
      </c>
      <c r="J683" s="1">
        <f t="shared" si="31"/>
        <v>45811</v>
      </c>
      <c r="K683" t="str">
        <f t="shared" si="32"/>
        <v>ACTIVE</v>
      </c>
    </row>
    <row r="684" spans="1:11">
      <c r="A684">
        <v>1507</v>
      </c>
      <c r="B684" t="s">
        <v>147</v>
      </c>
      <c r="C684" s="1">
        <v>45696</v>
      </c>
      <c r="D684" s="2" t="s">
        <v>23</v>
      </c>
      <c r="E684" t="s">
        <v>30</v>
      </c>
      <c r="G684" s="3">
        <v>1232</v>
      </c>
      <c r="H684" t="s">
        <v>172</v>
      </c>
      <c r="I684" s="3" t="str">
        <f t="shared" si="30"/>
        <v>2025-02</v>
      </c>
      <c r="J684" s="1">
        <f t="shared" si="31"/>
        <v>45752</v>
      </c>
      <c r="K684" t="str">
        <f t="shared" si="32"/>
        <v>ACTIVE</v>
      </c>
    </row>
    <row r="685" spans="1:11">
      <c r="A685">
        <v>1396</v>
      </c>
      <c r="B685" t="s">
        <v>115</v>
      </c>
      <c r="C685" s="1">
        <v>45590</v>
      </c>
      <c r="D685" s="2" t="s">
        <v>27</v>
      </c>
      <c r="E685" t="s">
        <v>33</v>
      </c>
      <c r="G685" s="3">
        <v>4366</v>
      </c>
      <c r="H685" t="s">
        <v>173</v>
      </c>
      <c r="I685" s="3" t="str">
        <f t="shared" si="30"/>
        <v>2024-10</v>
      </c>
      <c r="J685" s="1">
        <f t="shared" si="31"/>
        <v>45810</v>
      </c>
      <c r="K685" t="str">
        <f t="shared" si="32"/>
        <v>ACTIVE</v>
      </c>
    </row>
    <row r="686" spans="1:11">
      <c r="A686">
        <v>1629</v>
      </c>
      <c r="B686" t="s">
        <v>132</v>
      </c>
      <c r="C686" s="1">
        <v>45463</v>
      </c>
      <c r="D686" s="2" t="s">
        <v>23</v>
      </c>
      <c r="E686" t="s">
        <v>30</v>
      </c>
      <c r="G686" s="3">
        <v>5328</v>
      </c>
      <c r="H686" t="s">
        <v>176</v>
      </c>
      <c r="I686" s="3" t="str">
        <f t="shared" si="30"/>
        <v>2024-06</v>
      </c>
      <c r="J686" s="1">
        <f t="shared" si="31"/>
        <v>45822</v>
      </c>
      <c r="K686" t="str">
        <f t="shared" si="32"/>
        <v>ACTIVE</v>
      </c>
    </row>
    <row r="687" spans="1:11">
      <c r="A687">
        <v>1281</v>
      </c>
      <c r="B687" t="s">
        <v>59</v>
      </c>
      <c r="C687" s="1">
        <v>45627</v>
      </c>
      <c r="D687" s="2" t="s">
        <v>24</v>
      </c>
      <c r="E687" t="s">
        <v>30</v>
      </c>
      <c r="G687" s="3">
        <v>685</v>
      </c>
      <c r="H687" t="s">
        <v>174</v>
      </c>
      <c r="I687" s="3" t="str">
        <f t="shared" si="30"/>
        <v>2024-12</v>
      </c>
      <c r="J687" s="1">
        <f t="shared" si="31"/>
        <v>45829</v>
      </c>
      <c r="K687" t="str">
        <f t="shared" si="32"/>
        <v>ACTIVE</v>
      </c>
    </row>
    <row r="688" spans="1:11">
      <c r="A688">
        <v>1644</v>
      </c>
      <c r="B688" t="s">
        <v>99</v>
      </c>
      <c r="C688" s="1">
        <v>45707</v>
      </c>
      <c r="D688" s="2" t="s">
        <v>23</v>
      </c>
      <c r="E688" t="s">
        <v>30</v>
      </c>
      <c r="G688" s="3">
        <v>284</v>
      </c>
      <c r="H688" t="s">
        <v>174</v>
      </c>
      <c r="I688" s="3" t="str">
        <f t="shared" si="30"/>
        <v>2025-02</v>
      </c>
      <c r="J688" s="1">
        <f t="shared" si="31"/>
        <v>45828</v>
      </c>
      <c r="K688" t="str">
        <f t="shared" si="32"/>
        <v>ACTIVE</v>
      </c>
    </row>
    <row r="689" spans="1:11">
      <c r="A689">
        <v>1791</v>
      </c>
      <c r="B689" t="s">
        <v>70</v>
      </c>
      <c r="C689" s="1">
        <v>45321</v>
      </c>
      <c r="D689" s="2" t="s">
        <v>27</v>
      </c>
      <c r="E689" t="s">
        <v>30</v>
      </c>
      <c r="G689" s="3">
        <v>11285</v>
      </c>
      <c r="H689" t="s">
        <v>176</v>
      </c>
      <c r="I689" s="3" t="str">
        <f t="shared" si="30"/>
        <v>2024-01</v>
      </c>
      <c r="J689" s="1">
        <f t="shared" si="31"/>
        <v>45829</v>
      </c>
      <c r="K689" t="str">
        <f t="shared" si="32"/>
        <v>ACTIVE</v>
      </c>
    </row>
    <row r="690" spans="1:11">
      <c r="A690">
        <v>861</v>
      </c>
      <c r="B690" t="s">
        <v>110</v>
      </c>
      <c r="C690" s="1">
        <v>45513</v>
      </c>
      <c r="D690" s="2" t="s">
        <v>24</v>
      </c>
      <c r="E690" t="s">
        <v>31</v>
      </c>
      <c r="G690" s="3">
        <v>1637</v>
      </c>
      <c r="H690" t="s">
        <v>173</v>
      </c>
      <c r="I690" s="3" t="str">
        <f t="shared" si="30"/>
        <v>2024-08</v>
      </c>
      <c r="J690" s="1">
        <f t="shared" si="31"/>
        <v>45816</v>
      </c>
      <c r="K690" t="str">
        <f t="shared" si="32"/>
        <v>ACTIVE</v>
      </c>
    </row>
    <row r="691" spans="1:11">
      <c r="A691">
        <v>337</v>
      </c>
      <c r="B691" t="s">
        <v>79</v>
      </c>
      <c r="C691" s="1">
        <v>45486</v>
      </c>
      <c r="D691" s="2" t="s">
        <v>27</v>
      </c>
      <c r="E691" t="s">
        <v>30</v>
      </c>
      <c r="G691" s="3">
        <v>10553</v>
      </c>
      <c r="H691" t="s">
        <v>173</v>
      </c>
      <c r="I691" s="3" t="str">
        <f t="shared" si="30"/>
        <v>2024-07</v>
      </c>
      <c r="J691" s="1">
        <f t="shared" si="31"/>
        <v>45782</v>
      </c>
      <c r="K691" t="str">
        <f t="shared" si="32"/>
        <v>ACTIVE</v>
      </c>
    </row>
    <row r="692" spans="1:11">
      <c r="A692">
        <v>233</v>
      </c>
      <c r="B692" t="s">
        <v>59</v>
      </c>
      <c r="C692" s="1">
        <v>45681</v>
      </c>
      <c r="D692" s="2" t="s">
        <v>27</v>
      </c>
      <c r="E692" t="s">
        <v>31</v>
      </c>
      <c r="G692" s="3">
        <v>2268</v>
      </c>
      <c r="H692" t="s">
        <v>172</v>
      </c>
      <c r="I692" s="3" t="str">
        <f t="shared" si="30"/>
        <v>2025-01</v>
      </c>
      <c r="J692" s="1">
        <f t="shared" si="31"/>
        <v>45829</v>
      </c>
      <c r="K692" t="str">
        <f t="shared" si="32"/>
        <v>ACTIVE</v>
      </c>
    </row>
    <row r="693" spans="1:11">
      <c r="A693">
        <v>1178</v>
      </c>
      <c r="B693" t="s">
        <v>159</v>
      </c>
      <c r="C693" s="1">
        <v>45373</v>
      </c>
      <c r="D693" s="2" t="s">
        <v>25</v>
      </c>
      <c r="E693" t="s">
        <v>32</v>
      </c>
      <c r="G693" s="3">
        <v>8992</v>
      </c>
      <c r="H693" t="s">
        <v>174</v>
      </c>
      <c r="I693" s="3" t="str">
        <f t="shared" si="30"/>
        <v>2024-03</v>
      </c>
      <c r="J693" s="1">
        <f t="shared" si="31"/>
        <v>45713</v>
      </c>
      <c r="K693" t="str">
        <f t="shared" si="32"/>
        <v>LAPSED</v>
      </c>
    </row>
    <row r="694" spans="1:11">
      <c r="A694">
        <v>1500</v>
      </c>
      <c r="B694" t="s">
        <v>153</v>
      </c>
      <c r="C694" s="1">
        <v>45494</v>
      </c>
      <c r="D694" s="2" t="s">
        <v>24</v>
      </c>
      <c r="E694" t="s">
        <v>32</v>
      </c>
      <c r="G694" s="3">
        <v>532</v>
      </c>
      <c r="H694" t="s">
        <v>172</v>
      </c>
      <c r="I694" s="3" t="str">
        <f t="shared" si="30"/>
        <v>2024-07</v>
      </c>
      <c r="J694" s="1">
        <f t="shared" si="31"/>
        <v>45690</v>
      </c>
      <c r="K694" t="str">
        <f t="shared" si="32"/>
        <v>LAPSED</v>
      </c>
    </row>
    <row r="695" spans="1:11">
      <c r="A695">
        <v>996</v>
      </c>
      <c r="B695" t="s">
        <v>127</v>
      </c>
      <c r="C695" s="1">
        <v>45794</v>
      </c>
      <c r="D695" s="2" t="s">
        <v>24</v>
      </c>
      <c r="E695" t="s">
        <v>35</v>
      </c>
      <c r="G695" s="3">
        <v>2663</v>
      </c>
      <c r="H695" t="s">
        <v>174</v>
      </c>
      <c r="I695" s="3" t="str">
        <f t="shared" si="30"/>
        <v>2025-05</v>
      </c>
      <c r="J695" s="1">
        <f t="shared" si="31"/>
        <v>45794</v>
      </c>
      <c r="K695" t="str">
        <f t="shared" si="32"/>
        <v>ACTIVE</v>
      </c>
    </row>
    <row r="696" spans="1:11">
      <c r="A696">
        <v>469</v>
      </c>
      <c r="B696" t="s">
        <v>126</v>
      </c>
      <c r="C696" s="1">
        <v>45333</v>
      </c>
      <c r="D696" s="2" t="s">
        <v>25</v>
      </c>
      <c r="E696" t="s">
        <v>31</v>
      </c>
      <c r="G696" s="3">
        <v>1178</v>
      </c>
      <c r="H696" t="s">
        <v>175</v>
      </c>
      <c r="I696" s="3" t="str">
        <f t="shared" si="30"/>
        <v>2024-02</v>
      </c>
      <c r="J696" s="1">
        <f t="shared" si="31"/>
        <v>45827</v>
      </c>
      <c r="K696" t="str">
        <f t="shared" si="32"/>
        <v>ACTIVE</v>
      </c>
    </row>
    <row r="697" spans="1:11">
      <c r="A697">
        <v>706</v>
      </c>
      <c r="B697" t="s">
        <v>134</v>
      </c>
      <c r="C697" s="1">
        <v>45660</v>
      </c>
      <c r="D697" s="2" t="s">
        <v>28</v>
      </c>
      <c r="E697" t="s">
        <v>33</v>
      </c>
      <c r="G697" s="3">
        <v>1826</v>
      </c>
      <c r="H697" t="s">
        <v>176</v>
      </c>
      <c r="I697" s="3" t="str">
        <f t="shared" si="30"/>
        <v>2025-01</v>
      </c>
      <c r="J697" s="1">
        <f t="shared" si="31"/>
        <v>45776</v>
      </c>
      <c r="K697" t="str">
        <f t="shared" si="32"/>
        <v>ACTIVE</v>
      </c>
    </row>
    <row r="698" spans="1:11">
      <c r="A698">
        <v>1042</v>
      </c>
      <c r="B698" t="s">
        <v>124</v>
      </c>
      <c r="C698" s="1">
        <v>45712</v>
      </c>
      <c r="D698" s="2" t="s">
        <v>23</v>
      </c>
      <c r="E698" t="s">
        <v>32</v>
      </c>
      <c r="G698" s="3">
        <v>2078</v>
      </c>
      <c r="H698" t="s">
        <v>172</v>
      </c>
      <c r="I698" s="3" t="str">
        <f t="shared" si="30"/>
        <v>2025-02</v>
      </c>
      <c r="J698" s="1">
        <f t="shared" si="31"/>
        <v>45793</v>
      </c>
      <c r="K698" t="str">
        <f t="shared" si="32"/>
        <v>ACTIVE</v>
      </c>
    </row>
    <row r="699" spans="1:11">
      <c r="A699">
        <v>870</v>
      </c>
      <c r="B699" t="s">
        <v>101</v>
      </c>
      <c r="C699" s="1">
        <v>45730</v>
      </c>
      <c r="D699" s="2" t="s">
        <v>27</v>
      </c>
      <c r="E699" t="s">
        <v>31</v>
      </c>
      <c r="G699" s="3">
        <v>1179</v>
      </c>
      <c r="H699" t="s">
        <v>173</v>
      </c>
      <c r="I699" s="3" t="str">
        <f t="shared" si="30"/>
        <v>2025-03</v>
      </c>
      <c r="J699" s="1">
        <f t="shared" si="31"/>
        <v>45823</v>
      </c>
      <c r="K699" t="str">
        <f t="shared" si="32"/>
        <v>ACTIVE</v>
      </c>
    </row>
    <row r="700" spans="1:11">
      <c r="A700">
        <v>1090</v>
      </c>
      <c r="B700" t="s">
        <v>48</v>
      </c>
      <c r="C700" s="1">
        <v>45378</v>
      </c>
      <c r="D700" s="2" t="s">
        <v>25</v>
      </c>
      <c r="E700" t="s">
        <v>35</v>
      </c>
      <c r="G700" s="3">
        <v>606</v>
      </c>
      <c r="H700" t="s">
        <v>175</v>
      </c>
      <c r="I700" s="3" t="str">
        <f t="shared" si="30"/>
        <v>2024-03</v>
      </c>
      <c r="J700" s="1">
        <f t="shared" si="31"/>
        <v>45809</v>
      </c>
      <c r="K700" t="str">
        <f t="shared" si="32"/>
        <v>ACTIVE</v>
      </c>
    </row>
    <row r="701" spans="1:11">
      <c r="A701">
        <v>586</v>
      </c>
      <c r="B701" t="s">
        <v>142</v>
      </c>
      <c r="C701" s="1">
        <v>45714</v>
      </c>
      <c r="D701" s="2" t="s">
        <v>27</v>
      </c>
      <c r="E701" t="s">
        <v>32</v>
      </c>
      <c r="G701" s="3">
        <v>1659</v>
      </c>
      <c r="H701" t="s">
        <v>175</v>
      </c>
      <c r="I701" s="3" t="str">
        <f t="shared" si="30"/>
        <v>2025-02</v>
      </c>
      <c r="J701" s="1">
        <f t="shared" si="31"/>
        <v>45803</v>
      </c>
      <c r="K701" t="str">
        <f t="shared" si="32"/>
        <v>ACTIVE</v>
      </c>
    </row>
    <row r="702" spans="1:11">
      <c r="A702">
        <v>206</v>
      </c>
      <c r="B702" t="s">
        <v>87</v>
      </c>
      <c r="C702" s="1">
        <v>45337</v>
      </c>
      <c r="D702" s="2" t="s">
        <v>28</v>
      </c>
      <c r="E702" t="s">
        <v>33</v>
      </c>
      <c r="G702" s="3">
        <v>8869</v>
      </c>
      <c r="H702" t="s">
        <v>176</v>
      </c>
      <c r="I702" s="3" t="str">
        <f t="shared" si="30"/>
        <v>2024-02</v>
      </c>
      <c r="J702" s="1">
        <f t="shared" si="31"/>
        <v>45821</v>
      </c>
      <c r="K702" t="str">
        <f t="shared" si="32"/>
        <v>ACTIVE</v>
      </c>
    </row>
    <row r="703" spans="1:11">
      <c r="A703">
        <v>4</v>
      </c>
      <c r="B703" t="s">
        <v>139</v>
      </c>
      <c r="C703" s="1">
        <v>45659</v>
      </c>
      <c r="D703" s="2" t="s">
        <v>24</v>
      </c>
      <c r="E703" t="s">
        <v>35</v>
      </c>
      <c r="G703" s="3">
        <v>2807</v>
      </c>
      <c r="H703" t="s">
        <v>173</v>
      </c>
      <c r="I703" s="3" t="str">
        <f t="shared" si="30"/>
        <v>2025-01</v>
      </c>
      <c r="J703" s="1">
        <f t="shared" si="31"/>
        <v>45830</v>
      </c>
      <c r="K703" t="str">
        <f t="shared" si="32"/>
        <v>ACTIVE</v>
      </c>
    </row>
    <row r="704" spans="1:11">
      <c r="A704">
        <v>894</v>
      </c>
      <c r="B704" t="s">
        <v>145</v>
      </c>
      <c r="C704" s="1">
        <v>45647</v>
      </c>
      <c r="D704" s="2" t="s">
        <v>24</v>
      </c>
      <c r="E704" t="s">
        <v>32</v>
      </c>
      <c r="G704" s="3">
        <v>1164</v>
      </c>
      <c r="H704" t="s">
        <v>176</v>
      </c>
      <c r="I704" s="3" t="str">
        <f t="shared" si="30"/>
        <v>2024-12</v>
      </c>
      <c r="J704" s="1">
        <f t="shared" si="31"/>
        <v>45828</v>
      </c>
      <c r="K704" t="str">
        <f t="shared" si="32"/>
        <v>ACTIVE</v>
      </c>
    </row>
    <row r="705" spans="1:11">
      <c r="A705">
        <v>733</v>
      </c>
      <c r="B705" t="s">
        <v>106</v>
      </c>
      <c r="C705" s="1">
        <v>45608</v>
      </c>
      <c r="D705" s="2" t="s">
        <v>25</v>
      </c>
      <c r="E705" t="s">
        <v>30</v>
      </c>
      <c r="G705" s="3">
        <v>8341</v>
      </c>
      <c r="H705" t="s">
        <v>175</v>
      </c>
      <c r="I705" s="3" t="str">
        <f t="shared" si="30"/>
        <v>2024-11</v>
      </c>
      <c r="J705" s="1">
        <f t="shared" si="31"/>
        <v>45760</v>
      </c>
      <c r="K705" t="str">
        <f t="shared" si="32"/>
        <v>ACTIVE</v>
      </c>
    </row>
    <row r="706" spans="1:11">
      <c r="A706">
        <v>1016</v>
      </c>
      <c r="B706" t="s">
        <v>137</v>
      </c>
      <c r="C706" s="1">
        <v>45558</v>
      </c>
      <c r="D706" s="2" t="s">
        <v>23</v>
      </c>
      <c r="E706" t="s">
        <v>30</v>
      </c>
      <c r="G706" s="3">
        <v>343</v>
      </c>
      <c r="H706" t="s">
        <v>175</v>
      </c>
      <c r="I706" s="3" t="str">
        <f t="shared" si="30"/>
        <v>2024-09</v>
      </c>
      <c r="J706" s="1">
        <f t="shared" si="31"/>
        <v>45819</v>
      </c>
      <c r="K706" t="str">
        <f t="shared" si="32"/>
        <v>ACTIVE</v>
      </c>
    </row>
    <row r="707" spans="1:11">
      <c r="A707">
        <v>1665</v>
      </c>
      <c r="B707" t="s">
        <v>145</v>
      </c>
      <c r="C707" s="1">
        <v>45700</v>
      </c>
      <c r="D707" s="2" t="s">
        <v>24</v>
      </c>
      <c r="E707" t="s">
        <v>31</v>
      </c>
      <c r="G707" s="3">
        <v>8553</v>
      </c>
      <c r="H707" t="s">
        <v>176</v>
      </c>
      <c r="I707" s="3" t="str">
        <f t="shared" ref="I707:I770" si="33">TEXT(C707, "yyyy-mm")</f>
        <v>2025-02</v>
      </c>
      <c r="J707" s="1">
        <f t="shared" ref="J707:J770" si="34">_xlfn.MAXIFS(C:C, B:B, B707)</f>
        <v>45828</v>
      </c>
      <c r="K707" t="str">
        <f t="shared" ref="K707:K770" si="35">IF($L$3-J707&gt;90, "LAPSED","ACTIVE")</f>
        <v>ACTIVE</v>
      </c>
    </row>
    <row r="708" spans="1:11">
      <c r="A708">
        <v>1726</v>
      </c>
      <c r="B708" t="s">
        <v>112</v>
      </c>
      <c r="C708" s="1">
        <v>45700</v>
      </c>
      <c r="D708" s="2" t="s">
        <v>23</v>
      </c>
      <c r="E708" t="s">
        <v>31</v>
      </c>
      <c r="G708" s="3">
        <v>245</v>
      </c>
      <c r="H708" t="s">
        <v>175</v>
      </c>
      <c r="I708" s="3" t="str">
        <f t="shared" si="33"/>
        <v>2025-02</v>
      </c>
      <c r="J708" s="1">
        <f t="shared" si="34"/>
        <v>45815</v>
      </c>
      <c r="K708" t="str">
        <f t="shared" si="35"/>
        <v>ACTIVE</v>
      </c>
    </row>
    <row r="709" spans="1:11">
      <c r="A709">
        <v>694</v>
      </c>
      <c r="B709" t="s">
        <v>88</v>
      </c>
      <c r="C709" s="1">
        <v>45727</v>
      </c>
      <c r="D709" s="2" t="s">
        <v>25</v>
      </c>
      <c r="E709" t="s">
        <v>32</v>
      </c>
      <c r="G709" s="3">
        <v>2355</v>
      </c>
      <c r="H709" t="s">
        <v>175</v>
      </c>
      <c r="I709" s="3" t="str">
        <f t="shared" si="33"/>
        <v>2025-03</v>
      </c>
      <c r="J709" s="1">
        <f t="shared" si="34"/>
        <v>45763</v>
      </c>
      <c r="K709" t="str">
        <f t="shared" si="35"/>
        <v>ACTIVE</v>
      </c>
    </row>
    <row r="710" spans="1:11">
      <c r="A710">
        <v>1545</v>
      </c>
      <c r="B710" t="s">
        <v>145</v>
      </c>
      <c r="C710" s="1">
        <v>45603</v>
      </c>
      <c r="D710" s="2" t="s">
        <v>23</v>
      </c>
      <c r="E710" t="s">
        <v>34</v>
      </c>
      <c r="G710" s="3">
        <v>11941</v>
      </c>
      <c r="H710" t="s">
        <v>172</v>
      </c>
      <c r="I710" s="3" t="str">
        <f t="shared" si="33"/>
        <v>2024-11</v>
      </c>
      <c r="J710" s="1">
        <f t="shared" si="34"/>
        <v>45828</v>
      </c>
      <c r="K710" t="str">
        <f t="shared" si="35"/>
        <v>ACTIVE</v>
      </c>
    </row>
    <row r="711" spans="1:11">
      <c r="A711">
        <v>1496</v>
      </c>
      <c r="B711" t="s">
        <v>112</v>
      </c>
      <c r="C711" s="1">
        <v>45534</v>
      </c>
      <c r="D711" s="2" t="s">
        <v>25</v>
      </c>
      <c r="E711" t="s">
        <v>34</v>
      </c>
      <c r="G711" s="3">
        <v>2791</v>
      </c>
      <c r="H711" t="s">
        <v>175</v>
      </c>
      <c r="I711" s="3" t="str">
        <f t="shared" si="33"/>
        <v>2024-08</v>
      </c>
      <c r="J711" s="1">
        <f t="shared" si="34"/>
        <v>45815</v>
      </c>
      <c r="K711" t="str">
        <f t="shared" si="35"/>
        <v>ACTIVE</v>
      </c>
    </row>
    <row r="712" spans="1:11">
      <c r="A712">
        <v>1747</v>
      </c>
      <c r="B712" t="s">
        <v>63</v>
      </c>
      <c r="C712" s="1">
        <v>45777</v>
      </c>
      <c r="D712" s="2" t="s">
        <v>24</v>
      </c>
      <c r="E712" t="s">
        <v>35</v>
      </c>
      <c r="G712" s="3">
        <v>885</v>
      </c>
      <c r="H712" t="s">
        <v>176</v>
      </c>
      <c r="I712" s="3" t="str">
        <f t="shared" si="33"/>
        <v>2025-04</v>
      </c>
      <c r="J712" s="1">
        <f t="shared" si="34"/>
        <v>45805</v>
      </c>
      <c r="K712" t="str">
        <f t="shared" si="35"/>
        <v>ACTIVE</v>
      </c>
    </row>
    <row r="713" spans="1:11">
      <c r="A713">
        <v>1371</v>
      </c>
      <c r="B713" t="s">
        <v>113</v>
      </c>
      <c r="C713" s="1">
        <v>45730</v>
      </c>
      <c r="D713" s="2" t="s">
        <v>23</v>
      </c>
      <c r="E713" t="s">
        <v>32</v>
      </c>
      <c r="G713" s="3">
        <v>536</v>
      </c>
      <c r="H713" t="s">
        <v>176</v>
      </c>
      <c r="I713" s="3" t="str">
        <f t="shared" si="33"/>
        <v>2025-03</v>
      </c>
      <c r="J713" s="1">
        <f t="shared" si="34"/>
        <v>45788</v>
      </c>
      <c r="K713" t="str">
        <f t="shared" si="35"/>
        <v>ACTIVE</v>
      </c>
    </row>
    <row r="714" spans="1:11">
      <c r="A714">
        <v>814</v>
      </c>
      <c r="B714" t="s">
        <v>64</v>
      </c>
      <c r="C714" s="1">
        <v>45436</v>
      </c>
      <c r="D714" s="2" t="s">
        <v>27</v>
      </c>
      <c r="E714" t="s">
        <v>34</v>
      </c>
      <c r="G714" s="3">
        <v>1556</v>
      </c>
      <c r="H714" t="s">
        <v>172</v>
      </c>
      <c r="I714" s="3" t="str">
        <f t="shared" si="33"/>
        <v>2024-05</v>
      </c>
      <c r="J714" s="1">
        <f t="shared" si="34"/>
        <v>45814</v>
      </c>
      <c r="K714" t="str">
        <f t="shared" si="35"/>
        <v>ACTIVE</v>
      </c>
    </row>
    <row r="715" spans="1:11">
      <c r="A715">
        <v>1415</v>
      </c>
      <c r="B715" t="s">
        <v>71</v>
      </c>
      <c r="C715" s="1">
        <v>45395</v>
      </c>
      <c r="D715" s="2" t="s">
        <v>27</v>
      </c>
      <c r="E715" t="s">
        <v>35</v>
      </c>
      <c r="G715" s="3">
        <v>1112</v>
      </c>
      <c r="H715" t="s">
        <v>175</v>
      </c>
      <c r="I715" s="3" t="str">
        <f t="shared" si="33"/>
        <v>2024-04</v>
      </c>
      <c r="J715" s="1">
        <f t="shared" si="34"/>
        <v>45823</v>
      </c>
      <c r="K715" t="str">
        <f t="shared" si="35"/>
        <v>ACTIVE</v>
      </c>
    </row>
    <row r="716" spans="1:11">
      <c r="A716">
        <v>987</v>
      </c>
      <c r="B716" t="s">
        <v>96</v>
      </c>
      <c r="C716" s="1">
        <v>45321</v>
      </c>
      <c r="D716" s="2" t="s">
        <v>23</v>
      </c>
      <c r="E716" t="s">
        <v>32</v>
      </c>
      <c r="G716" s="3">
        <v>4531</v>
      </c>
      <c r="H716" t="s">
        <v>175</v>
      </c>
      <c r="I716" s="3" t="str">
        <f t="shared" si="33"/>
        <v>2024-01</v>
      </c>
      <c r="J716" s="1">
        <f t="shared" si="34"/>
        <v>45798</v>
      </c>
      <c r="K716" t="str">
        <f t="shared" si="35"/>
        <v>ACTIVE</v>
      </c>
    </row>
    <row r="717" spans="1:11">
      <c r="A717">
        <v>1091</v>
      </c>
      <c r="B717" t="s">
        <v>160</v>
      </c>
      <c r="C717" s="1">
        <v>45490</v>
      </c>
      <c r="D717" s="2" t="s">
        <v>23</v>
      </c>
      <c r="E717" t="s">
        <v>31</v>
      </c>
      <c r="G717" s="3">
        <v>4850</v>
      </c>
      <c r="H717" t="s">
        <v>176</v>
      </c>
      <c r="I717" s="3" t="str">
        <f t="shared" si="33"/>
        <v>2024-07</v>
      </c>
      <c r="J717" s="1">
        <f t="shared" si="34"/>
        <v>45734</v>
      </c>
      <c r="K717" t="str">
        <f t="shared" si="35"/>
        <v>LAPSED</v>
      </c>
    </row>
    <row r="718" spans="1:11">
      <c r="A718">
        <v>1288</v>
      </c>
      <c r="B718" t="s">
        <v>56</v>
      </c>
      <c r="C718" s="1">
        <v>45331</v>
      </c>
      <c r="D718" s="2" t="s">
        <v>25</v>
      </c>
      <c r="E718" t="s">
        <v>30</v>
      </c>
      <c r="G718" s="3">
        <v>1605</v>
      </c>
      <c r="H718" t="s">
        <v>176</v>
      </c>
      <c r="I718" s="3" t="str">
        <f t="shared" si="33"/>
        <v>2024-02</v>
      </c>
      <c r="J718" s="1">
        <f t="shared" si="34"/>
        <v>45805</v>
      </c>
      <c r="K718" t="str">
        <f t="shared" si="35"/>
        <v>ACTIVE</v>
      </c>
    </row>
    <row r="719" spans="1:11">
      <c r="A719">
        <v>158</v>
      </c>
      <c r="B719" t="s">
        <v>117</v>
      </c>
      <c r="C719" s="1">
        <v>45613</v>
      </c>
      <c r="D719" s="2" t="s">
        <v>24</v>
      </c>
      <c r="E719" t="s">
        <v>33</v>
      </c>
      <c r="G719" s="3">
        <v>810</v>
      </c>
      <c r="H719" t="s">
        <v>172</v>
      </c>
      <c r="I719" s="3" t="str">
        <f t="shared" si="33"/>
        <v>2024-11</v>
      </c>
      <c r="J719" s="1">
        <f t="shared" si="34"/>
        <v>45790</v>
      </c>
      <c r="K719" t="str">
        <f t="shared" si="35"/>
        <v>ACTIVE</v>
      </c>
    </row>
    <row r="720" spans="1:11">
      <c r="A720">
        <v>880</v>
      </c>
      <c r="B720" t="s">
        <v>52</v>
      </c>
      <c r="C720" s="1">
        <v>45567</v>
      </c>
      <c r="D720" s="2" t="s">
        <v>28</v>
      </c>
      <c r="E720" t="s">
        <v>30</v>
      </c>
      <c r="G720" s="3">
        <v>259</v>
      </c>
      <c r="H720" t="s">
        <v>174</v>
      </c>
      <c r="I720" s="3" t="str">
        <f t="shared" si="33"/>
        <v>2024-10</v>
      </c>
      <c r="J720" s="1">
        <f t="shared" si="34"/>
        <v>45811</v>
      </c>
      <c r="K720" t="str">
        <f t="shared" si="35"/>
        <v>ACTIVE</v>
      </c>
    </row>
    <row r="721" spans="1:11">
      <c r="A721">
        <v>971</v>
      </c>
      <c r="B721" t="s">
        <v>48</v>
      </c>
      <c r="C721" s="1">
        <v>45543</v>
      </c>
      <c r="D721" s="2" t="s">
        <v>27</v>
      </c>
      <c r="E721" t="s">
        <v>30</v>
      </c>
      <c r="G721" s="3">
        <v>0</v>
      </c>
      <c r="H721" t="s">
        <v>174</v>
      </c>
      <c r="I721" s="3" t="str">
        <f t="shared" si="33"/>
        <v>2024-09</v>
      </c>
      <c r="J721" s="1">
        <f t="shared" si="34"/>
        <v>45809</v>
      </c>
      <c r="K721" t="str">
        <f t="shared" si="35"/>
        <v>ACTIVE</v>
      </c>
    </row>
    <row r="722" spans="1:11">
      <c r="A722">
        <v>463</v>
      </c>
      <c r="B722" t="s">
        <v>47</v>
      </c>
      <c r="C722" s="1">
        <v>45456</v>
      </c>
      <c r="D722" s="2" t="s">
        <v>23</v>
      </c>
      <c r="E722" t="s">
        <v>33</v>
      </c>
      <c r="G722" s="3">
        <v>275</v>
      </c>
      <c r="H722" t="s">
        <v>174</v>
      </c>
      <c r="I722" s="3" t="str">
        <f t="shared" si="33"/>
        <v>2024-06</v>
      </c>
      <c r="J722" s="1">
        <f t="shared" si="34"/>
        <v>45792</v>
      </c>
      <c r="K722" t="str">
        <f t="shared" si="35"/>
        <v>ACTIVE</v>
      </c>
    </row>
    <row r="723" spans="1:11">
      <c r="A723">
        <v>653</v>
      </c>
      <c r="B723" t="s">
        <v>150</v>
      </c>
      <c r="C723" s="1">
        <v>45566</v>
      </c>
      <c r="D723" s="2" t="s">
        <v>23</v>
      </c>
      <c r="E723" t="s">
        <v>35</v>
      </c>
      <c r="G723" s="3">
        <v>880</v>
      </c>
      <c r="H723" t="s">
        <v>176</v>
      </c>
      <c r="I723" s="3" t="str">
        <f t="shared" si="33"/>
        <v>2024-10</v>
      </c>
      <c r="J723" s="1">
        <f t="shared" si="34"/>
        <v>45827</v>
      </c>
      <c r="K723" t="str">
        <f t="shared" si="35"/>
        <v>ACTIVE</v>
      </c>
    </row>
    <row r="724" spans="1:11">
      <c r="A724">
        <v>161</v>
      </c>
      <c r="B724" t="s">
        <v>134</v>
      </c>
      <c r="C724" s="1">
        <v>45470</v>
      </c>
      <c r="D724" s="2" t="s">
        <v>24</v>
      </c>
      <c r="E724" t="s">
        <v>35</v>
      </c>
      <c r="G724" s="3">
        <v>1697</v>
      </c>
      <c r="H724" t="s">
        <v>172</v>
      </c>
      <c r="I724" s="3" t="str">
        <f t="shared" si="33"/>
        <v>2024-06</v>
      </c>
      <c r="J724" s="1">
        <f t="shared" si="34"/>
        <v>45776</v>
      </c>
      <c r="K724" t="str">
        <f t="shared" si="35"/>
        <v>ACTIVE</v>
      </c>
    </row>
    <row r="725" spans="1:11">
      <c r="A725">
        <v>306</v>
      </c>
      <c r="B725" t="s">
        <v>117</v>
      </c>
      <c r="C725" s="1">
        <v>45790</v>
      </c>
      <c r="D725" s="2" t="s">
        <v>24</v>
      </c>
      <c r="E725" t="s">
        <v>33</v>
      </c>
      <c r="G725" s="3">
        <v>10774</v>
      </c>
      <c r="H725" t="s">
        <v>175</v>
      </c>
      <c r="I725" s="3" t="str">
        <f t="shared" si="33"/>
        <v>2025-05</v>
      </c>
      <c r="J725" s="1">
        <f t="shared" si="34"/>
        <v>45790</v>
      </c>
      <c r="K725" t="str">
        <f t="shared" si="35"/>
        <v>ACTIVE</v>
      </c>
    </row>
    <row r="726" spans="1:11">
      <c r="A726">
        <v>657</v>
      </c>
      <c r="B726" t="s">
        <v>158</v>
      </c>
      <c r="C726" s="1">
        <v>45335</v>
      </c>
      <c r="D726" s="2" t="s">
        <v>28</v>
      </c>
      <c r="E726" t="s">
        <v>34</v>
      </c>
      <c r="G726" s="3">
        <v>572</v>
      </c>
      <c r="H726" t="s">
        <v>176</v>
      </c>
      <c r="I726" s="3" t="str">
        <f t="shared" si="33"/>
        <v>2024-02</v>
      </c>
      <c r="J726" s="1">
        <f t="shared" si="34"/>
        <v>45740</v>
      </c>
      <c r="K726" t="str">
        <f t="shared" si="35"/>
        <v>LAPSED</v>
      </c>
    </row>
    <row r="727" spans="1:11">
      <c r="A727">
        <v>548</v>
      </c>
      <c r="B727" t="s">
        <v>43</v>
      </c>
      <c r="C727" s="1">
        <v>45326</v>
      </c>
      <c r="D727" s="2" t="s">
        <v>23</v>
      </c>
      <c r="E727" t="s">
        <v>32</v>
      </c>
      <c r="G727" s="3">
        <v>4226</v>
      </c>
      <c r="H727" t="s">
        <v>173</v>
      </c>
      <c r="I727" s="3" t="str">
        <f t="shared" si="33"/>
        <v>2024-02</v>
      </c>
      <c r="J727" s="1">
        <f t="shared" si="34"/>
        <v>45818</v>
      </c>
      <c r="K727" t="str">
        <f t="shared" si="35"/>
        <v>ACTIVE</v>
      </c>
    </row>
    <row r="728" spans="1:11">
      <c r="A728">
        <v>714</v>
      </c>
      <c r="B728" t="s">
        <v>133</v>
      </c>
      <c r="C728" s="1">
        <v>45723</v>
      </c>
      <c r="D728" s="2" t="s">
        <v>27</v>
      </c>
      <c r="E728" t="s">
        <v>33</v>
      </c>
      <c r="G728" s="3">
        <v>724</v>
      </c>
      <c r="H728" t="s">
        <v>173</v>
      </c>
      <c r="I728" s="3" t="str">
        <f t="shared" si="33"/>
        <v>2025-03</v>
      </c>
      <c r="J728" s="1">
        <f t="shared" si="34"/>
        <v>45788</v>
      </c>
      <c r="K728" t="str">
        <f t="shared" si="35"/>
        <v>ACTIVE</v>
      </c>
    </row>
    <row r="729" spans="1:11">
      <c r="A729">
        <v>396</v>
      </c>
      <c r="B729" t="s">
        <v>72</v>
      </c>
      <c r="C729" s="1">
        <v>45738</v>
      </c>
      <c r="D729" s="2" t="s">
        <v>24</v>
      </c>
      <c r="E729" t="s">
        <v>33</v>
      </c>
      <c r="G729" s="3">
        <v>5756</v>
      </c>
      <c r="H729" t="s">
        <v>173</v>
      </c>
      <c r="I729" s="3" t="str">
        <f t="shared" si="33"/>
        <v>2025-03</v>
      </c>
      <c r="J729" s="1">
        <f t="shared" si="34"/>
        <v>45815</v>
      </c>
      <c r="K729" t="str">
        <f t="shared" si="35"/>
        <v>ACTIVE</v>
      </c>
    </row>
    <row r="730" spans="1:11">
      <c r="A730">
        <v>400</v>
      </c>
      <c r="B730" t="s">
        <v>129</v>
      </c>
      <c r="C730" s="1">
        <v>45461</v>
      </c>
      <c r="D730" s="2" t="s">
        <v>23</v>
      </c>
      <c r="E730" t="s">
        <v>33</v>
      </c>
      <c r="G730" s="3">
        <v>259</v>
      </c>
      <c r="H730" t="s">
        <v>175</v>
      </c>
      <c r="I730" s="3" t="str">
        <f t="shared" si="33"/>
        <v>2024-06</v>
      </c>
      <c r="J730" s="1">
        <f t="shared" si="34"/>
        <v>45812</v>
      </c>
      <c r="K730" t="str">
        <f t="shared" si="35"/>
        <v>ACTIVE</v>
      </c>
    </row>
    <row r="731" spans="1:11">
      <c r="A731">
        <v>984</v>
      </c>
      <c r="B731" t="s">
        <v>64</v>
      </c>
      <c r="C731" s="1">
        <v>45640</v>
      </c>
      <c r="D731" s="2" t="s">
        <v>23</v>
      </c>
      <c r="E731" t="s">
        <v>35</v>
      </c>
      <c r="G731" s="3">
        <v>11434</v>
      </c>
      <c r="H731" t="s">
        <v>174</v>
      </c>
      <c r="I731" s="3" t="str">
        <f t="shared" si="33"/>
        <v>2024-12</v>
      </c>
      <c r="J731" s="1">
        <f t="shared" si="34"/>
        <v>45814</v>
      </c>
      <c r="K731" t="str">
        <f t="shared" si="35"/>
        <v>ACTIVE</v>
      </c>
    </row>
    <row r="732" spans="1:11">
      <c r="A732">
        <v>1391</v>
      </c>
      <c r="B732" t="s">
        <v>148</v>
      </c>
      <c r="C732" s="1">
        <v>45626</v>
      </c>
      <c r="D732" s="2" t="s">
        <v>24</v>
      </c>
      <c r="E732" t="s">
        <v>32</v>
      </c>
      <c r="G732" s="3">
        <v>9951</v>
      </c>
      <c r="H732" t="s">
        <v>175</v>
      </c>
      <c r="I732" s="3" t="str">
        <f t="shared" si="33"/>
        <v>2024-11</v>
      </c>
      <c r="J732" s="1">
        <f t="shared" si="34"/>
        <v>45766</v>
      </c>
      <c r="K732" t="str">
        <f t="shared" si="35"/>
        <v>ACTIVE</v>
      </c>
    </row>
    <row r="733" spans="1:11">
      <c r="A733">
        <v>859</v>
      </c>
      <c r="B733" t="s">
        <v>101</v>
      </c>
      <c r="C733" s="1">
        <v>45339</v>
      </c>
      <c r="D733" s="2" t="s">
        <v>24</v>
      </c>
      <c r="E733" t="s">
        <v>30</v>
      </c>
      <c r="G733" s="3">
        <v>9780</v>
      </c>
      <c r="H733" t="s">
        <v>175</v>
      </c>
      <c r="I733" s="3" t="str">
        <f t="shared" si="33"/>
        <v>2024-02</v>
      </c>
      <c r="J733" s="1">
        <f t="shared" si="34"/>
        <v>45823</v>
      </c>
      <c r="K733" t="str">
        <f t="shared" si="35"/>
        <v>ACTIVE</v>
      </c>
    </row>
    <row r="734" spans="1:11">
      <c r="A734">
        <v>1247</v>
      </c>
      <c r="B734" t="s">
        <v>155</v>
      </c>
      <c r="C734" s="1">
        <v>45464</v>
      </c>
      <c r="D734" s="2" t="s">
        <v>25</v>
      </c>
      <c r="E734" t="s">
        <v>34</v>
      </c>
      <c r="G734" s="3">
        <v>2065</v>
      </c>
      <c r="H734" t="s">
        <v>175</v>
      </c>
      <c r="I734" s="3" t="str">
        <f t="shared" si="33"/>
        <v>2024-06</v>
      </c>
      <c r="J734" s="1">
        <f t="shared" si="34"/>
        <v>45698</v>
      </c>
      <c r="K734" t="str">
        <f t="shared" si="35"/>
        <v>LAPSED</v>
      </c>
    </row>
    <row r="735" spans="1:11">
      <c r="A735">
        <v>1518</v>
      </c>
      <c r="B735" t="s">
        <v>126</v>
      </c>
      <c r="C735" s="1">
        <v>45676</v>
      </c>
      <c r="D735" s="2" t="s">
        <v>25</v>
      </c>
      <c r="E735" t="s">
        <v>35</v>
      </c>
      <c r="G735" s="3">
        <v>525</v>
      </c>
      <c r="H735" t="s">
        <v>176</v>
      </c>
      <c r="I735" s="3" t="str">
        <f t="shared" si="33"/>
        <v>2025-01</v>
      </c>
      <c r="J735" s="1">
        <f t="shared" si="34"/>
        <v>45827</v>
      </c>
      <c r="K735" t="str">
        <f t="shared" si="35"/>
        <v>ACTIVE</v>
      </c>
    </row>
    <row r="736" spans="1:11">
      <c r="A736">
        <v>791</v>
      </c>
      <c r="B736" t="s">
        <v>58</v>
      </c>
      <c r="C736" s="1">
        <v>45692</v>
      </c>
      <c r="D736" s="2" t="s">
        <v>25</v>
      </c>
      <c r="E736" t="s">
        <v>33</v>
      </c>
      <c r="G736" s="3">
        <v>9674</v>
      </c>
      <c r="H736" t="s">
        <v>176</v>
      </c>
      <c r="I736" s="3" t="str">
        <f t="shared" si="33"/>
        <v>2025-02</v>
      </c>
      <c r="J736" s="1">
        <f t="shared" si="34"/>
        <v>45752</v>
      </c>
      <c r="K736" t="str">
        <f t="shared" si="35"/>
        <v>ACTIVE</v>
      </c>
    </row>
    <row r="737" spans="1:11">
      <c r="A737">
        <v>460</v>
      </c>
      <c r="B737" t="s">
        <v>116</v>
      </c>
      <c r="C737" s="1">
        <v>45656</v>
      </c>
      <c r="D737" s="2" t="s">
        <v>27</v>
      </c>
      <c r="E737" t="s">
        <v>30</v>
      </c>
      <c r="G737" s="3">
        <v>11166</v>
      </c>
      <c r="H737" t="s">
        <v>172</v>
      </c>
      <c r="I737" s="3" t="str">
        <f t="shared" si="33"/>
        <v>2024-12</v>
      </c>
      <c r="J737" s="1">
        <f t="shared" si="34"/>
        <v>45829</v>
      </c>
      <c r="K737" t="str">
        <f t="shared" si="35"/>
        <v>ACTIVE</v>
      </c>
    </row>
    <row r="738" spans="1:11">
      <c r="A738">
        <v>63</v>
      </c>
      <c r="B738" t="s">
        <v>122</v>
      </c>
      <c r="C738" s="1">
        <v>45538</v>
      </c>
      <c r="D738" s="2" t="s">
        <v>28</v>
      </c>
      <c r="E738" t="s">
        <v>30</v>
      </c>
      <c r="G738" s="3">
        <v>294</v>
      </c>
      <c r="H738" t="s">
        <v>176</v>
      </c>
      <c r="I738" s="3" t="str">
        <f t="shared" si="33"/>
        <v>2024-09</v>
      </c>
      <c r="J738" s="1">
        <f t="shared" si="34"/>
        <v>45793</v>
      </c>
      <c r="K738" t="str">
        <f t="shared" si="35"/>
        <v>ACTIVE</v>
      </c>
    </row>
    <row r="739" spans="1:11">
      <c r="A739">
        <v>913</v>
      </c>
      <c r="B739" t="s">
        <v>135</v>
      </c>
      <c r="C739" s="1">
        <v>45563</v>
      </c>
      <c r="D739" s="2" t="s">
        <v>25</v>
      </c>
      <c r="E739" t="s">
        <v>34</v>
      </c>
      <c r="G739" s="3">
        <v>1667</v>
      </c>
      <c r="H739" t="s">
        <v>172</v>
      </c>
      <c r="I739" s="3" t="str">
        <f t="shared" si="33"/>
        <v>2024-09</v>
      </c>
      <c r="J739" s="1">
        <f t="shared" si="34"/>
        <v>45785</v>
      </c>
      <c r="K739" t="str">
        <f t="shared" si="35"/>
        <v>ACTIVE</v>
      </c>
    </row>
    <row r="740" spans="1:11">
      <c r="A740">
        <v>780</v>
      </c>
      <c r="B740" t="s">
        <v>83</v>
      </c>
      <c r="C740" s="1">
        <v>45710</v>
      </c>
      <c r="D740" s="2" t="s">
        <v>28</v>
      </c>
      <c r="E740" t="s">
        <v>31</v>
      </c>
      <c r="G740" s="3">
        <v>2382</v>
      </c>
      <c r="H740" t="s">
        <v>172</v>
      </c>
      <c r="I740" s="3" t="str">
        <f t="shared" si="33"/>
        <v>2025-02</v>
      </c>
      <c r="J740" s="1">
        <f t="shared" si="34"/>
        <v>45816</v>
      </c>
      <c r="K740" t="str">
        <f t="shared" si="35"/>
        <v>ACTIVE</v>
      </c>
    </row>
    <row r="741" spans="1:11">
      <c r="A741">
        <v>458</v>
      </c>
      <c r="B741" t="s">
        <v>40</v>
      </c>
      <c r="C741" s="1">
        <v>45624</v>
      </c>
      <c r="D741" s="2" t="s">
        <v>27</v>
      </c>
      <c r="E741" t="s">
        <v>31</v>
      </c>
      <c r="G741" s="3">
        <v>958</v>
      </c>
      <c r="H741" t="s">
        <v>172</v>
      </c>
      <c r="I741" s="3" t="str">
        <f t="shared" si="33"/>
        <v>2024-11</v>
      </c>
      <c r="J741" s="1">
        <f t="shared" si="34"/>
        <v>45759</v>
      </c>
      <c r="K741" t="str">
        <f t="shared" si="35"/>
        <v>ACTIVE</v>
      </c>
    </row>
    <row r="742" spans="1:11">
      <c r="A742">
        <v>1612</v>
      </c>
      <c r="B742" t="s">
        <v>113</v>
      </c>
      <c r="C742" s="1">
        <v>45604</v>
      </c>
      <c r="D742" s="2" t="s">
        <v>25</v>
      </c>
      <c r="E742" t="s">
        <v>34</v>
      </c>
      <c r="G742" s="3">
        <v>821</v>
      </c>
      <c r="H742" t="s">
        <v>176</v>
      </c>
      <c r="I742" s="3" t="str">
        <f t="shared" si="33"/>
        <v>2024-11</v>
      </c>
      <c r="J742" s="1">
        <f t="shared" si="34"/>
        <v>45788</v>
      </c>
      <c r="K742" t="str">
        <f t="shared" si="35"/>
        <v>ACTIVE</v>
      </c>
    </row>
    <row r="743" spans="1:11">
      <c r="A743">
        <v>479</v>
      </c>
      <c r="B743" t="s">
        <v>115</v>
      </c>
      <c r="C743" s="1">
        <v>45303</v>
      </c>
      <c r="D743" s="2" t="s">
        <v>28</v>
      </c>
      <c r="E743" t="s">
        <v>34</v>
      </c>
      <c r="G743" s="3">
        <v>2524</v>
      </c>
      <c r="H743" t="s">
        <v>174</v>
      </c>
      <c r="I743" s="3" t="str">
        <f t="shared" si="33"/>
        <v>2024-01</v>
      </c>
      <c r="J743" s="1">
        <f t="shared" si="34"/>
        <v>45810</v>
      </c>
      <c r="K743" t="str">
        <f t="shared" si="35"/>
        <v>ACTIVE</v>
      </c>
    </row>
    <row r="744" spans="1:11">
      <c r="A744">
        <v>1369</v>
      </c>
      <c r="B744" t="s">
        <v>104</v>
      </c>
      <c r="C744" s="1">
        <v>45506</v>
      </c>
      <c r="D744" s="2" t="s">
        <v>25</v>
      </c>
      <c r="E744" t="s">
        <v>33</v>
      </c>
      <c r="G744" s="3">
        <v>403</v>
      </c>
      <c r="H744" t="s">
        <v>174</v>
      </c>
      <c r="I744" s="3" t="str">
        <f t="shared" si="33"/>
        <v>2024-08</v>
      </c>
      <c r="J744" s="1">
        <f t="shared" si="34"/>
        <v>45743</v>
      </c>
      <c r="K744" t="str">
        <f t="shared" si="35"/>
        <v>ACTIVE</v>
      </c>
    </row>
    <row r="745" spans="1:11">
      <c r="A745">
        <v>1343</v>
      </c>
      <c r="B745" t="s">
        <v>136</v>
      </c>
      <c r="C745" s="1">
        <v>45383</v>
      </c>
      <c r="D745" s="2" t="s">
        <v>27</v>
      </c>
      <c r="E745" t="s">
        <v>32</v>
      </c>
      <c r="G745" s="3">
        <v>1269</v>
      </c>
      <c r="H745" t="s">
        <v>174</v>
      </c>
      <c r="I745" s="3" t="str">
        <f t="shared" si="33"/>
        <v>2024-04</v>
      </c>
      <c r="J745" s="1">
        <f t="shared" si="34"/>
        <v>45823</v>
      </c>
      <c r="K745" t="str">
        <f t="shared" si="35"/>
        <v>ACTIVE</v>
      </c>
    </row>
    <row r="746" spans="1:11">
      <c r="A746">
        <v>618</v>
      </c>
      <c r="B746" t="s">
        <v>42</v>
      </c>
      <c r="C746" s="1">
        <v>45542</v>
      </c>
      <c r="D746" s="2" t="s">
        <v>25</v>
      </c>
      <c r="E746" t="s">
        <v>31</v>
      </c>
      <c r="G746" s="3">
        <v>359</v>
      </c>
      <c r="H746" t="s">
        <v>176</v>
      </c>
      <c r="I746" s="3" t="str">
        <f t="shared" si="33"/>
        <v>2024-09</v>
      </c>
      <c r="J746" s="1">
        <f t="shared" si="34"/>
        <v>45803</v>
      </c>
      <c r="K746" t="str">
        <f t="shared" si="35"/>
        <v>ACTIVE</v>
      </c>
    </row>
    <row r="747" spans="1:11">
      <c r="A747">
        <v>1676</v>
      </c>
      <c r="B747" t="s">
        <v>70</v>
      </c>
      <c r="C747" s="1">
        <v>45432</v>
      </c>
      <c r="D747" s="2" t="s">
        <v>28</v>
      </c>
      <c r="E747" t="s">
        <v>32</v>
      </c>
      <c r="G747" s="3">
        <v>1794</v>
      </c>
      <c r="H747" t="s">
        <v>175</v>
      </c>
      <c r="I747" s="3" t="str">
        <f t="shared" si="33"/>
        <v>2024-05</v>
      </c>
      <c r="J747" s="1">
        <f t="shared" si="34"/>
        <v>45829</v>
      </c>
      <c r="K747" t="str">
        <f t="shared" si="35"/>
        <v>ACTIVE</v>
      </c>
    </row>
    <row r="748" spans="1:11">
      <c r="A748">
        <v>1197</v>
      </c>
      <c r="B748" t="s">
        <v>61</v>
      </c>
      <c r="C748" s="1">
        <v>45511</v>
      </c>
      <c r="D748" s="2" t="s">
        <v>24</v>
      </c>
      <c r="E748" t="s">
        <v>32</v>
      </c>
      <c r="G748" s="3">
        <v>1969</v>
      </c>
      <c r="H748" t="s">
        <v>174</v>
      </c>
      <c r="I748" s="3" t="str">
        <f t="shared" si="33"/>
        <v>2024-08</v>
      </c>
      <c r="J748" s="1">
        <f t="shared" si="34"/>
        <v>45815</v>
      </c>
      <c r="K748" t="str">
        <f t="shared" si="35"/>
        <v>ACTIVE</v>
      </c>
    </row>
    <row r="749" spans="1:11">
      <c r="A749">
        <v>1289</v>
      </c>
      <c r="B749" t="s">
        <v>130</v>
      </c>
      <c r="C749" s="1">
        <v>45521</v>
      </c>
      <c r="D749" s="2" t="s">
        <v>25</v>
      </c>
      <c r="E749" t="s">
        <v>35</v>
      </c>
      <c r="G749" s="3">
        <v>8296</v>
      </c>
      <c r="H749" t="s">
        <v>173</v>
      </c>
      <c r="I749" s="3" t="str">
        <f t="shared" si="33"/>
        <v>2024-08</v>
      </c>
      <c r="J749" s="1">
        <f t="shared" si="34"/>
        <v>45828</v>
      </c>
      <c r="K749" t="str">
        <f t="shared" si="35"/>
        <v>ACTIVE</v>
      </c>
    </row>
    <row r="750" spans="1:11">
      <c r="A750">
        <v>1470</v>
      </c>
      <c r="B750" t="s">
        <v>136</v>
      </c>
      <c r="C750" s="1">
        <v>45556</v>
      </c>
      <c r="D750" s="2" t="s">
        <v>28</v>
      </c>
      <c r="E750" t="s">
        <v>33</v>
      </c>
      <c r="G750" s="3">
        <v>2340</v>
      </c>
      <c r="H750" t="s">
        <v>173</v>
      </c>
      <c r="I750" s="3" t="str">
        <f t="shared" si="33"/>
        <v>2024-09</v>
      </c>
      <c r="J750" s="1">
        <f t="shared" si="34"/>
        <v>45823</v>
      </c>
      <c r="K750" t="str">
        <f t="shared" si="35"/>
        <v>ACTIVE</v>
      </c>
    </row>
    <row r="751" spans="1:11">
      <c r="A751">
        <v>348</v>
      </c>
      <c r="B751" t="s">
        <v>84</v>
      </c>
      <c r="C751" s="1">
        <v>45330</v>
      </c>
      <c r="D751" s="2" t="s">
        <v>24</v>
      </c>
      <c r="E751" t="s">
        <v>35</v>
      </c>
      <c r="G751" s="3">
        <v>0</v>
      </c>
      <c r="H751" t="s">
        <v>176</v>
      </c>
      <c r="I751" s="3" t="str">
        <f t="shared" si="33"/>
        <v>2024-02</v>
      </c>
      <c r="J751" s="1">
        <f t="shared" si="34"/>
        <v>45827</v>
      </c>
      <c r="K751" t="str">
        <f t="shared" si="35"/>
        <v>ACTIVE</v>
      </c>
    </row>
    <row r="752" spans="1:11">
      <c r="A752">
        <v>818</v>
      </c>
      <c r="B752" t="s">
        <v>76</v>
      </c>
      <c r="C752" s="1">
        <v>45766</v>
      </c>
      <c r="D752" s="2" t="s">
        <v>28</v>
      </c>
      <c r="E752" t="s">
        <v>31</v>
      </c>
      <c r="G752" s="3">
        <v>769</v>
      </c>
      <c r="H752" t="s">
        <v>173</v>
      </c>
      <c r="I752" s="3" t="str">
        <f t="shared" si="33"/>
        <v>2025-04</v>
      </c>
      <c r="J752" s="1">
        <f t="shared" si="34"/>
        <v>45792</v>
      </c>
      <c r="K752" t="str">
        <f t="shared" si="35"/>
        <v>ACTIVE</v>
      </c>
    </row>
    <row r="753" spans="1:11">
      <c r="A753">
        <v>1088</v>
      </c>
      <c r="B753" t="s">
        <v>129</v>
      </c>
      <c r="C753" s="1">
        <v>45312</v>
      </c>
      <c r="D753" s="2" t="s">
        <v>23</v>
      </c>
      <c r="E753" t="s">
        <v>34</v>
      </c>
      <c r="G753" s="3">
        <v>9592</v>
      </c>
      <c r="H753" t="s">
        <v>173</v>
      </c>
      <c r="I753" s="3" t="str">
        <f t="shared" si="33"/>
        <v>2024-01</v>
      </c>
      <c r="J753" s="1">
        <f t="shared" si="34"/>
        <v>45812</v>
      </c>
      <c r="K753" t="str">
        <f t="shared" si="35"/>
        <v>ACTIVE</v>
      </c>
    </row>
    <row r="754" spans="1:11">
      <c r="A754">
        <v>766</v>
      </c>
      <c r="B754" t="s">
        <v>115</v>
      </c>
      <c r="C754" s="1">
        <v>45497</v>
      </c>
      <c r="D754" s="2" t="s">
        <v>27</v>
      </c>
      <c r="E754" t="s">
        <v>34</v>
      </c>
      <c r="G754" s="3">
        <v>4379</v>
      </c>
      <c r="H754" t="s">
        <v>173</v>
      </c>
      <c r="I754" s="3" t="str">
        <f t="shared" si="33"/>
        <v>2024-07</v>
      </c>
      <c r="J754" s="1">
        <f t="shared" si="34"/>
        <v>45810</v>
      </c>
      <c r="K754" t="str">
        <f t="shared" si="35"/>
        <v>ACTIVE</v>
      </c>
    </row>
    <row r="755" spans="1:11">
      <c r="A755">
        <v>447</v>
      </c>
      <c r="B755" t="s">
        <v>102</v>
      </c>
      <c r="C755" s="1">
        <v>45737</v>
      </c>
      <c r="D755" s="2" t="s">
        <v>23</v>
      </c>
      <c r="E755" t="s">
        <v>31</v>
      </c>
      <c r="G755" s="3">
        <v>4963</v>
      </c>
      <c r="H755" t="s">
        <v>172</v>
      </c>
      <c r="I755" s="3" t="str">
        <f t="shared" si="33"/>
        <v>2025-03</v>
      </c>
      <c r="J755" s="1">
        <f t="shared" si="34"/>
        <v>45793</v>
      </c>
      <c r="K755" t="str">
        <f t="shared" si="35"/>
        <v>ACTIVE</v>
      </c>
    </row>
    <row r="756" spans="1:11">
      <c r="A756">
        <v>651</v>
      </c>
      <c r="B756" t="s">
        <v>117</v>
      </c>
      <c r="C756" s="1">
        <v>45370</v>
      </c>
      <c r="D756" s="2" t="s">
        <v>24</v>
      </c>
      <c r="E756" t="s">
        <v>35</v>
      </c>
      <c r="G756" s="3">
        <v>2433</v>
      </c>
      <c r="H756" t="s">
        <v>175</v>
      </c>
      <c r="I756" s="3" t="str">
        <f t="shared" si="33"/>
        <v>2024-03</v>
      </c>
      <c r="J756" s="1">
        <f t="shared" si="34"/>
        <v>45790</v>
      </c>
      <c r="K756" t="str">
        <f t="shared" si="35"/>
        <v>ACTIVE</v>
      </c>
    </row>
    <row r="757" spans="1:11">
      <c r="A757">
        <v>1123</v>
      </c>
      <c r="B757" t="s">
        <v>70</v>
      </c>
      <c r="C757" s="1">
        <v>45742</v>
      </c>
      <c r="D757" s="2" t="s">
        <v>25</v>
      </c>
      <c r="E757" t="s">
        <v>32</v>
      </c>
      <c r="G757" s="3">
        <v>5157</v>
      </c>
      <c r="H757" t="s">
        <v>174</v>
      </c>
      <c r="I757" s="3" t="str">
        <f t="shared" si="33"/>
        <v>2025-03</v>
      </c>
      <c r="J757" s="1">
        <f t="shared" si="34"/>
        <v>45829</v>
      </c>
      <c r="K757" t="str">
        <f t="shared" si="35"/>
        <v>ACTIVE</v>
      </c>
    </row>
    <row r="758" spans="1:11">
      <c r="A758">
        <v>1624</v>
      </c>
      <c r="B758" t="s">
        <v>57</v>
      </c>
      <c r="C758" s="1">
        <v>45425</v>
      </c>
      <c r="D758" s="2" t="s">
        <v>25</v>
      </c>
      <c r="E758" t="s">
        <v>30</v>
      </c>
      <c r="G758" s="3">
        <v>854</v>
      </c>
      <c r="H758" t="s">
        <v>174</v>
      </c>
      <c r="I758" s="3" t="str">
        <f t="shared" si="33"/>
        <v>2024-05</v>
      </c>
      <c r="J758" s="1">
        <f t="shared" si="34"/>
        <v>45808</v>
      </c>
      <c r="K758" t="str">
        <f t="shared" si="35"/>
        <v>ACTIVE</v>
      </c>
    </row>
    <row r="759" spans="1:11">
      <c r="A759">
        <v>380</v>
      </c>
      <c r="B759" t="s">
        <v>111</v>
      </c>
      <c r="C759" s="1">
        <v>45622</v>
      </c>
      <c r="D759" s="2" t="s">
        <v>25</v>
      </c>
      <c r="E759" t="s">
        <v>30</v>
      </c>
      <c r="G759" s="3">
        <v>2491</v>
      </c>
      <c r="H759" t="s">
        <v>175</v>
      </c>
      <c r="I759" s="3" t="str">
        <f t="shared" si="33"/>
        <v>2024-11</v>
      </c>
      <c r="J759" s="1">
        <f t="shared" si="34"/>
        <v>45829</v>
      </c>
      <c r="K759" t="str">
        <f t="shared" si="35"/>
        <v>ACTIVE</v>
      </c>
    </row>
    <row r="760" spans="1:11">
      <c r="A760">
        <v>565</v>
      </c>
      <c r="B760" t="s">
        <v>98</v>
      </c>
      <c r="C760" s="1">
        <v>45363</v>
      </c>
      <c r="D760" s="2" t="s">
        <v>27</v>
      </c>
      <c r="E760" t="s">
        <v>35</v>
      </c>
      <c r="G760" s="3">
        <v>654</v>
      </c>
      <c r="H760" t="s">
        <v>173</v>
      </c>
      <c r="I760" s="3" t="str">
        <f t="shared" si="33"/>
        <v>2024-03</v>
      </c>
      <c r="J760" s="1">
        <f t="shared" si="34"/>
        <v>45767</v>
      </c>
      <c r="K760" t="str">
        <f t="shared" si="35"/>
        <v>ACTIVE</v>
      </c>
    </row>
    <row r="761" spans="1:11">
      <c r="A761">
        <v>1572</v>
      </c>
      <c r="B761" t="s">
        <v>103</v>
      </c>
      <c r="C761" s="1">
        <v>45773</v>
      </c>
      <c r="D761" s="2" t="s">
        <v>26</v>
      </c>
      <c r="E761" t="s">
        <v>33</v>
      </c>
      <c r="G761" s="3">
        <v>329</v>
      </c>
      <c r="H761" t="s">
        <v>173</v>
      </c>
      <c r="I761" s="3" t="str">
        <f t="shared" si="33"/>
        <v>2025-04</v>
      </c>
      <c r="J761" s="1">
        <f t="shared" si="34"/>
        <v>45821</v>
      </c>
      <c r="K761" t="str">
        <f t="shared" si="35"/>
        <v>ACTIVE</v>
      </c>
    </row>
    <row r="762" spans="1:11">
      <c r="A762">
        <v>1451</v>
      </c>
      <c r="B762" t="s">
        <v>89</v>
      </c>
      <c r="C762" s="1">
        <v>45476</v>
      </c>
      <c r="D762" s="2" t="s">
        <v>25</v>
      </c>
      <c r="E762" t="s">
        <v>34</v>
      </c>
      <c r="G762" s="3">
        <v>5423</v>
      </c>
      <c r="H762" t="s">
        <v>175</v>
      </c>
      <c r="I762" s="3" t="str">
        <f t="shared" si="33"/>
        <v>2024-07</v>
      </c>
      <c r="J762" s="1">
        <f t="shared" si="34"/>
        <v>45826</v>
      </c>
      <c r="K762" t="str">
        <f t="shared" si="35"/>
        <v>ACTIVE</v>
      </c>
    </row>
    <row r="763" spans="1:11">
      <c r="A763">
        <v>1730</v>
      </c>
      <c r="B763" t="s">
        <v>41</v>
      </c>
      <c r="C763" s="1">
        <v>45678</v>
      </c>
      <c r="D763" s="2" t="s">
        <v>23</v>
      </c>
      <c r="E763" t="s">
        <v>33</v>
      </c>
      <c r="G763" s="3">
        <v>1213</v>
      </c>
      <c r="H763" t="s">
        <v>176</v>
      </c>
      <c r="I763" s="3" t="str">
        <f t="shared" si="33"/>
        <v>2025-01</v>
      </c>
      <c r="J763" s="1">
        <f t="shared" si="34"/>
        <v>45785</v>
      </c>
      <c r="K763" t="str">
        <f t="shared" si="35"/>
        <v>ACTIVE</v>
      </c>
    </row>
    <row r="764" spans="1:11">
      <c r="A764">
        <v>1349</v>
      </c>
      <c r="B764" t="s">
        <v>64</v>
      </c>
      <c r="C764" s="1">
        <v>45707</v>
      </c>
      <c r="D764" s="2" t="s">
        <v>27</v>
      </c>
      <c r="E764" t="s">
        <v>34</v>
      </c>
      <c r="G764" s="3">
        <v>477</v>
      </c>
      <c r="H764" t="s">
        <v>176</v>
      </c>
      <c r="I764" s="3" t="str">
        <f t="shared" si="33"/>
        <v>2025-02</v>
      </c>
      <c r="J764" s="1">
        <f t="shared" si="34"/>
        <v>45814</v>
      </c>
      <c r="K764" t="str">
        <f t="shared" si="35"/>
        <v>ACTIVE</v>
      </c>
    </row>
    <row r="765" spans="1:11">
      <c r="A765">
        <v>232</v>
      </c>
      <c r="B765" t="s">
        <v>40</v>
      </c>
      <c r="C765" s="1">
        <v>45686</v>
      </c>
      <c r="D765" s="2" t="s">
        <v>24</v>
      </c>
      <c r="E765" t="s">
        <v>32</v>
      </c>
      <c r="G765" s="3">
        <v>834</v>
      </c>
      <c r="H765" t="s">
        <v>175</v>
      </c>
      <c r="I765" s="3" t="str">
        <f t="shared" si="33"/>
        <v>2025-01</v>
      </c>
      <c r="J765" s="1">
        <f t="shared" si="34"/>
        <v>45759</v>
      </c>
      <c r="K765" t="str">
        <f t="shared" si="35"/>
        <v>ACTIVE</v>
      </c>
    </row>
    <row r="766" spans="1:11">
      <c r="A766">
        <v>1639</v>
      </c>
      <c r="B766" t="s">
        <v>56</v>
      </c>
      <c r="C766" s="1">
        <v>45413</v>
      </c>
      <c r="D766" s="2" t="s">
        <v>24</v>
      </c>
      <c r="E766" t="s">
        <v>33</v>
      </c>
      <c r="G766" s="3">
        <v>881</v>
      </c>
      <c r="H766" t="s">
        <v>175</v>
      </c>
      <c r="I766" s="3" t="str">
        <f t="shared" si="33"/>
        <v>2024-05</v>
      </c>
      <c r="J766" s="1">
        <f t="shared" si="34"/>
        <v>45805</v>
      </c>
      <c r="K766" t="str">
        <f t="shared" si="35"/>
        <v>ACTIVE</v>
      </c>
    </row>
    <row r="767" spans="1:11">
      <c r="A767">
        <v>383</v>
      </c>
      <c r="B767" t="s">
        <v>67</v>
      </c>
      <c r="C767" s="1">
        <v>45748</v>
      </c>
      <c r="D767" s="2" t="s">
        <v>23</v>
      </c>
      <c r="E767" t="s">
        <v>35</v>
      </c>
      <c r="G767" s="3">
        <v>2367</v>
      </c>
      <c r="H767" t="s">
        <v>174</v>
      </c>
      <c r="I767" s="3" t="str">
        <f t="shared" si="33"/>
        <v>2025-04</v>
      </c>
      <c r="J767" s="1">
        <f t="shared" si="34"/>
        <v>45794</v>
      </c>
      <c r="K767" t="str">
        <f t="shared" si="35"/>
        <v>ACTIVE</v>
      </c>
    </row>
    <row r="768" spans="1:11">
      <c r="A768">
        <v>1618</v>
      </c>
      <c r="B768" t="s">
        <v>127</v>
      </c>
      <c r="C768" s="1">
        <v>45511</v>
      </c>
      <c r="D768" s="2" t="s">
        <v>28</v>
      </c>
      <c r="E768" t="s">
        <v>33</v>
      </c>
      <c r="G768" s="3">
        <v>1093</v>
      </c>
      <c r="H768" t="s">
        <v>174</v>
      </c>
      <c r="I768" s="3" t="str">
        <f t="shared" si="33"/>
        <v>2024-08</v>
      </c>
      <c r="J768" s="1">
        <f t="shared" si="34"/>
        <v>45794</v>
      </c>
      <c r="K768" t="str">
        <f t="shared" si="35"/>
        <v>ACTIVE</v>
      </c>
    </row>
    <row r="769" spans="1:11">
      <c r="A769">
        <v>1085</v>
      </c>
      <c r="B769" t="s">
        <v>112</v>
      </c>
      <c r="C769" s="1">
        <v>45404</v>
      </c>
      <c r="D769" s="2" t="s">
        <v>23</v>
      </c>
      <c r="E769" t="s">
        <v>31</v>
      </c>
      <c r="G769" s="3">
        <v>1563</v>
      </c>
      <c r="H769" t="s">
        <v>176</v>
      </c>
      <c r="I769" s="3" t="str">
        <f t="shared" si="33"/>
        <v>2024-04</v>
      </c>
      <c r="J769" s="1">
        <f t="shared" si="34"/>
        <v>45815</v>
      </c>
      <c r="K769" t="str">
        <f t="shared" si="35"/>
        <v>ACTIVE</v>
      </c>
    </row>
    <row r="770" spans="1:11">
      <c r="A770">
        <v>73</v>
      </c>
      <c r="B770" t="s">
        <v>90</v>
      </c>
      <c r="C770" s="1">
        <v>45494</v>
      </c>
      <c r="D770" s="2" t="s">
        <v>25</v>
      </c>
      <c r="E770" t="s">
        <v>35</v>
      </c>
      <c r="G770" s="3">
        <v>2118</v>
      </c>
      <c r="H770" t="s">
        <v>174</v>
      </c>
      <c r="I770" s="3" t="str">
        <f t="shared" si="33"/>
        <v>2024-07</v>
      </c>
      <c r="J770" s="1">
        <f t="shared" si="34"/>
        <v>45788</v>
      </c>
      <c r="K770" t="str">
        <f t="shared" si="35"/>
        <v>ACTIVE</v>
      </c>
    </row>
    <row r="771" spans="1:11">
      <c r="A771">
        <v>71</v>
      </c>
      <c r="B771" t="s">
        <v>114</v>
      </c>
      <c r="C771" s="1">
        <v>45504</v>
      </c>
      <c r="D771" s="2" t="s">
        <v>27</v>
      </c>
      <c r="E771" t="s">
        <v>31</v>
      </c>
      <c r="G771" s="3">
        <v>863</v>
      </c>
      <c r="H771" t="s">
        <v>172</v>
      </c>
      <c r="I771" s="3" t="str">
        <f t="shared" ref="I771:I834" si="36">TEXT(C771, "yyyy-mm")</f>
        <v>2024-07</v>
      </c>
      <c r="J771" s="1">
        <f t="shared" ref="J771:J834" si="37">_xlfn.MAXIFS(C:C, B:B, B771)</f>
        <v>45815</v>
      </c>
      <c r="K771" t="str">
        <f t="shared" ref="K771:K834" si="38">IF($L$3-J771&gt;90, "LAPSED","ACTIVE")</f>
        <v>ACTIVE</v>
      </c>
    </row>
    <row r="772" spans="1:11">
      <c r="A772">
        <v>978</v>
      </c>
      <c r="B772" t="s">
        <v>42</v>
      </c>
      <c r="C772" s="1">
        <v>45397</v>
      </c>
      <c r="D772" s="2" t="s">
        <v>27</v>
      </c>
      <c r="E772" t="s">
        <v>34</v>
      </c>
      <c r="G772" s="3">
        <v>428</v>
      </c>
      <c r="H772" t="s">
        <v>174</v>
      </c>
      <c r="I772" s="3" t="str">
        <f t="shared" si="36"/>
        <v>2024-04</v>
      </c>
      <c r="J772" s="1">
        <f t="shared" si="37"/>
        <v>45803</v>
      </c>
      <c r="K772" t="str">
        <f t="shared" si="38"/>
        <v>ACTIVE</v>
      </c>
    </row>
    <row r="773" spans="1:11">
      <c r="A773">
        <v>834</v>
      </c>
      <c r="B773" t="s">
        <v>118</v>
      </c>
      <c r="C773" s="1">
        <v>45715</v>
      </c>
      <c r="D773" s="2" t="s">
        <v>27</v>
      </c>
      <c r="E773" t="s">
        <v>34</v>
      </c>
      <c r="G773" s="3">
        <v>4033</v>
      </c>
      <c r="H773" t="s">
        <v>174</v>
      </c>
      <c r="I773" s="3" t="str">
        <f t="shared" si="36"/>
        <v>2025-02</v>
      </c>
      <c r="J773" s="1">
        <f t="shared" si="37"/>
        <v>45830</v>
      </c>
      <c r="K773" t="str">
        <f t="shared" si="38"/>
        <v>ACTIVE</v>
      </c>
    </row>
    <row r="774" spans="1:11">
      <c r="A774">
        <v>172</v>
      </c>
      <c r="B774" t="s">
        <v>50</v>
      </c>
      <c r="C774" s="1">
        <v>45315</v>
      </c>
      <c r="D774" s="2" t="s">
        <v>28</v>
      </c>
      <c r="E774" t="s">
        <v>35</v>
      </c>
      <c r="G774" s="3">
        <v>356</v>
      </c>
      <c r="H774" t="s">
        <v>172</v>
      </c>
      <c r="I774" s="3" t="str">
        <f t="shared" si="36"/>
        <v>2024-01</v>
      </c>
      <c r="J774" s="1">
        <f t="shared" si="37"/>
        <v>45831</v>
      </c>
      <c r="K774" t="str">
        <f t="shared" si="38"/>
        <v>ACTIVE</v>
      </c>
    </row>
    <row r="775" spans="1:11">
      <c r="A775">
        <v>1057</v>
      </c>
      <c r="B775" t="s">
        <v>135</v>
      </c>
      <c r="C775" s="1">
        <v>45508</v>
      </c>
      <c r="D775" s="2" t="s">
        <v>24</v>
      </c>
      <c r="E775" t="s">
        <v>35</v>
      </c>
      <c r="G775" s="3">
        <v>11134</v>
      </c>
      <c r="H775" t="s">
        <v>174</v>
      </c>
      <c r="I775" s="3" t="str">
        <f t="shared" si="36"/>
        <v>2024-08</v>
      </c>
      <c r="J775" s="1">
        <f t="shared" si="37"/>
        <v>45785</v>
      </c>
      <c r="K775" t="str">
        <f t="shared" si="38"/>
        <v>ACTIVE</v>
      </c>
    </row>
    <row r="776" spans="1:11">
      <c r="A776">
        <v>169</v>
      </c>
      <c r="B776" t="s">
        <v>157</v>
      </c>
      <c r="C776" s="1">
        <v>45640</v>
      </c>
      <c r="D776" s="2" t="s">
        <v>27</v>
      </c>
      <c r="E776" t="s">
        <v>31</v>
      </c>
      <c r="G776" s="3">
        <v>5468</v>
      </c>
      <c r="H776" t="s">
        <v>174</v>
      </c>
      <c r="I776" s="3" t="str">
        <f t="shared" si="36"/>
        <v>2024-12</v>
      </c>
      <c r="J776" s="1">
        <f t="shared" si="37"/>
        <v>45729</v>
      </c>
      <c r="K776" t="str">
        <f t="shared" si="38"/>
        <v>LAPSED</v>
      </c>
    </row>
    <row r="777" spans="1:11">
      <c r="A777">
        <v>494</v>
      </c>
      <c r="B777" t="s">
        <v>109</v>
      </c>
      <c r="C777" s="1">
        <v>45433</v>
      </c>
      <c r="D777" s="2" t="s">
        <v>23</v>
      </c>
      <c r="E777" t="s">
        <v>30</v>
      </c>
      <c r="G777" s="3">
        <v>2290</v>
      </c>
      <c r="H777" t="s">
        <v>174</v>
      </c>
      <c r="I777" s="3" t="str">
        <f t="shared" si="36"/>
        <v>2024-05</v>
      </c>
      <c r="J777" s="1">
        <f t="shared" si="37"/>
        <v>45776</v>
      </c>
      <c r="K777" t="str">
        <f t="shared" si="38"/>
        <v>ACTIVE</v>
      </c>
    </row>
    <row r="778" spans="1:11">
      <c r="A778">
        <v>1426</v>
      </c>
      <c r="B778" t="s">
        <v>128</v>
      </c>
      <c r="C778" s="1">
        <v>45441</v>
      </c>
      <c r="D778" s="2" t="s">
        <v>23</v>
      </c>
      <c r="E778" t="s">
        <v>31</v>
      </c>
      <c r="G778" s="3">
        <v>405</v>
      </c>
      <c r="H778" t="s">
        <v>172</v>
      </c>
      <c r="I778" s="3" t="str">
        <f t="shared" si="36"/>
        <v>2024-05</v>
      </c>
      <c r="J778" s="1">
        <f t="shared" si="37"/>
        <v>45812</v>
      </c>
      <c r="K778" t="str">
        <f t="shared" si="38"/>
        <v>ACTIVE</v>
      </c>
    </row>
    <row r="779" spans="1:11">
      <c r="A779">
        <v>1418</v>
      </c>
      <c r="B779" t="s">
        <v>124</v>
      </c>
      <c r="C779" s="1">
        <v>45471</v>
      </c>
      <c r="D779" s="2" t="s">
        <v>26</v>
      </c>
      <c r="E779" t="s">
        <v>30</v>
      </c>
      <c r="G779" s="3">
        <v>1730</v>
      </c>
      <c r="H779" t="s">
        <v>175</v>
      </c>
      <c r="I779" s="3" t="str">
        <f t="shared" si="36"/>
        <v>2024-06</v>
      </c>
      <c r="J779" s="1">
        <f t="shared" si="37"/>
        <v>45793</v>
      </c>
      <c r="K779" t="str">
        <f t="shared" si="38"/>
        <v>ACTIVE</v>
      </c>
    </row>
    <row r="780" spans="1:11">
      <c r="A780">
        <v>1584</v>
      </c>
      <c r="B780" t="s">
        <v>122</v>
      </c>
      <c r="C780" s="1">
        <v>45328</v>
      </c>
      <c r="D780" s="2" t="s">
        <v>28</v>
      </c>
      <c r="E780" t="s">
        <v>34</v>
      </c>
      <c r="G780" s="3">
        <v>5847</v>
      </c>
      <c r="H780" t="s">
        <v>172</v>
      </c>
      <c r="I780" s="3" t="str">
        <f t="shared" si="36"/>
        <v>2024-02</v>
      </c>
      <c r="J780" s="1">
        <f t="shared" si="37"/>
        <v>45793</v>
      </c>
      <c r="K780" t="str">
        <f t="shared" si="38"/>
        <v>ACTIVE</v>
      </c>
    </row>
    <row r="781" spans="1:11">
      <c r="A781">
        <v>273</v>
      </c>
      <c r="B781" t="s">
        <v>153</v>
      </c>
      <c r="C781" s="1">
        <v>45616</v>
      </c>
      <c r="D781" s="2" t="s">
        <v>26</v>
      </c>
      <c r="E781" t="s">
        <v>35</v>
      </c>
      <c r="G781" s="3">
        <v>710</v>
      </c>
      <c r="H781" t="s">
        <v>172</v>
      </c>
      <c r="I781" s="3" t="str">
        <f t="shared" si="36"/>
        <v>2024-11</v>
      </c>
      <c r="J781" s="1">
        <f t="shared" si="37"/>
        <v>45690</v>
      </c>
      <c r="K781" t="str">
        <f t="shared" si="38"/>
        <v>LAPSED</v>
      </c>
    </row>
    <row r="782" spans="1:11">
      <c r="A782">
        <v>1749</v>
      </c>
      <c r="B782" t="s">
        <v>130</v>
      </c>
      <c r="C782" s="1">
        <v>45828</v>
      </c>
      <c r="D782" s="2" t="s">
        <v>27</v>
      </c>
      <c r="E782" t="s">
        <v>31</v>
      </c>
      <c r="G782" s="3">
        <v>1452</v>
      </c>
      <c r="H782" t="s">
        <v>176</v>
      </c>
      <c r="I782" s="3" t="str">
        <f t="shared" si="36"/>
        <v>2025-06</v>
      </c>
      <c r="J782" s="1">
        <f t="shared" si="37"/>
        <v>45828</v>
      </c>
      <c r="K782" t="str">
        <f t="shared" si="38"/>
        <v>ACTIVE</v>
      </c>
    </row>
    <row r="783" spans="1:11">
      <c r="A783">
        <v>421</v>
      </c>
      <c r="B783" t="s">
        <v>115</v>
      </c>
      <c r="C783" s="1">
        <v>45471</v>
      </c>
      <c r="D783" s="2" t="s">
        <v>28</v>
      </c>
      <c r="E783" t="s">
        <v>32</v>
      </c>
      <c r="G783" s="3">
        <v>440</v>
      </c>
      <c r="H783" t="s">
        <v>175</v>
      </c>
      <c r="I783" s="3" t="str">
        <f t="shared" si="36"/>
        <v>2024-06</v>
      </c>
      <c r="J783" s="1">
        <f t="shared" si="37"/>
        <v>45810</v>
      </c>
      <c r="K783" t="str">
        <f t="shared" si="38"/>
        <v>ACTIVE</v>
      </c>
    </row>
    <row r="784" spans="1:11">
      <c r="A784">
        <v>95</v>
      </c>
      <c r="B784" t="s">
        <v>113</v>
      </c>
      <c r="C784" s="1">
        <v>45486</v>
      </c>
      <c r="D784" s="2" t="s">
        <v>24</v>
      </c>
      <c r="E784" t="s">
        <v>30</v>
      </c>
      <c r="G784" s="3">
        <v>1577</v>
      </c>
      <c r="H784" t="s">
        <v>176</v>
      </c>
      <c r="I784" s="3" t="str">
        <f t="shared" si="36"/>
        <v>2024-07</v>
      </c>
      <c r="J784" s="1">
        <f t="shared" si="37"/>
        <v>45788</v>
      </c>
      <c r="K784" t="str">
        <f t="shared" si="38"/>
        <v>ACTIVE</v>
      </c>
    </row>
    <row r="785" spans="1:11">
      <c r="A785">
        <v>1241</v>
      </c>
      <c r="B785" t="s">
        <v>140</v>
      </c>
      <c r="C785" s="1">
        <v>45742</v>
      </c>
      <c r="D785" s="2" t="s">
        <v>28</v>
      </c>
      <c r="E785" t="s">
        <v>35</v>
      </c>
      <c r="G785" s="3">
        <v>8149</v>
      </c>
      <c r="H785" t="s">
        <v>173</v>
      </c>
      <c r="I785" s="3" t="str">
        <f t="shared" si="36"/>
        <v>2025-03</v>
      </c>
      <c r="J785" s="1">
        <f t="shared" si="37"/>
        <v>45812</v>
      </c>
      <c r="K785" t="str">
        <f t="shared" si="38"/>
        <v>ACTIVE</v>
      </c>
    </row>
    <row r="786" spans="1:11">
      <c r="A786">
        <v>1430</v>
      </c>
      <c r="B786" t="s">
        <v>89</v>
      </c>
      <c r="C786" s="1">
        <v>45491</v>
      </c>
      <c r="D786" s="2" t="s">
        <v>23</v>
      </c>
      <c r="E786" t="s">
        <v>33</v>
      </c>
      <c r="G786" s="3">
        <v>840</v>
      </c>
      <c r="H786" t="s">
        <v>172</v>
      </c>
      <c r="I786" s="3" t="str">
        <f t="shared" si="36"/>
        <v>2024-07</v>
      </c>
      <c r="J786" s="1">
        <f t="shared" si="37"/>
        <v>45826</v>
      </c>
      <c r="K786" t="str">
        <f t="shared" si="38"/>
        <v>ACTIVE</v>
      </c>
    </row>
    <row r="787" spans="1:11">
      <c r="A787">
        <v>1544</v>
      </c>
      <c r="B787" t="s">
        <v>90</v>
      </c>
      <c r="C787" s="1">
        <v>45788</v>
      </c>
      <c r="D787" s="2" t="s">
        <v>23</v>
      </c>
      <c r="E787" t="s">
        <v>30</v>
      </c>
      <c r="G787" s="3">
        <v>1573</v>
      </c>
      <c r="H787" t="s">
        <v>175</v>
      </c>
      <c r="I787" s="3" t="str">
        <f t="shared" si="36"/>
        <v>2025-05</v>
      </c>
      <c r="J787" s="1">
        <f t="shared" si="37"/>
        <v>45788</v>
      </c>
      <c r="K787" t="str">
        <f t="shared" si="38"/>
        <v>ACTIVE</v>
      </c>
    </row>
    <row r="788" spans="1:11">
      <c r="A788">
        <v>43</v>
      </c>
      <c r="B788" t="s">
        <v>134</v>
      </c>
      <c r="C788" s="1">
        <v>45776</v>
      </c>
      <c r="D788" s="2" t="s">
        <v>27</v>
      </c>
      <c r="E788" t="s">
        <v>30</v>
      </c>
      <c r="G788" s="3">
        <v>914</v>
      </c>
      <c r="H788" t="s">
        <v>175</v>
      </c>
      <c r="I788" s="3" t="str">
        <f t="shared" si="36"/>
        <v>2025-04</v>
      </c>
      <c r="J788" s="1">
        <f t="shared" si="37"/>
        <v>45776</v>
      </c>
      <c r="K788" t="str">
        <f t="shared" si="38"/>
        <v>ACTIVE</v>
      </c>
    </row>
    <row r="789" spans="1:11">
      <c r="A789">
        <v>57</v>
      </c>
      <c r="B789" t="s">
        <v>108</v>
      </c>
      <c r="C789" s="1">
        <v>45611</v>
      </c>
      <c r="D789" s="2" t="s">
        <v>28</v>
      </c>
      <c r="E789" t="s">
        <v>32</v>
      </c>
      <c r="G789" s="3">
        <v>1661</v>
      </c>
      <c r="H789" t="s">
        <v>172</v>
      </c>
      <c r="I789" s="3" t="str">
        <f t="shared" si="36"/>
        <v>2024-11</v>
      </c>
      <c r="J789" s="1">
        <f t="shared" si="37"/>
        <v>45826</v>
      </c>
      <c r="K789" t="str">
        <f t="shared" si="38"/>
        <v>ACTIVE</v>
      </c>
    </row>
    <row r="790" spans="1:11">
      <c r="A790">
        <v>1447</v>
      </c>
      <c r="B790" t="s">
        <v>91</v>
      </c>
      <c r="C790" s="1">
        <v>45785</v>
      </c>
      <c r="D790" s="2" t="s">
        <v>28</v>
      </c>
      <c r="E790" t="s">
        <v>34</v>
      </c>
      <c r="G790" s="3">
        <v>10918</v>
      </c>
      <c r="H790" t="s">
        <v>174</v>
      </c>
      <c r="I790" s="3" t="str">
        <f t="shared" si="36"/>
        <v>2025-05</v>
      </c>
      <c r="J790" s="1">
        <f t="shared" si="37"/>
        <v>45785</v>
      </c>
      <c r="K790" t="str">
        <f t="shared" si="38"/>
        <v>ACTIVE</v>
      </c>
    </row>
    <row r="791" spans="1:11">
      <c r="A791">
        <v>985</v>
      </c>
      <c r="B791" t="s">
        <v>65</v>
      </c>
      <c r="C791" s="1">
        <v>45425</v>
      </c>
      <c r="D791" s="2" t="s">
        <v>24</v>
      </c>
      <c r="E791" t="s">
        <v>32</v>
      </c>
      <c r="G791" s="3">
        <v>344</v>
      </c>
      <c r="H791" t="s">
        <v>175</v>
      </c>
      <c r="I791" s="3" t="str">
        <f t="shared" si="36"/>
        <v>2024-05</v>
      </c>
      <c r="J791" s="1">
        <f t="shared" si="37"/>
        <v>45813</v>
      </c>
      <c r="K791" t="str">
        <f t="shared" si="38"/>
        <v>ACTIVE</v>
      </c>
    </row>
    <row r="792" spans="1:11">
      <c r="A792">
        <v>1170</v>
      </c>
      <c r="B792" t="s">
        <v>129</v>
      </c>
      <c r="C792" s="1">
        <v>45795</v>
      </c>
      <c r="D792" s="2" t="s">
        <v>27</v>
      </c>
      <c r="E792" t="s">
        <v>31</v>
      </c>
      <c r="G792" s="3">
        <v>4591</v>
      </c>
      <c r="H792" t="s">
        <v>173</v>
      </c>
      <c r="I792" s="3" t="str">
        <f t="shared" si="36"/>
        <v>2025-05</v>
      </c>
      <c r="J792" s="1">
        <f t="shared" si="37"/>
        <v>45812</v>
      </c>
      <c r="K792" t="str">
        <f t="shared" si="38"/>
        <v>ACTIVE</v>
      </c>
    </row>
    <row r="793" spans="1:11">
      <c r="A793">
        <v>1704</v>
      </c>
      <c r="B793" t="s">
        <v>142</v>
      </c>
      <c r="C793" s="1">
        <v>45441</v>
      </c>
      <c r="D793" s="2" t="s">
        <v>27</v>
      </c>
      <c r="E793" t="s">
        <v>34</v>
      </c>
      <c r="G793" s="3">
        <v>856</v>
      </c>
      <c r="H793" t="s">
        <v>172</v>
      </c>
      <c r="I793" s="3" t="str">
        <f t="shared" si="36"/>
        <v>2024-05</v>
      </c>
      <c r="J793" s="1">
        <f t="shared" si="37"/>
        <v>45803</v>
      </c>
      <c r="K793" t="str">
        <f t="shared" si="38"/>
        <v>ACTIVE</v>
      </c>
    </row>
    <row r="794" spans="1:11">
      <c r="A794">
        <v>39</v>
      </c>
      <c r="B794" t="s">
        <v>69</v>
      </c>
      <c r="C794" s="1">
        <v>45486</v>
      </c>
      <c r="D794" s="2" t="s">
        <v>25</v>
      </c>
      <c r="E794" t="s">
        <v>30</v>
      </c>
      <c r="G794" s="3">
        <v>601</v>
      </c>
      <c r="H794" t="s">
        <v>175</v>
      </c>
      <c r="I794" s="3" t="str">
        <f t="shared" si="36"/>
        <v>2024-07</v>
      </c>
      <c r="J794" s="1">
        <f t="shared" si="37"/>
        <v>45829</v>
      </c>
      <c r="K794" t="str">
        <f t="shared" si="38"/>
        <v>ACTIVE</v>
      </c>
    </row>
    <row r="795" spans="1:11">
      <c r="A795">
        <v>307</v>
      </c>
      <c r="B795" t="s">
        <v>126</v>
      </c>
      <c r="C795" s="1">
        <v>45606</v>
      </c>
      <c r="D795" s="2" t="s">
        <v>24</v>
      </c>
      <c r="E795" t="s">
        <v>33</v>
      </c>
      <c r="G795" s="3">
        <v>1637</v>
      </c>
      <c r="H795" t="s">
        <v>175</v>
      </c>
      <c r="I795" s="3" t="str">
        <f t="shared" si="36"/>
        <v>2024-11</v>
      </c>
      <c r="J795" s="1">
        <f t="shared" si="37"/>
        <v>45827</v>
      </c>
      <c r="K795" t="str">
        <f t="shared" si="38"/>
        <v>ACTIVE</v>
      </c>
    </row>
    <row r="796" spans="1:11">
      <c r="A796">
        <v>825</v>
      </c>
      <c r="B796" t="s">
        <v>52</v>
      </c>
      <c r="C796" s="1">
        <v>45383</v>
      </c>
      <c r="D796" s="2" t="s">
        <v>23</v>
      </c>
      <c r="E796" t="s">
        <v>31</v>
      </c>
      <c r="G796" s="3">
        <v>1361</v>
      </c>
      <c r="H796" t="s">
        <v>172</v>
      </c>
      <c r="I796" s="3" t="str">
        <f t="shared" si="36"/>
        <v>2024-04</v>
      </c>
      <c r="J796" s="1">
        <f t="shared" si="37"/>
        <v>45811</v>
      </c>
      <c r="K796" t="str">
        <f t="shared" si="38"/>
        <v>ACTIVE</v>
      </c>
    </row>
    <row r="797" spans="1:11">
      <c r="A797">
        <v>955</v>
      </c>
      <c r="B797" t="s">
        <v>136</v>
      </c>
      <c r="C797" s="1">
        <v>45823</v>
      </c>
      <c r="D797" s="2" t="s">
        <v>23</v>
      </c>
      <c r="E797" t="s">
        <v>31</v>
      </c>
      <c r="G797" s="3">
        <v>4341</v>
      </c>
      <c r="H797" t="s">
        <v>175</v>
      </c>
      <c r="I797" s="3" t="str">
        <f t="shared" si="36"/>
        <v>2025-06</v>
      </c>
      <c r="J797" s="1">
        <f t="shared" si="37"/>
        <v>45823</v>
      </c>
      <c r="K797" t="str">
        <f t="shared" si="38"/>
        <v>ACTIVE</v>
      </c>
    </row>
    <row r="798" spans="1:11">
      <c r="A798">
        <v>893</v>
      </c>
      <c r="B798" t="s">
        <v>75</v>
      </c>
      <c r="C798" s="1">
        <v>45643</v>
      </c>
      <c r="D798" s="2" t="s">
        <v>28</v>
      </c>
      <c r="E798" t="s">
        <v>33</v>
      </c>
      <c r="G798" s="3">
        <v>10883</v>
      </c>
      <c r="H798" t="s">
        <v>176</v>
      </c>
      <c r="I798" s="3" t="str">
        <f t="shared" si="36"/>
        <v>2024-12</v>
      </c>
      <c r="J798" s="1">
        <f t="shared" si="37"/>
        <v>45772</v>
      </c>
      <c r="K798" t="str">
        <f t="shared" si="38"/>
        <v>ACTIVE</v>
      </c>
    </row>
    <row r="799" spans="1:11">
      <c r="A799">
        <v>783</v>
      </c>
      <c r="B799" t="s">
        <v>40</v>
      </c>
      <c r="C799" s="1">
        <v>45559</v>
      </c>
      <c r="D799" s="2" t="s">
        <v>26</v>
      </c>
      <c r="E799" t="s">
        <v>31</v>
      </c>
      <c r="G799" s="3">
        <v>5566</v>
      </c>
      <c r="H799" t="s">
        <v>173</v>
      </c>
      <c r="I799" s="3" t="str">
        <f t="shared" si="36"/>
        <v>2024-09</v>
      </c>
      <c r="J799" s="1">
        <f t="shared" si="37"/>
        <v>45759</v>
      </c>
      <c r="K799" t="str">
        <f t="shared" si="38"/>
        <v>ACTIVE</v>
      </c>
    </row>
    <row r="800" spans="1:11">
      <c r="A800">
        <v>409</v>
      </c>
      <c r="B800" t="s">
        <v>154</v>
      </c>
      <c r="C800" s="1">
        <v>45379</v>
      </c>
      <c r="D800" s="2" t="s">
        <v>28</v>
      </c>
      <c r="E800" t="s">
        <v>35</v>
      </c>
      <c r="G800" s="3">
        <v>344</v>
      </c>
      <c r="H800" t="s">
        <v>172</v>
      </c>
      <c r="I800" s="3" t="str">
        <f t="shared" si="36"/>
        <v>2024-03</v>
      </c>
      <c r="J800" s="1">
        <f t="shared" si="37"/>
        <v>45725</v>
      </c>
      <c r="K800" t="str">
        <f t="shared" si="38"/>
        <v>LAPSED</v>
      </c>
    </row>
    <row r="801" spans="1:11">
      <c r="A801">
        <v>1125</v>
      </c>
      <c r="B801" t="s">
        <v>64</v>
      </c>
      <c r="C801" s="1">
        <v>45587</v>
      </c>
      <c r="D801" s="2" t="s">
        <v>24</v>
      </c>
      <c r="E801" t="s">
        <v>30</v>
      </c>
      <c r="G801" s="3">
        <v>10206</v>
      </c>
      <c r="H801" t="s">
        <v>174</v>
      </c>
      <c r="I801" s="3" t="str">
        <f t="shared" si="36"/>
        <v>2024-10</v>
      </c>
      <c r="J801" s="1">
        <f t="shared" si="37"/>
        <v>45814</v>
      </c>
      <c r="K801" t="str">
        <f t="shared" si="38"/>
        <v>ACTIVE</v>
      </c>
    </row>
    <row r="802" spans="1:11">
      <c r="A802">
        <v>782</v>
      </c>
      <c r="B802" t="s">
        <v>78</v>
      </c>
      <c r="C802" s="1">
        <v>45497</v>
      </c>
      <c r="D802" s="2" t="s">
        <v>27</v>
      </c>
      <c r="E802" t="s">
        <v>30</v>
      </c>
      <c r="G802" s="3">
        <v>4500</v>
      </c>
      <c r="H802" t="s">
        <v>174</v>
      </c>
      <c r="I802" s="3" t="str">
        <f t="shared" si="36"/>
        <v>2024-07</v>
      </c>
      <c r="J802" s="1">
        <f t="shared" si="37"/>
        <v>45821</v>
      </c>
      <c r="K802" t="str">
        <f t="shared" si="38"/>
        <v>ACTIVE</v>
      </c>
    </row>
    <row r="803" spans="1:11">
      <c r="A803">
        <v>167</v>
      </c>
      <c r="B803" t="s">
        <v>44</v>
      </c>
      <c r="C803" s="1">
        <v>45375</v>
      </c>
      <c r="D803" s="2" t="s">
        <v>23</v>
      </c>
      <c r="E803" t="s">
        <v>31</v>
      </c>
      <c r="G803" s="3">
        <v>2214</v>
      </c>
      <c r="H803" t="s">
        <v>173</v>
      </c>
      <c r="I803" s="3" t="str">
        <f t="shared" si="36"/>
        <v>2024-03</v>
      </c>
      <c r="J803" s="1">
        <f t="shared" si="37"/>
        <v>45814</v>
      </c>
      <c r="K803" t="str">
        <f t="shared" si="38"/>
        <v>ACTIVE</v>
      </c>
    </row>
    <row r="804" spans="1:11">
      <c r="A804">
        <v>535</v>
      </c>
      <c r="B804" t="s">
        <v>53</v>
      </c>
      <c r="C804" s="1">
        <v>45778</v>
      </c>
      <c r="D804" s="2" t="s">
        <v>24</v>
      </c>
      <c r="E804" t="s">
        <v>32</v>
      </c>
      <c r="G804" s="3">
        <v>341</v>
      </c>
      <c r="H804" t="s">
        <v>174</v>
      </c>
      <c r="I804" s="3" t="str">
        <f t="shared" si="36"/>
        <v>2025-05</v>
      </c>
      <c r="J804" s="1">
        <f t="shared" si="37"/>
        <v>45779</v>
      </c>
      <c r="K804" t="str">
        <f t="shared" si="38"/>
        <v>ACTIVE</v>
      </c>
    </row>
    <row r="805" spans="1:11">
      <c r="A805">
        <v>584</v>
      </c>
      <c r="B805" t="s">
        <v>44</v>
      </c>
      <c r="C805" s="1">
        <v>45756</v>
      </c>
      <c r="D805" s="2" t="s">
        <v>25</v>
      </c>
      <c r="E805" t="s">
        <v>30</v>
      </c>
      <c r="G805" s="3">
        <v>585</v>
      </c>
      <c r="H805" t="s">
        <v>172</v>
      </c>
      <c r="I805" s="3" t="str">
        <f t="shared" si="36"/>
        <v>2025-04</v>
      </c>
      <c r="J805" s="1">
        <f t="shared" si="37"/>
        <v>45814</v>
      </c>
      <c r="K805" t="str">
        <f t="shared" si="38"/>
        <v>ACTIVE</v>
      </c>
    </row>
    <row r="806" spans="1:11">
      <c r="A806">
        <v>1356</v>
      </c>
      <c r="B806" t="s">
        <v>54</v>
      </c>
      <c r="C806" s="1">
        <v>45501</v>
      </c>
      <c r="D806" s="2" t="s">
        <v>25</v>
      </c>
      <c r="E806" t="s">
        <v>32</v>
      </c>
      <c r="G806" s="3">
        <v>1209</v>
      </c>
      <c r="H806" t="s">
        <v>176</v>
      </c>
      <c r="I806" s="3" t="str">
        <f t="shared" si="36"/>
        <v>2024-07</v>
      </c>
      <c r="J806" s="1">
        <f t="shared" si="37"/>
        <v>45825</v>
      </c>
      <c r="K806" t="str">
        <f t="shared" si="38"/>
        <v>ACTIVE</v>
      </c>
    </row>
    <row r="807" spans="1:11">
      <c r="A807">
        <v>1720</v>
      </c>
      <c r="B807" t="s">
        <v>125</v>
      </c>
      <c r="C807" s="1">
        <v>45784</v>
      </c>
      <c r="D807" s="2" t="s">
        <v>28</v>
      </c>
      <c r="E807" t="s">
        <v>34</v>
      </c>
      <c r="G807" s="3">
        <v>510</v>
      </c>
      <c r="H807" t="s">
        <v>174</v>
      </c>
      <c r="I807" s="3" t="str">
        <f t="shared" si="36"/>
        <v>2025-05</v>
      </c>
      <c r="J807" s="1">
        <f t="shared" si="37"/>
        <v>45784</v>
      </c>
      <c r="K807" t="str">
        <f t="shared" si="38"/>
        <v>ACTIVE</v>
      </c>
    </row>
    <row r="808" spans="1:11">
      <c r="A808">
        <v>1295</v>
      </c>
      <c r="B808" t="s">
        <v>146</v>
      </c>
      <c r="C808" s="1">
        <v>45664</v>
      </c>
      <c r="D808" s="2" t="s">
        <v>28</v>
      </c>
      <c r="E808" t="s">
        <v>35</v>
      </c>
      <c r="G808" s="3">
        <v>712</v>
      </c>
      <c r="H808" t="s">
        <v>174</v>
      </c>
      <c r="I808" s="3" t="str">
        <f t="shared" si="36"/>
        <v>2025-01</v>
      </c>
      <c r="J808" s="1">
        <f t="shared" si="37"/>
        <v>45819</v>
      </c>
      <c r="K808" t="str">
        <f t="shared" si="38"/>
        <v>ACTIVE</v>
      </c>
    </row>
    <row r="809" spans="1:11">
      <c r="A809">
        <v>1147</v>
      </c>
      <c r="B809" t="s">
        <v>94</v>
      </c>
      <c r="C809" s="1">
        <v>45645</v>
      </c>
      <c r="D809" s="2" t="s">
        <v>23</v>
      </c>
      <c r="E809" t="s">
        <v>33</v>
      </c>
      <c r="G809" s="3">
        <v>10276</v>
      </c>
      <c r="H809" t="s">
        <v>176</v>
      </c>
      <c r="I809" s="3" t="str">
        <f t="shared" si="36"/>
        <v>2024-12</v>
      </c>
      <c r="J809" s="1">
        <f t="shared" si="37"/>
        <v>45824</v>
      </c>
      <c r="K809" t="str">
        <f t="shared" si="38"/>
        <v>ACTIVE</v>
      </c>
    </row>
    <row r="810" spans="1:11">
      <c r="A810">
        <v>1710</v>
      </c>
      <c r="B810" t="s">
        <v>156</v>
      </c>
      <c r="C810" s="1">
        <v>45585</v>
      </c>
      <c r="D810" s="2" t="s">
        <v>25</v>
      </c>
      <c r="E810" t="s">
        <v>32</v>
      </c>
      <c r="G810" s="3">
        <v>5978</v>
      </c>
      <c r="H810" t="s">
        <v>174</v>
      </c>
      <c r="I810" s="3" t="str">
        <f t="shared" si="36"/>
        <v>2024-10</v>
      </c>
      <c r="J810" s="1">
        <f t="shared" si="37"/>
        <v>45738</v>
      </c>
      <c r="K810" t="str">
        <f t="shared" si="38"/>
        <v>LAPSED</v>
      </c>
    </row>
    <row r="811" spans="1:11">
      <c r="A811">
        <v>1003</v>
      </c>
      <c r="B811" t="s">
        <v>76</v>
      </c>
      <c r="C811" s="1">
        <v>45792</v>
      </c>
      <c r="D811" s="2" t="s">
        <v>25</v>
      </c>
      <c r="E811" t="s">
        <v>32</v>
      </c>
      <c r="G811" s="3">
        <v>5321</v>
      </c>
      <c r="H811" t="s">
        <v>176</v>
      </c>
      <c r="I811" s="3" t="str">
        <f t="shared" si="36"/>
        <v>2025-05</v>
      </c>
      <c r="J811" s="1">
        <f t="shared" si="37"/>
        <v>45792</v>
      </c>
      <c r="K811" t="str">
        <f t="shared" si="38"/>
        <v>ACTIVE</v>
      </c>
    </row>
    <row r="812" spans="1:11">
      <c r="A812">
        <v>1096</v>
      </c>
      <c r="B812" t="s">
        <v>46</v>
      </c>
      <c r="C812" s="1">
        <v>45530</v>
      </c>
      <c r="D812" s="2" t="s">
        <v>28</v>
      </c>
      <c r="E812" t="s">
        <v>31</v>
      </c>
      <c r="G812" s="3">
        <v>693</v>
      </c>
      <c r="H812" t="s">
        <v>174</v>
      </c>
      <c r="I812" s="3" t="str">
        <f t="shared" si="36"/>
        <v>2024-08</v>
      </c>
      <c r="J812" s="1">
        <f t="shared" si="37"/>
        <v>45815</v>
      </c>
      <c r="K812" t="str">
        <f t="shared" si="38"/>
        <v>ACTIVE</v>
      </c>
    </row>
    <row r="813" spans="1:11">
      <c r="A813">
        <v>317</v>
      </c>
      <c r="B813" t="s">
        <v>61</v>
      </c>
      <c r="C813" s="1">
        <v>45670</v>
      </c>
      <c r="D813" s="2" t="s">
        <v>28</v>
      </c>
      <c r="E813" t="s">
        <v>34</v>
      </c>
      <c r="G813" s="3">
        <v>2440</v>
      </c>
      <c r="H813" t="s">
        <v>174</v>
      </c>
      <c r="I813" s="3" t="str">
        <f t="shared" si="36"/>
        <v>2025-01</v>
      </c>
      <c r="J813" s="1">
        <f t="shared" si="37"/>
        <v>45815</v>
      </c>
      <c r="K813" t="str">
        <f t="shared" si="38"/>
        <v>ACTIVE</v>
      </c>
    </row>
    <row r="814" spans="1:11">
      <c r="A814">
        <v>1169</v>
      </c>
      <c r="B814" t="s">
        <v>88</v>
      </c>
      <c r="C814" s="1">
        <v>45667</v>
      </c>
      <c r="D814" s="2" t="s">
        <v>24</v>
      </c>
      <c r="E814" t="s">
        <v>33</v>
      </c>
      <c r="G814" s="3">
        <v>2236</v>
      </c>
      <c r="H814" t="s">
        <v>172</v>
      </c>
      <c r="I814" s="3" t="str">
        <f t="shared" si="36"/>
        <v>2025-01</v>
      </c>
      <c r="J814" s="1">
        <f t="shared" si="37"/>
        <v>45763</v>
      </c>
      <c r="K814" t="str">
        <f t="shared" si="38"/>
        <v>ACTIVE</v>
      </c>
    </row>
    <row r="815" spans="1:11">
      <c r="A815">
        <v>1560</v>
      </c>
      <c r="B815" t="s">
        <v>47</v>
      </c>
      <c r="C815" s="1">
        <v>45690</v>
      </c>
      <c r="D815" s="2" t="s">
        <v>25</v>
      </c>
      <c r="E815" t="s">
        <v>34</v>
      </c>
      <c r="G815" s="3">
        <v>751</v>
      </c>
      <c r="H815" t="s">
        <v>176</v>
      </c>
      <c r="I815" s="3" t="str">
        <f t="shared" si="36"/>
        <v>2025-02</v>
      </c>
      <c r="J815" s="1">
        <f t="shared" si="37"/>
        <v>45792</v>
      </c>
      <c r="K815" t="str">
        <f t="shared" si="38"/>
        <v>ACTIVE</v>
      </c>
    </row>
    <row r="816" spans="1:11">
      <c r="A816">
        <v>517</v>
      </c>
      <c r="B816" t="s">
        <v>159</v>
      </c>
      <c r="C816" s="1">
        <v>45504</v>
      </c>
      <c r="D816" s="2" t="s">
        <v>23</v>
      </c>
      <c r="E816" t="s">
        <v>32</v>
      </c>
      <c r="G816" s="3">
        <v>0</v>
      </c>
      <c r="H816" t="s">
        <v>174</v>
      </c>
      <c r="I816" s="3" t="str">
        <f t="shared" si="36"/>
        <v>2024-07</v>
      </c>
      <c r="J816" s="1">
        <f t="shared" si="37"/>
        <v>45713</v>
      </c>
      <c r="K816" t="str">
        <f t="shared" si="38"/>
        <v>LAPSED</v>
      </c>
    </row>
    <row r="817" spans="1:11">
      <c r="A817">
        <v>1408</v>
      </c>
      <c r="B817" t="s">
        <v>59</v>
      </c>
      <c r="C817" s="1">
        <v>45678</v>
      </c>
      <c r="D817" s="2" t="s">
        <v>28</v>
      </c>
      <c r="E817" t="s">
        <v>33</v>
      </c>
      <c r="G817" s="3">
        <v>1851</v>
      </c>
      <c r="H817" t="s">
        <v>173</v>
      </c>
      <c r="I817" s="3" t="str">
        <f t="shared" si="36"/>
        <v>2025-01</v>
      </c>
      <c r="J817" s="1">
        <f t="shared" si="37"/>
        <v>45829</v>
      </c>
      <c r="K817" t="str">
        <f t="shared" si="38"/>
        <v>ACTIVE</v>
      </c>
    </row>
    <row r="818" spans="1:11">
      <c r="A818">
        <v>1516</v>
      </c>
      <c r="B818" t="s">
        <v>144</v>
      </c>
      <c r="C818" s="1">
        <v>45559</v>
      </c>
      <c r="D818" s="2" t="s">
        <v>27</v>
      </c>
      <c r="E818" t="s">
        <v>32</v>
      </c>
      <c r="G818" s="3">
        <v>5273</v>
      </c>
      <c r="H818" t="s">
        <v>176</v>
      </c>
      <c r="I818" s="3" t="str">
        <f t="shared" si="36"/>
        <v>2024-09</v>
      </c>
      <c r="J818" s="1">
        <f t="shared" si="37"/>
        <v>45751</v>
      </c>
      <c r="K818" t="str">
        <f t="shared" si="38"/>
        <v>ACTIVE</v>
      </c>
    </row>
    <row r="819" spans="1:11">
      <c r="A819">
        <v>1337</v>
      </c>
      <c r="B819" t="s">
        <v>132</v>
      </c>
      <c r="C819" s="1">
        <v>45768</v>
      </c>
      <c r="D819" s="2" t="s">
        <v>27</v>
      </c>
      <c r="E819" t="s">
        <v>32</v>
      </c>
      <c r="G819" s="3">
        <v>767</v>
      </c>
      <c r="H819" t="s">
        <v>175</v>
      </c>
      <c r="I819" s="3" t="str">
        <f t="shared" si="36"/>
        <v>2025-04</v>
      </c>
      <c r="J819" s="1">
        <f t="shared" si="37"/>
        <v>45822</v>
      </c>
      <c r="K819" t="str">
        <f t="shared" si="38"/>
        <v>ACTIVE</v>
      </c>
    </row>
    <row r="820" spans="1:11">
      <c r="A820">
        <v>534</v>
      </c>
      <c r="B820" t="s">
        <v>147</v>
      </c>
      <c r="C820" s="1">
        <v>45556</v>
      </c>
      <c r="D820" s="2" t="s">
        <v>24</v>
      </c>
      <c r="E820" t="s">
        <v>32</v>
      </c>
      <c r="G820" s="3">
        <v>1620</v>
      </c>
      <c r="H820" t="s">
        <v>174</v>
      </c>
      <c r="I820" s="3" t="str">
        <f t="shared" si="36"/>
        <v>2024-09</v>
      </c>
      <c r="J820" s="1">
        <f t="shared" si="37"/>
        <v>45752</v>
      </c>
      <c r="K820" t="str">
        <f t="shared" si="38"/>
        <v>ACTIVE</v>
      </c>
    </row>
    <row r="821" spans="1:11">
      <c r="A821">
        <v>1617</v>
      </c>
      <c r="B821" t="s">
        <v>149</v>
      </c>
      <c r="C821" s="1">
        <v>45514</v>
      </c>
      <c r="D821" s="2" t="s">
        <v>23</v>
      </c>
      <c r="E821" t="s">
        <v>30</v>
      </c>
      <c r="G821" s="3">
        <v>1774</v>
      </c>
      <c r="H821" t="s">
        <v>176</v>
      </c>
      <c r="I821" s="3" t="str">
        <f t="shared" si="36"/>
        <v>2024-08</v>
      </c>
      <c r="J821" s="1">
        <f t="shared" si="37"/>
        <v>45795</v>
      </c>
      <c r="K821" t="str">
        <f t="shared" si="38"/>
        <v>ACTIVE</v>
      </c>
    </row>
    <row r="822" spans="1:11">
      <c r="A822">
        <v>272</v>
      </c>
      <c r="B822" t="s">
        <v>99</v>
      </c>
      <c r="C822" s="1">
        <v>45537</v>
      </c>
      <c r="D822" s="2" t="s">
        <v>28</v>
      </c>
      <c r="E822" t="s">
        <v>34</v>
      </c>
      <c r="G822" s="3">
        <v>0</v>
      </c>
      <c r="H822" t="s">
        <v>175</v>
      </c>
      <c r="I822" s="3" t="str">
        <f t="shared" si="36"/>
        <v>2024-09</v>
      </c>
      <c r="J822" s="1">
        <f t="shared" si="37"/>
        <v>45828</v>
      </c>
      <c r="K822" t="str">
        <f t="shared" si="38"/>
        <v>ACTIVE</v>
      </c>
    </row>
    <row r="823" spans="1:11">
      <c r="A823">
        <v>549</v>
      </c>
      <c r="B823" t="s">
        <v>95</v>
      </c>
      <c r="C823" s="1">
        <v>45578</v>
      </c>
      <c r="D823" s="2" t="s">
        <v>23</v>
      </c>
      <c r="E823" t="s">
        <v>34</v>
      </c>
      <c r="G823" s="3">
        <v>11560</v>
      </c>
      <c r="H823" t="s">
        <v>176</v>
      </c>
      <c r="I823" s="3" t="str">
        <f t="shared" si="36"/>
        <v>2024-10</v>
      </c>
      <c r="J823" s="1">
        <f t="shared" si="37"/>
        <v>45797</v>
      </c>
      <c r="K823" t="str">
        <f t="shared" si="38"/>
        <v>ACTIVE</v>
      </c>
    </row>
    <row r="824" spans="1:11">
      <c r="A824">
        <v>669</v>
      </c>
      <c r="B824" t="s">
        <v>60</v>
      </c>
      <c r="C824" s="1">
        <v>45558</v>
      </c>
      <c r="D824" s="2" t="s">
        <v>23</v>
      </c>
      <c r="E824" t="s">
        <v>31</v>
      </c>
      <c r="G824" s="3">
        <v>2199</v>
      </c>
      <c r="H824" t="s">
        <v>173</v>
      </c>
      <c r="I824" s="3" t="str">
        <f t="shared" si="36"/>
        <v>2024-09</v>
      </c>
      <c r="J824" s="1">
        <f t="shared" si="37"/>
        <v>45801</v>
      </c>
      <c r="K824" t="str">
        <f t="shared" si="38"/>
        <v>ACTIVE</v>
      </c>
    </row>
    <row r="825" spans="1:11">
      <c r="A825">
        <v>1485</v>
      </c>
      <c r="B825" t="s">
        <v>128</v>
      </c>
      <c r="C825" s="1">
        <v>45353</v>
      </c>
      <c r="D825" s="2" t="s">
        <v>28</v>
      </c>
      <c r="E825" t="s">
        <v>35</v>
      </c>
      <c r="G825" s="3">
        <v>2204</v>
      </c>
      <c r="H825" t="s">
        <v>176</v>
      </c>
      <c r="I825" s="3" t="str">
        <f t="shared" si="36"/>
        <v>2024-03</v>
      </c>
      <c r="J825" s="1">
        <f t="shared" si="37"/>
        <v>45812</v>
      </c>
      <c r="K825" t="str">
        <f t="shared" si="38"/>
        <v>ACTIVE</v>
      </c>
    </row>
    <row r="826" spans="1:11">
      <c r="A826">
        <v>454</v>
      </c>
      <c r="B826" t="s">
        <v>83</v>
      </c>
      <c r="C826" s="1">
        <v>45802</v>
      </c>
      <c r="D826" s="2" t="s">
        <v>28</v>
      </c>
      <c r="E826" t="s">
        <v>30</v>
      </c>
      <c r="G826" s="3">
        <v>466</v>
      </c>
      <c r="H826" t="s">
        <v>172</v>
      </c>
      <c r="I826" s="3" t="str">
        <f t="shared" si="36"/>
        <v>2025-05</v>
      </c>
      <c r="J826" s="1">
        <f t="shared" si="37"/>
        <v>45816</v>
      </c>
      <c r="K826" t="str">
        <f t="shared" si="38"/>
        <v>ACTIVE</v>
      </c>
    </row>
    <row r="827" spans="1:11">
      <c r="A827">
        <v>607</v>
      </c>
      <c r="B827" t="s">
        <v>119</v>
      </c>
      <c r="C827" s="1">
        <v>45327</v>
      </c>
      <c r="D827" s="2" t="s">
        <v>24</v>
      </c>
      <c r="E827" t="s">
        <v>31</v>
      </c>
      <c r="G827" s="3">
        <v>1424</v>
      </c>
      <c r="H827" t="s">
        <v>175</v>
      </c>
      <c r="I827" s="3" t="str">
        <f t="shared" si="36"/>
        <v>2024-02</v>
      </c>
      <c r="J827" s="1">
        <f t="shared" si="37"/>
        <v>45806</v>
      </c>
      <c r="K827" t="str">
        <f t="shared" si="38"/>
        <v>ACTIVE</v>
      </c>
    </row>
    <row r="828" spans="1:11">
      <c r="A828">
        <v>1539</v>
      </c>
      <c r="B828" t="s">
        <v>89</v>
      </c>
      <c r="C828" s="1">
        <v>45637</v>
      </c>
      <c r="D828" s="2" t="s">
        <v>25</v>
      </c>
      <c r="E828" t="s">
        <v>34</v>
      </c>
      <c r="G828" s="3">
        <v>2934</v>
      </c>
      <c r="H828" t="s">
        <v>174</v>
      </c>
      <c r="I828" s="3" t="str">
        <f t="shared" si="36"/>
        <v>2024-12</v>
      </c>
      <c r="J828" s="1">
        <f t="shared" si="37"/>
        <v>45826</v>
      </c>
      <c r="K828" t="str">
        <f t="shared" si="38"/>
        <v>ACTIVE</v>
      </c>
    </row>
    <row r="829" spans="1:11">
      <c r="A829">
        <v>1478</v>
      </c>
      <c r="B829" t="s">
        <v>105</v>
      </c>
      <c r="C829" s="1">
        <v>45796</v>
      </c>
      <c r="D829" s="2" t="s">
        <v>27</v>
      </c>
      <c r="E829" t="s">
        <v>34</v>
      </c>
      <c r="G829" s="3">
        <v>663</v>
      </c>
      <c r="H829" t="s">
        <v>173</v>
      </c>
      <c r="I829" s="3" t="str">
        <f t="shared" si="36"/>
        <v>2025-05</v>
      </c>
      <c r="J829" s="1">
        <f t="shared" si="37"/>
        <v>45816</v>
      </c>
      <c r="K829" t="str">
        <f t="shared" si="38"/>
        <v>ACTIVE</v>
      </c>
    </row>
    <row r="830" spans="1:11">
      <c r="A830">
        <v>805</v>
      </c>
      <c r="B830" t="s">
        <v>113</v>
      </c>
      <c r="C830" s="1">
        <v>45486</v>
      </c>
      <c r="D830" s="2" t="s">
        <v>26</v>
      </c>
      <c r="E830" t="s">
        <v>35</v>
      </c>
      <c r="G830" s="3">
        <v>882</v>
      </c>
      <c r="H830" t="s">
        <v>176</v>
      </c>
      <c r="I830" s="3" t="str">
        <f t="shared" si="36"/>
        <v>2024-07</v>
      </c>
      <c r="J830" s="1">
        <f t="shared" si="37"/>
        <v>45788</v>
      </c>
      <c r="K830" t="str">
        <f t="shared" si="38"/>
        <v>ACTIVE</v>
      </c>
    </row>
    <row r="831" spans="1:11">
      <c r="A831">
        <v>599</v>
      </c>
      <c r="B831" t="s">
        <v>47</v>
      </c>
      <c r="C831" s="1">
        <v>45347</v>
      </c>
      <c r="D831" s="2" t="s">
        <v>24</v>
      </c>
      <c r="E831" t="s">
        <v>31</v>
      </c>
      <c r="G831" s="3">
        <v>298</v>
      </c>
      <c r="H831" t="s">
        <v>175</v>
      </c>
      <c r="I831" s="3" t="str">
        <f t="shared" si="36"/>
        <v>2024-02</v>
      </c>
      <c r="J831" s="1">
        <f t="shared" si="37"/>
        <v>45792</v>
      </c>
      <c r="K831" t="str">
        <f t="shared" si="38"/>
        <v>ACTIVE</v>
      </c>
    </row>
    <row r="832" spans="1:11">
      <c r="A832">
        <v>1428</v>
      </c>
      <c r="B832" t="s">
        <v>43</v>
      </c>
      <c r="C832" s="1">
        <v>45818</v>
      </c>
      <c r="D832" s="2" t="s">
        <v>23</v>
      </c>
      <c r="E832" t="s">
        <v>30</v>
      </c>
      <c r="G832" s="3">
        <v>8269</v>
      </c>
      <c r="H832" t="s">
        <v>172</v>
      </c>
      <c r="I832" s="3" t="str">
        <f t="shared" si="36"/>
        <v>2025-06</v>
      </c>
      <c r="J832" s="1">
        <f t="shared" si="37"/>
        <v>45818</v>
      </c>
      <c r="K832" t="str">
        <f t="shared" si="38"/>
        <v>ACTIVE</v>
      </c>
    </row>
    <row r="833" spans="1:11">
      <c r="A833">
        <v>936</v>
      </c>
      <c r="B833" t="s">
        <v>107</v>
      </c>
      <c r="C833" s="1">
        <v>45418</v>
      </c>
      <c r="D833" s="2" t="s">
        <v>28</v>
      </c>
      <c r="E833" t="s">
        <v>34</v>
      </c>
      <c r="G833" s="3">
        <v>5718</v>
      </c>
      <c r="H833" t="s">
        <v>173</v>
      </c>
      <c r="I833" s="3" t="str">
        <f t="shared" si="36"/>
        <v>2024-05</v>
      </c>
      <c r="J833" s="1">
        <f t="shared" si="37"/>
        <v>45831</v>
      </c>
      <c r="K833" t="str">
        <f t="shared" si="38"/>
        <v>ACTIVE</v>
      </c>
    </row>
    <row r="834" spans="1:11">
      <c r="A834">
        <v>752</v>
      </c>
      <c r="B834" t="s">
        <v>118</v>
      </c>
      <c r="C834" s="1">
        <v>45490</v>
      </c>
      <c r="D834" s="2" t="s">
        <v>23</v>
      </c>
      <c r="E834" t="s">
        <v>30</v>
      </c>
      <c r="G834" s="3">
        <v>1239</v>
      </c>
      <c r="H834" t="s">
        <v>172</v>
      </c>
      <c r="I834" s="3" t="str">
        <f t="shared" si="36"/>
        <v>2024-07</v>
      </c>
      <c r="J834" s="1">
        <f t="shared" si="37"/>
        <v>45830</v>
      </c>
      <c r="K834" t="str">
        <f t="shared" si="38"/>
        <v>ACTIVE</v>
      </c>
    </row>
    <row r="835" spans="1:11">
      <c r="A835">
        <v>571</v>
      </c>
      <c r="B835" t="s">
        <v>98</v>
      </c>
      <c r="C835" s="1">
        <v>45659</v>
      </c>
      <c r="D835" s="2" t="s">
        <v>25</v>
      </c>
      <c r="E835" t="s">
        <v>30</v>
      </c>
      <c r="G835" s="3">
        <v>328</v>
      </c>
      <c r="H835" t="s">
        <v>172</v>
      </c>
      <c r="I835" s="3" t="str">
        <f t="shared" ref="I835:I898" si="39">TEXT(C835, "yyyy-mm")</f>
        <v>2025-01</v>
      </c>
      <c r="J835" s="1">
        <f t="shared" ref="J835:J898" si="40">_xlfn.MAXIFS(C:C, B:B, B835)</f>
        <v>45767</v>
      </c>
      <c r="K835" t="str">
        <f t="shared" ref="K835:K898" si="41">IF($L$3-J835&gt;90, "LAPSED","ACTIVE")</f>
        <v>ACTIVE</v>
      </c>
    </row>
    <row r="836" spans="1:11">
      <c r="A836">
        <v>944</v>
      </c>
      <c r="B836" t="s">
        <v>61</v>
      </c>
      <c r="C836" s="1">
        <v>45557</v>
      </c>
      <c r="D836" s="2" t="s">
        <v>25</v>
      </c>
      <c r="E836" t="s">
        <v>34</v>
      </c>
      <c r="G836" s="3">
        <v>703</v>
      </c>
      <c r="H836" t="s">
        <v>174</v>
      </c>
      <c r="I836" s="3" t="str">
        <f t="shared" si="39"/>
        <v>2024-09</v>
      </c>
      <c r="J836" s="1">
        <f t="shared" si="40"/>
        <v>45815</v>
      </c>
      <c r="K836" t="str">
        <f t="shared" si="41"/>
        <v>ACTIVE</v>
      </c>
    </row>
    <row r="837" spans="1:11">
      <c r="A837">
        <v>62</v>
      </c>
      <c r="B837" t="s">
        <v>72</v>
      </c>
      <c r="C837" s="1">
        <v>45640</v>
      </c>
      <c r="D837" s="2" t="s">
        <v>23</v>
      </c>
      <c r="E837" t="s">
        <v>30</v>
      </c>
      <c r="G837" s="3">
        <v>2556</v>
      </c>
      <c r="H837" t="s">
        <v>175</v>
      </c>
      <c r="I837" s="3" t="str">
        <f t="shared" si="39"/>
        <v>2024-12</v>
      </c>
      <c r="J837" s="1">
        <f t="shared" si="40"/>
        <v>45815</v>
      </c>
      <c r="K837" t="str">
        <f t="shared" si="41"/>
        <v>ACTIVE</v>
      </c>
    </row>
    <row r="838" spans="1:11">
      <c r="A838">
        <v>1254</v>
      </c>
      <c r="B838" t="s">
        <v>134</v>
      </c>
      <c r="C838" s="1">
        <v>45544</v>
      </c>
      <c r="D838" s="2" t="s">
        <v>23</v>
      </c>
      <c r="E838" t="s">
        <v>35</v>
      </c>
      <c r="G838" s="3">
        <v>1258</v>
      </c>
      <c r="H838" t="s">
        <v>175</v>
      </c>
      <c r="I838" s="3" t="str">
        <f t="shared" si="39"/>
        <v>2024-09</v>
      </c>
      <c r="J838" s="1">
        <f t="shared" si="40"/>
        <v>45776</v>
      </c>
      <c r="K838" t="str">
        <f t="shared" si="41"/>
        <v>ACTIVE</v>
      </c>
    </row>
    <row r="839" spans="1:11">
      <c r="A839">
        <v>537</v>
      </c>
      <c r="B839" t="s">
        <v>97</v>
      </c>
      <c r="C839" s="1">
        <v>45454</v>
      </c>
      <c r="D839" s="2" t="s">
        <v>28</v>
      </c>
      <c r="E839" t="s">
        <v>34</v>
      </c>
      <c r="G839" s="3">
        <v>4416</v>
      </c>
      <c r="H839" t="s">
        <v>175</v>
      </c>
      <c r="I839" s="3" t="str">
        <f t="shared" si="39"/>
        <v>2024-06</v>
      </c>
      <c r="J839" s="1">
        <f t="shared" si="40"/>
        <v>45794</v>
      </c>
      <c r="K839" t="str">
        <f t="shared" si="41"/>
        <v>ACTIVE</v>
      </c>
    </row>
    <row r="840" spans="1:11">
      <c r="A840">
        <v>1794</v>
      </c>
      <c r="B840" t="s">
        <v>109</v>
      </c>
      <c r="C840" s="1">
        <v>45602</v>
      </c>
      <c r="D840" s="2" t="s">
        <v>24</v>
      </c>
      <c r="E840" t="s">
        <v>31</v>
      </c>
      <c r="G840" s="3">
        <v>2656</v>
      </c>
      <c r="H840" t="s">
        <v>173</v>
      </c>
      <c r="I840" s="3" t="str">
        <f t="shared" si="39"/>
        <v>2024-11</v>
      </c>
      <c r="J840" s="1">
        <f t="shared" si="40"/>
        <v>45776</v>
      </c>
      <c r="K840" t="str">
        <f t="shared" si="41"/>
        <v>ACTIVE</v>
      </c>
    </row>
    <row r="841" spans="1:11">
      <c r="A841">
        <v>1700</v>
      </c>
      <c r="B841" t="s">
        <v>140</v>
      </c>
      <c r="C841" s="1">
        <v>45561</v>
      </c>
      <c r="D841" s="2" t="s">
        <v>27</v>
      </c>
      <c r="E841" t="s">
        <v>30</v>
      </c>
      <c r="G841" s="3">
        <v>623</v>
      </c>
      <c r="H841" t="s">
        <v>176</v>
      </c>
      <c r="I841" s="3" t="str">
        <f t="shared" si="39"/>
        <v>2024-09</v>
      </c>
      <c r="J841" s="1">
        <f t="shared" si="40"/>
        <v>45812</v>
      </c>
      <c r="K841" t="str">
        <f t="shared" si="41"/>
        <v>ACTIVE</v>
      </c>
    </row>
    <row r="842" spans="1:11">
      <c r="A842">
        <v>1234</v>
      </c>
      <c r="B842" t="s">
        <v>102</v>
      </c>
      <c r="C842" s="1">
        <v>45610</v>
      </c>
      <c r="D842" s="2" t="s">
        <v>25</v>
      </c>
      <c r="E842" t="s">
        <v>30</v>
      </c>
      <c r="G842" s="3">
        <v>268</v>
      </c>
      <c r="H842" t="s">
        <v>173</v>
      </c>
      <c r="I842" s="3" t="str">
        <f t="shared" si="39"/>
        <v>2024-11</v>
      </c>
      <c r="J842" s="1">
        <f t="shared" si="40"/>
        <v>45793</v>
      </c>
      <c r="K842" t="str">
        <f t="shared" si="41"/>
        <v>ACTIVE</v>
      </c>
    </row>
    <row r="843" spans="1:11">
      <c r="A843">
        <v>245</v>
      </c>
      <c r="B843" t="s">
        <v>101</v>
      </c>
      <c r="C843" s="1">
        <v>45541</v>
      </c>
      <c r="D843" s="2" t="s">
        <v>27</v>
      </c>
      <c r="E843" t="s">
        <v>35</v>
      </c>
      <c r="G843" s="3">
        <v>1399</v>
      </c>
      <c r="H843" t="s">
        <v>173</v>
      </c>
      <c r="I843" s="3" t="str">
        <f t="shared" si="39"/>
        <v>2024-09</v>
      </c>
      <c r="J843" s="1">
        <f t="shared" si="40"/>
        <v>45823</v>
      </c>
      <c r="K843" t="str">
        <f t="shared" si="41"/>
        <v>ACTIVE</v>
      </c>
    </row>
    <row r="844" spans="1:11">
      <c r="A844">
        <v>26</v>
      </c>
      <c r="B844" t="s">
        <v>113</v>
      </c>
      <c r="C844" s="1">
        <v>45332</v>
      </c>
      <c r="D844" s="2" t="s">
        <v>25</v>
      </c>
      <c r="E844" t="s">
        <v>32</v>
      </c>
      <c r="G844" s="3">
        <v>9265</v>
      </c>
      <c r="H844" t="s">
        <v>174</v>
      </c>
      <c r="I844" s="3" t="str">
        <f t="shared" si="39"/>
        <v>2024-02</v>
      </c>
      <c r="J844" s="1">
        <f t="shared" si="40"/>
        <v>45788</v>
      </c>
      <c r="K844" t="str">
        <f t="shared" si="41"/>
        <v>ACTIVE</v>
      </c>
    </row>
    <row r="845" spans="1:11">
      <c r="A845">
        <v>1514</v>
      </c>
      <c r="B845" t="s">
        <v>49</v>
      </c>
      <c r="C845" s="1">
        <v>45455</v>
      </c>
      <c r="D845" s="2" t="s">
        <v>23</v>
      </c>
      <c r="E845" t="s">
        <v>33</v>
      </c>
      <c r="G845" s="3">
        <v>9907</v>
      </c>
      <c r="H845" t="s">
        <v>173</v>
      </c>
      <c r="I845" s="3" t="str">
        <f t="shared" si="39"/>
        <v>2024-06</v>
      </c>
      <c r="J845" s="1">
        <f t="shared" si="40"/>
        <v>45812</v>
      </c>
      <c r="K845" t="str">
        <f t="shared" si="41"/>
        <v>ACTIVE</v>
      </c>
    </row>
    <row r="846" spans="1:11">
      <c r="A846">
        <v>223</v>
      </c>
      <c r="B846" t="s">
        <v>50</v>
      </c>
      <c r="C846" s="1">
        <v>45324</v>
      </c>
      <c r="D846" s="2" t="s">
        <v>28</v>
      </c>
      <c r="E846" t="s">
        <v>32</v>
      </c>
      <c r="G846" s="3">
        <v>766</v>
      </c>
      <c r="H846" t="s">
        <v>176</v>
      </c>
      <c r="I846" s="3" t="str">
        <f t="shared" si="39"/>
        <v>2024-02</v>
      </c>
      <c r="J846" s="1">
        <f t="shared" si="40"/>
        <v>45831</v>
      </c>
      <c r="K846" t="str">
        <f t="shared" si="41"/>
        <v>ACTIVE</v>
      </c>
    </row>
    <row r="847" spans="1:11">
      <c r="A847">
        <v>1310</v>
      </c>
      <c r="B847" t="s">
        <v>153</v>
      </c>
      <c r="C847" s="1">
        <v>45642</v>
      </c>
      <c r="D847" s="2" t="s">
        <v>24</v>
      </c>
      <c r="E847" t="s">
        <v>30</v>
      </c>
      <c r="G847" s="3">
        <v>2552</v>
      </c>
      <c r="H847" t="s">
        <v>173</v>
      </c>
      <c r="I847" s="3" t="str">
        <f t="shared" si="39"/>
        <v>2024-12</v>
      </c>
      <c r="J847" s="1">
        <f t="shared" si="40"/>
        <v>45690</v>
      </c>
      <c r="K847" t="str">
        <f t="shared" si="41"/>
        <v>LAPSED</v>
      </c>
    </row>
    <row r="848" spans="1:11">
      <c r="A848">
        <v>106</v>
      </c>
      <c r="B848" t="s">
        <v>153</v>
      </c>
      <c r="C848" s="1">
        <v>45440</v>
      </c>
      <c r="D848" s="2" t="s">
        <v>23</v>
      </c>
      <c r="E848" t="s">
        <v>31</v>
      </c>
      <c r="G848" s="3">
        <v>1266</v>
      </c>
      <c r="H848" t="s">
        <v>176</v>
      </c>
      <c r="I848" s="3" t="str">
        <f t="shared" si="39"/>
        <v>2024-05</v>
      </c>
      <c r="J848" s="1">
        <f t="shared" si="40"/>
        <v>45690</v>
      </c>
      <c r="K848" t="str">
        <f t="shared" si="41"/>
        <v>LAPSED</v>
      </c>
    </row>
    <row r="849" spans="1:11">
      <c r="A849">
        <v>674</v>
      </c>
      <c r="B849" t="s">
        <v>74</v>
      </c>
      <c r="C849" s="1">
        <v>45321</v>
      </c>
      <c r="D849" s="2" t="s">
        <v>24</v>
      </c>
      <c r="E849" t="s">
        <v>33</v>
      </c>
      <c r="G849" s="3">
        <v>349</v>
      </c>
      <c r="H849" t="s">
        <v>174</v>
      </c>
      <c r="I849" s="3" t="str">
        <f t="shared" si="39"/>
        <v>2024-01</v>
      </c>
      <c r="J849" s="1">
        <f t="shared" si="40"/>
        <v>45773</v>
      </c>
      <c r="K849" t="str">
        <f t="shared" si="41"/>
        <v>ACTIVE</v>
      </c>
    </row>
    <row r="850" spans="1:11">
      <c r="A850">
        <v>643</v>
      </c>
      <c r="B850" t="s">
        <v>96</v>
      </c>
      <c r="C850" s="1">
        <v>45773</v>
      </c>
      <c r="D850" s="2" t="s">
        <v>23</v>
      </c>
      <c r="E850" t="s">
        <v>33</v>
      </c>
      <c r="G850" s="3">
        <v>8223</v>
      </c>
      <c r="H850" t="s">
        <v>174</v>
      </c>
      <c r="I850" s="3" t="str">
        <f t="shared" si="39"/>
        <v>2025-04</v>
      </c>
      <c r="J850" s="1">
        <f t="shared" si="40"/>
        <v>45798</v>
      </c>
      <c r="K850" t="str">
        <f t="shared" si="41"/>
        <v>ACTIVE</v>
      </c>
    </row>
    <row r="851" spans="1:11">
      <c r="A851">
        <v>1153</v>
      </c>
      <c r="B851" t="s">
        <v>110</v>
      </c>
      <c r="C851" s="1">
        <v>45763</v>
      </c>
      <c r="D851" s="2" t="s">
        <v>28</v>
      </c>
      <c r="E851" t="s">
        <v>30</v>
      </c>
      <c r="G851" s="3">
        <v>5083</v>
      </c>
      <c r="H851" t="s">
        <v>173</v>
      </c>
      <c r="I851" s="3" t="str">
        <f t="shared" si="39"/>
        <v>2025-04</v>
      </c>
      <c r="J851" s="1">
        <f t="shared" si="40"/>
        <v>45816</v>
      </c>
      <c r="K851" t="str">
        <f t="shared" si="41"/>
        <v>ACTIVE</v>
      </c>
    </row>
    <row r="852" spans="1:11">
      <c r="A852">
        <v>666</v>
      </c>
      <c r="B852" t="s">
        <v>137</v>
      </c>
      <c r="C852" s="1">
        <v>45394</v>
      </c>
      <c r="D852" s="2" t="s">
        <v>27</v>
      </c>
      <c r="E852" t="s">
        <v>30</v>
      </c>
      <c r="G852" s="3">
        <v>2506</v>
      </c>
      <c r="H852" t="s">
        <v>174</v>
      </c>
      <c r="I852" s="3" t="str">
        <f t="shared" si="39"/>
        <v>2024-04</v>
      </c>
      <c r="J852" s="1">
        <f t="shared" si="40"/>
        <v>45819</v>
      </c>
      <c r="K852" t="str">
        <f t="shared" si="41"/>
        <v>ACTIVE</v>
      </c>
    </row>
    <row r="853" spans="1:11">
      <c r="A853">
        <v>510</v>
      </c>
      <c r="B853" t="s">
        <v>45</v>
      </c>
      <c r="C853" s="1">
        <v>45504</v>
      </c>
      <c r="D853" s="2" t="s">
        <v>27</v>
      </c>
      <c r="E853" t="s">
        <v>33</v>
      </c>
      <c r="G853" s="3">
        <v>531</v>
      </c>
      <c r="H853" t="s">
        <v>176</v>
      </c>
      <c r="I853" s="3" t="str">
        <f t="shared" si="39"/>
        <v>2024-07</v>
      </c>
      <c r="J853" s="1">
        <f t="shared" si="40"/>
        <v>45829</v>
      </c>
      <c r="K853" t="str">
        <f t="shared" si="41"/>
        <v>ACTIVE</v>
      </c>
    </row>
    <row r="854" spans="1:11">
      <c r="A854">
        <v>132</v>
      </c>
      <c r="B854" t="s">
        <v>82</v>
      </c>
      <c r="C854" s="1">
        <v>45454</v>
      </c>
      <c r="D854" s="2" t="s">
        <v>24</v>
      </c>
      <c r="E854" t="s">
        <v>31</v>
      </c>
      <c r="G854" s="3">
        <v>723</v>
      </c>
      <c r="H854" t="s">
        <v>174</v>
      </c>
      <c r="I854" s="3" t="str">
        <f t="shared" si="39"/>
        <v>2024-06</v>
      </c>
      <c r="J854" s="1">
        <f t="shared" si="40"/>
        <v>45781</v>
      </c>
      <c r="K854" t="str">
        <f t="shared" si="41"/>
        <v>ACTIVE</v>
      </c>
    </row>
    <row r="855" spans="1:11">
      <c r="A855">
        <v>1277</v>
      </c>
      <c r="B855" t="s">
        <v>39</v>
      </c>
      <c r="C855" s="1">
        <v>45589</v>
      </c>
      <c r="D855" s="2" t="s">
        <v>27</v>
      </c>
      <c r="E855" t="s">
        <v>30</v>
      </c>
      <c r="G855" s="3">
        <v>5969</v>
      </c>
      <c r="H855" t="s">
        <v>173</v>
      </c>
      <c r="I855" s="3" t="str">
        <f t="shared" si="39"/>
        <v>2024-10</v>
      </c>
      <c r="J855" s="1">
        <f t="shared" si="40"/>
        <v>45795</v>
      </c>
      <c r="K855" t="str">
        <f t="shared" si="41"/>
        <v>ACTIVE</v>
      </c>
    </row>
    <row r="856" spans="1:11">
      <c r="A856">
        <v>445</v>
      </c>
      <c r="B856" t="s">
        <v>92</v>
      </c>
      <c r="C856" s="1">
        <v>45582</v>
      </c>
      <c r="D856" s="2" t="s">
        <v>27</v>
      </c>
      <c r="E856" t="s">
        <v>33</v>
      </c>
      <c r="G856" s="3">
        <v>11354</v>
      </c>
      <c r="H856" t="s">
        <v>176</v>
      </c>
      <c r="I856" s="3" t="str">
        <f t="shared" si="39"/>
        <v>2024-10</v>
      </c>
      <c r="J856" s="1">
        <f t="shared" si="40"/>
        <v>45746</v>
      </c>
      <c r="K856" t="str">
        <f t="shared" si="41"/>
        <v>ACTIVE</v>
      </c>
    </row>
    <row r="857" spans="1:11">
      <c r="A857">
        <v>1521</v>
      </c>
      <c r="B857" t="s">
        <v>99</v>
      </c>
      <c r="C857" s="1">
        <v>45777</v>
      </c>
      <c r="D857" s="2" t="s">
        <v>27</v>
      </c>
      <c r="E857" t="s">
        <v>35</v>
      </c>
      <c r="G857" s="3">
        <v>1902</v>
      </c>
      <c r="H857" t="s">
        <v>172</v>
      </c>
      <c r="I857" s="3" t="str">
        <f t="shared" si="39"/>
        <v>2025-04</v>
      </c>
      <c r="J857" s="1">
        <f t="shared" si="40"/>
        <v>45828</v>
      </c>
      <c r="K857" t="str">
        <f t="shared" si="41"/>
        <v>ACTIVE</v>
      </c>
    </row>
    <row r="858" spans="1:11">
      <c r="A858">
        <v>509</v>
      </c>
      <c r="B858" t="s">
        <v>94</v>
      </c>
      <c r="C858" s="1">
        <v>45779</v>
      </c>
      <c r="D858" s="2" t="s">
        <v>28</v>
      </c>
      <c r="E858" t="s">
        <v>32</v>
      </c>
      <c r="G858" s="3">
        <v>1040</v>
      </c>
      <c r="H858" t="s">
        <v>176</v>
      </c>
      <c r="I858" s="3" t="str">
        <f t="shared" si="39"/>
        <v>2025-05</v>
      </c>
      <c r="J858" s="1">
        <f t="shared" si="40"/>
        <v>45824</v>
      </c>
      <c r="K858" t="str">
        <f t="shared" si="41"/>
        <v>ACTIVE</v>
      </c>
    </row>
    <row r="859" spans="1:11">
      <c r="A859">
        <v>1216</v>
      </c>
      <c r="B859" t="s">
        <v>59</v>
      </c>
      <c r="C859" s="1">
        <v>45829</v>
      </c>
      <c r="D859" s="2" t="s">
        <v>27</v>
      </c>
      <c r="E859" t="s">
        <v>34</v>
      </c>
      <c r="G859" s="3">
        <v>470</v>
      </c>
      <c r="H859" t="s">
        <v>172</v>
      </c>
      <c r="I859" s="3" t="str">
        <f t="shared" si="39"/>
        <v>2025-06</v>
      </c>
      <c r="J859" s="1">
        <f t="shared" si="40"/>
        <v>45829</v>
      </c>
      <c r="K859" t="str">
        <f t="shared" si="41"/>
        <v>ACTIVE</v>
      </c>
    </row>
    <row r="860" spans="1:11">
      <c r="A860">
        <v>1589</v>
      </c>
      <c r="B860" t="s">
        <v>121</v>
      </c>
      <c r="C860" s="1">
        <v>45631</v>
      </c>
      <c r="D860" s="2" t="s">
        <v>28</v>
      </c>
      <c r="E860" t="s">
        <v>35</v>
      </c>
      <c r="G860" s="3">
        <v>406</v>
      </c>
      <c r="H860" t="s">
        <v>176</v>
      </c>
      <c r="I860" s="3" t="str">
        <f t="shared" si="39"/>
        <v>2024-12</v>
      </c>
      <c r="J860" s="1">
        <f t="shared" si="40"/>
        <v>45798</v>
      </c>
      <c r="K860" t="str">
        <f t="shared" si="41"/>
        <v>ACTIVE</v>
      </c>
    </row>
    <row r="861" spans="1:11">
      <c r="A861">
        <v>882</v>
      </c>
      <c r="B861" t="s">
        <v>54</v>
      </c>
      <c r="C861" s="1">
        <v>45564</v>
      </c>
      <c r="D861" s="2" t="s">
        <v>28</v>
      </c>
      <c r="E861" t="s">
        <v>32</v>
      </c>
      <c r="G861" s="3">
        <v>9982</v>
      </c>
      <c r="H861" t="s">
        <v>172</v>
      </c>
      <c r="I861" s="3" t="str">
        <f t="shared" si="39"/>
        <v>2024-09</v>
      </c>
      <c r="J861" s="1">
        <f t="shared" si="40"/>
        <v>45825</v>
      </c>
      <c r="K861" t="str">
        <f t="shared" si="41"/>
        <v>ACTIVE</v>
      </c>
    </row>
    <row r="862" spans="1:11">
      <c r="A862">
        <v>76</v>
      </c>
      <c r="B862" t="s">
        <v>108</v>
      </c>
      <c r="C862" s="1">
        <v>45567</v>
      </c>
      <c r="D862" s="2" t="s">
        <v>25</v>
      </c>
      <c r="E862" t="s">
        <v>33</v>
      </c>
      <c r="G862" s="3">
        <v>302</v>
      </c>
      <c r="H862" t="s">
        <v>173</v>
      </c>
      <c r="I862" s="3" t="str">
        <f t="shared" si="39"/>
        <v>2024-10</v>
      </c>
      <c r="J862" s="1">
        <f t="shared" si="40"/>
        <v>45826</v>
      </c>
      <c r="K862" t="str">
        <f t="shared" si="41"/>
        <v>ACTIVE</v>
      </c>
    </row>
    <row r="863" spans="1:11">
      <c r="A863">
        <v>37</v>
      </c>
      <c r="B863" t="s">
        <v>116</v>
      </c>
      <c r="C863" s="1">
        <v>45651</v>
      </c>
      <c r="D863" s="2" t="s">
        <v>23</v>
      </c>
      <c r="E863" t="s">
        <v>32</v>
      </c>
      <c r="G863" s="3">
        <v>9325</v>
      </c>
      <c r="H863" t="s">
        <v>176</v>
      </c>
      <c r="I863" s="3" t="str">
        <f t="shared" si="39"/>
        <v>2024-12</v>
      </c>
      <c r="J863" s="1">
        <f t="shared" si="40"/>
        <v>45829</v>
      </c>
      <c r="K863" t="str">
        <f t="shared" si="41"/>
        <v>ACTIVE</v>
      </c>
    </row>
    <row r="864" spans="1:11">
      <c r="A864">
        <v>1605</v>
      </c>
      <c r="B864" t="s">
        <v>60</v>
      </c>
      <c r="C864" s="1">
        <v>45586</v>
      </c>
      <c r="D864" s="2" t="s">
        <v>23</v>
      </c>
      <c r="E864" t="s">
        <v>33</v>
      </c>
      <c r="G864" s="3">
        <v>2958</v>
      </c>
      <c r="H864" t="s">
        <v>176</v>
      </c>
      <c r="I864" s="3" t="str">
        <f t="shared" si="39"/>
        <v>2024-10</v>
      </c>
      <c r="J864" s="1">
        <f t="shared" si="40"/>
        <v>45801</v>
      </c>
      <c r="K864" t="str">
        <f t="shared" si="41"/>
        <v>ACTIVE</v>
      </c>
    </row>
    <row r="865" spans="1:11">
      <c r="A865">
        <v>58</v>
      </c>
      <c r="B865" t="s">
        <v>134</v>
      </c>
      <c r="C865" s="1">
        <v>45415</v>
      </c>
      <c r="D865" s="2" t="s">
        <v>23</v>
      </c>
      <c r="E865" t="s">
        <v>34</v>
      </c>
      <c r="G865" s="3">
        <v>0</v>
      </c>
      <c r="H865" t="s">
        <v>174</v>
      </c>
      <c r="I865" s="3" t="str">
        <f t="shared" si="39"/>
        <v>2024-05</v>
      </c>
      <c r="J865" s="1">
        <f t="shared" si="40"/>
        <v>45776</v>
      </c>
      <c r="K865" t="str">
        <f t="shared" si="41"/>
        <v>ACTIVE</v>
      </c>
    </row>
    <row r="866" spans="1:11">
      <c r="A866">
        <v>197</v>
      </c>
      <c r="B866" t="s">
        <v>93</v>
      </c>
      <c r="C866" s="1">
        <v>45830</v>
      </c>
      <c r="D866" s="2" t="s">
        <v>23</v>
      </c>
      <c r="E866" t="s">
        <v>30</v>
      </c>
      <c r="G866" s="3">
        <v>4156</v>
      </c>
      <c r="H866" t="s">
        <v>175</v>
      </c>
      <c r="I866" s="3" t="str">
        <f t="shared" si="39"/>
        <v>2025-06</v>
      </c>
      <c r="J866" s="1">
        <f t="shared" si="40"/>
        <v>45830</v>
      </c>
      <c r="K866" t="str">
        <f t="shared" si="41"/>
        <v>ACTIVE</v>
      </c>
    </row>
    <row r="867" spans="1:11">
      <c r="A867">
        <v>1501</v>
      </c>
      <c r="B867" t="s">
        <v>114</v>
      </c>
      <c r="C867" s="1">
        <v>45667</v>
      </c>
      <c r="D867" s="2" t="s">
        <v>24</v>
      </c>
      <c r="E867" t="s">
        <v>30</v>
      </c>
      <c r="G867" s="3">
        <v>646</v>
      </c>
      <c r="H867" t="s">
        <v>176</v>
      </c>
      <c r="I867" s="3" t="str">
        <f t="shared" si="39"/>
        <v>2025-01</v>
      </c>
      <c r="J867" s="1">
        <f t="shared" si="40"/>
        <v>45815</v>
      </c>
      <c r="K867" t="str">
        <f t="shared" si="41"/>
        <v>ACTIVE</v>
      </c>
    </row>
    <row r="868" spans="1:11">
      <c r="A868">
        <v>904</v>
      </c>
      <c r="B868" t="s">
        <v>107</v>
      </c>
      <c r="C868" s="1">
        <v>45485</v>
      </c>
      <c r="D868" s="2" t="s">
        <v>28</v>
      </c>
      <c r="E868" t="s">
        <v>30</v>
      </c>
      <c r="G868" s="3">
        <v>1589</v>
      </c>
      <c r="H868" t="s">
        <v>176</v>
      </c>
      <c r="I868" s="3" t="str">
        <f t="shared" si="39"/>
        <v>2024-07</v>
      </c>
      <c r="J868" s="1">
        <f t="shared" si="40"/>
        <v>45831</v>
      </c>
      <c r="K868" t="str">
        <f t="shared" si="41"/>
        <v>ACTIVE</v>
      </c>
    </row>
    <row r="869" spans="1:11">
      <c r="A869">
        <v>1040</v>
      </c>
      <c r="B869" t="s">
        <v>48</v>
      </c>
      <c r="C869" s="1">
        <v>45370</v>
      </c>
      <c r="D869" s="2" t="s">
        <v>24</v>
      </c>
      <c r="E869" t="s">
        <v>35</v>
      </c>
      <c r="G869" s="3">
        <v>1996</v>
      </c>
      <c r="H869" t="s">
        <v>174</v>
      </c>
      <c r="I869" s="3" t="str">
        <f t="shared" si="39"/>
        <v>2024-03</v>
      </c>
      <c r="J869" s="1">
        <f t="shared" si="40"/>
        <v>45809</v>
      </c>
      <c r="K869" t="str">
        <f t="shared" si="41"/>
        <v>ACTIVE</v>
      </c>
    </row>
    <row r="870" spans="1:11">
      <c r="A870">
        <v>322</v>
      </c>
      <c r="B870" t="s">
        <v>94</v>
      </c>
      <c r="C870" s="1">
        <v>45824</v>
      </c>
      <c r="D870" s="2" t="s">
        <v>25</v>
      </c>
      <c r="E870" t="s">
        <v>30</v>
      </c>
      <c r="G870" s="3">
        <v>11127</v>
      </c>
      <c r="H870" t="s">
        <v>176</v>
      </c>
      <c r="I870" s="3" t="str">
        <f t="shared" si="39"/>
        <v>2025-06</v>
      </c>
      <c r="J870" s="1">
        <f t="shared" si="40"/>
        <v>45824</v>
      </c>
      <c r="K870" t="str">
        <f t="shared" si="41"/>
        <v>ACTIVE</v>
      </c>
    </row>
    <row r="871" spans="1:11">
      <c r="A871">
        <v>1659</v>
      </c>
      <c r="B871" t="s">
        <v>51</v>
      </c>
      <c r="C871" s="1">
        <v>45683</v>
      </c>
      <c r="D871" s="2" t="s">
        <v>27</v>
      </c>
      <c r="E871" t="s">
        <v>33</v>
      </c>
      <c r="G871" s="3">
        <v>274</v>
      </c>
      <c r="H871" t="s">
        <v>176</v>
      </c>
      <c r="I871" s="3" t="str">
        <f t="shared" si="39"/>
        <v>2025-01</v>
      </c>
      <c r="J871" s="1">
        <f t="shared" si="40"/>
        <v>45775</v>
      </c>
      <c r="K871" t="str">
        <f t="shared" si="41"/>
        <v>ACTIVE</v>
      </c>
    </row>
    <row r="872" spans="1:11">
      <c r="A872">
        <v>968</v>
      </c>
      <c r="B872" t="s">
        <v>134</v>
      </c>
      <c r="C872" s="1">
        <v>45461</v>
      </c>
      <c r="D872" s="2" t="s">
        <v>27</v>
      </c>
      <c r="E872" t="s">
        <v>30</v>
      </c>
      <c r="G872" s="3">
        <v>292</v>
      </c>
      <c r="H872" t="s">
        <v>173</v>
      </c>
      <c r="I872" s="3" t="str">
        <f t="shared" si="39"/>
        <v>2024-06</v>
      </c>
      <c r="J872" s="1">
        <f t="shared" si="40"/>
        <v>45776</v>
      </c>
      <c r="K872" t="str">
        <f t="shared" si="41"/>
        <v>ACTIVE</v>
      </c>
    </row>
    <row r="873" spans="1:11">
      <c r="A873">
        <v>478</v>
      </c>
      <c r="B873" t="s">
        <v>49</v>
      </c>
      <c r="C873" s="1">
        <v>45682</v>
      </c>
      <c r="D873" s="2" t="s">
        <v>25</v>
      </c>
      <c r="E873" t="s">
        <v>31</v>
      </c>
      <c r="G873" s="3">
        <v>5760</v>
      </c>
      <c r="H873" t="s">
        <v>173</v>
      </c>
      <c r="I873" s="3" t="str">
        <f t="shared" si="39"/>
        <v>2025-01</v>
      </c>
      <c r="J873" s="1">
        <f t="shared" si="40"/>
        <v>45812</v>
      </c>
      <c r="K873" t="str">
        <f t="shared" si="41"/>
        <v>ACTIVE</v>
      </c>
    </row>
    <row r="874" spans="1:11">
      <c r="A874">
        <v>87</v>
      </c>
      <c r="B874" t="s">
        <v>40</v>
      </c>
      <c r="C874" s="1">
        <v>45759</v>
      </c>
      <c r="D874" s="2" t="s">
        <v>27</v>
      </c>
      <c r="E874" t="s">
        <v>32</v>
      </c>
      <c r="G874" s="3">
        <v>1245</v>
      </c>
      <c r="H874" t="s">
        <v>174</v>
      </c>
      <c r="I874" s="3" t="str">
        <f t="shared" si="39"/>
        <v>2025-04</v>
      </c>
      <c r="J874" s="1">
        <f t="shared" si="40"/>
        <v>45759</v>
      </c>
      <c r="K874" t="str">
        <f t="shared" si="41"/>
        <v>ACTIVE</v>
      </c>
    </row>
    <row r="875" spans="1:11">
      <c r="A875">
        <v>1672</v>
      </c>
      <c r="B875" t="s">
        <v>61</v>
      </c>
      <c r="C875" s="1">
        <v>45699</v>
      </c>
      <c r="D875" s="2" t="s">
        <v>24</v>
      </c>
      <c r="E875" t="s">
        <v>30</v>
      </c>
      <c r="G875" s="3">
        <v>577</v>
      </c>
      <c r="H875" t="s">
        <v>173</v>
      </c>
      <c r="I875" s="3" t="str">
        <f t="shared" si="39"/>
        <v>2025-02</v>
      </c>
      <c r="J875" s="1">
        <f t="shared" si="40"/>
        <v>45815</v>
      </c>
      <c r="K875" t="str">
        <f t="shared" si="41"/>
        <v>ACTIVE</v>
      </c>
    </row>
    <row r="876" spans="1:11">
      <c r="A876">
        <v>562</v>
      </c>
      <c r="B876" t="s">
        <v>124</v>
      </c>
      <c r="C876" s="1">
        <v>45416</v>
      </c>
      <c r="D876" s="2" t="s">
        <v>25</v>
      </c>
      <c r="E876" t="s">
        <v>34</v>
      </c>
      <c r="G876" s="3">
        <v>1426</v>
      </c>
      <c r="H876" t="s">
        <v>175</v>
      </c>
      <c r="I876" s="3" t="str">
        <f t="shared" si="39"/>
        <v>2024-05</v>
      </c>
      <c r="J876" s="1">
        <f t="shared" si="40"/>
        <v>45793</v>
      </c>
      <c r="K876" t="str">
        <f t="shared" si="41"/>
        <v>ACTIVE</v>
      </c>
    </row>
    <row r="877" spans="1:11">
      <c r="A877">
        <v>772</v>
      </c>
      <c r="B877" t="s">
        <v>150</v>
      </c>
      <c r="C877" s="1">
        <v>45638</v>
      </c>
      <c r="D877" s="2" t="s">
        <v>27</v>
      </c>
      <c r="E877" t="s">
        <v>31</v>
      </c>
      <c r="G877" s="3">
        <v>269</v>
      </c>
      <c r="H877" t="s">
        <v>174</v>
      </c>
      <c r="I877" s="3" t="str">
        <f t="shared" si="39"/>
        <v>2024-12</v>
      </c>
      <c r="J877" s="1">
        <f t="shared" si="40"/>
        <v>45827</v>
      </c>
      <c r="K877" t="str">
        <f t="shared" si="41"/>
        <v>ACTIVE</v>
      </c>
    </row>
    <row r="878" spans="1:11">
      <c r="A878">
        <v>335</v>
      </c>
      <c r="B878" t="s">
        <v>70</v>
      </c>
      <c r="C878" s="1">
        <v>45575</v>
      </c>
      <c r="D878" s="2" t="s">
        <v>24</v>
      </c>
      <c r="E878" t="s">
        <v>33</v>
      </c>
      <c r="G878" s="3">
        <v>1510</v>
      </c>
      <c r="H878" t="s">
        <v>172</v>
      </c>
      <c r="I878" s="3" t="str">
        <f t="shared" si="39"/>
        <v>2024-10</v>
      </c>
      <c r="J878" s="1">
        <f t="shared" si="40"/>
        <v>45829</v>
      </c>
      <c r="K878" t="str">
        <f t="shared" si="41"/>
        <v>ACTIVE</v>
      </c>
    </row>
    <row r="879" spans="1:11">
      <c r="A879">
        <v>1118</v>
      </c>
      <c r="B879" t="s">
        <v>56</v>
      </c>
      <c r="C879" s="1">
        <v>45805</v>
      </c>
      <c r="D879" s="2" t="s">
        <v>24</v>
      </c>
      <c r="E879" t="s">
        <v>34</v>
      </c>
      <c r="G879" s="3">
        <v>1466</v>
      </c>
      <c r="H879" t="s">
        <v>174</v>
      </c>
      <c r="I879" s="3" t="str">
        <f t="shared" si="39"/>
        <v>2025-05</v>
      </c>
      <c r="J879" s="1">
        <f t="shared" si="40"/>
        <v>45805</v>
      </c>
      <c r="K879" t="str">
        <f t="shared" si="41"/>
        <v>ACTIVE</v>
      </c>
    </row>
    <row r="880" spans="1:11">
      <c r="A880">
        <v>1253</v>
      </c>
      <c r="B880" t="s">
        <v>124</v>
      </c>
      <c r="C880" s="1">
        <v>45559</v>
      </c>
      <c r="D880" s="2" t="s">
        <v>24</v>
      </c>
      <c r="E880" t="s">
        <v>31</v>
      </c>
      <c r="G880" s="3">
        <v>711</v>
      </c>
      <c r="H880" t="s">
        <v>172</v>
      </c>
      <c r="I880" s="3" t="str">
        <f t="shared" si="39"/>
        <v>2024-09</v>
      </c>
      <c r="J880" s="1">
        <f t="shared" si="40"/>
        <v>45793</v>
      </c>
      <c r="K880" t="str">
        <f t="shared" si="41"/>
        <v>ACTIVE</v>
      </c>
    </row>
    <row r="881" spans="1:11">
      <c r="A881">
        <v>1645</v>
      </c>
      <c r="B881" t="s">
        <v>83</v>
      </c>
      <c r="C881" s="1">
        <v>45648</v>
      </c>
      <c r="D881" s="2" t="s">
        <v>24</v>
      </c>
      <c r="E881" t="s">
        <v>32</v>
      </c>
      <c r="G881" s="3">
        <v>1767</v>
      </c>
      <c r="H881" t="s">
        <v>174</v>
      </c>
      <c r="I881" s="3" t="str">
        <f t="shared" si="39"/>
        <v>2024-12</v>
      </c>
      <c r="J881" s="1">
        <f t="shared" si="40"/>
        <v>45816</v>
      </c>
      <c r="K881" t="str">
        <f t="shared" si="41"/>
        <v>ACTIVE</v>
      </c>
    </row>
    <row r="882" spans="1:11">
      <c r="A882">
        <v>1098</v>
      </c>
      <c r="B882" t="s">
        <v>148</v>
      </c>
      <c r="C882" s="1">
        <v>45375</v>
      </c>
      <c r="D882" s="2" t="s">
        <v>25</v>
      </c>
      <c r="E882" t="s">
        <v>32</v>
      </c>
      <c r="G882" s="3">
        <v>950</v>
      </c>
      <c r="H882" t="s">
        <v>176</v>
      </c>
      <c r="I882" s="3" t="str">
        <f t="shared" si="39"/>
        <v>2024-03</v>
      </c>
      <c r="J882" s="1">
        <f t="shared" si="40"/>
        <v>45766</v>
      </c>
      <c r="K882" t="str">
        <f t="shared" si="41"/>
        <v>ACTIVE</v>
      </c>
    </row>
    <row r="883" spans="1:11">
      <c r="A883">
        <v>709</v>
      </c>
      <c r="B883" t="s">
        <v>133</v>
      </c>
      <c r="C883" s="1">
        <v>45640</v>
      </c>
      <c r="D883" s="2" t="s">
        <v>24</v>
      </c>
      <c r="E883" t="s">
        <v>34</v>
      </c>
      <c r="G883" s="3">
        <v>9070</v>
      </c>
      <c r="H883" t="s">
        <v>172</v>
      </c>
      <c r="I883" s="3" t="str">
        <f t="shared" si="39"/>
        <v>2024-12</v>
      </c>
      <c r="J883" s="1">
        <f t="shared" si="40"/>
        <v>45788</v>
      </c>
      <c r="K883" t="str">
        <f t="shared" si="41"/>
        <v>ACTIVE</v>
      </c>
    </row>
    <row r="884" spans="1:11">
      <c r="A884">
        <v>1166</v>
      </c>
      <c r="B884" t="s">
        <v>141</v>
      </c>
      <c r="C884" s="1">
        <v>45773</v>
      </c>
      <c r="D884" s="2" t="s">
        <v>28</v>
      </c>
      <c r="E884" t="s">
        <v>34</v>
      </c>
      <c r="G884" s="3">
        <v>887</v>
      </c>
      <c r="H884" t="s">
        <v>175</v>
      </c>
      <c r="I884" s="3" t="str">
        <f t="shared" si="39"/>
        <v>2025-04</v>
      </c>
      <c r="J884" s="1">
        <f t="shared" si="40"/>
        <v>45773</v>
      </c>
      <c r="K884" t="str">
        <f t="shared" si="41"/>
        <v>ACTIVE</v>
      </c>
    </row>
    <row r="885" spans="1:11">
      <c r="A885">
        <v>1406</v>
      </c>
      <c r="B885" t="s">
        <v>139</v>
      </c>
      <c r="C885" s="1">
        <v>45685</v>
      </c>
      <c r="D885" s="2" t="s">
        <v>23</v>
      </c>
      <c r="E885" t="s">
        <v>32</v>
      </c>
      <c r="G885" s="3">
        <v>508</v>
      </c>
      <c r="H885" t="s">
        <v>174</v>
      </c>
      <c r="I885" s="3" t="str">
        <f t="shared" si="39"/>
        <v>2025-01</v>
      </c>
      <c r="J885" s="1">
        <f t="shared" si="40"/>
        <v>45830</v>
      </c>
      <c r="K885" t="str">
        <f t="shared" si="41"/>
        <v>ACTIVE</v>
      </c>
    </row>
    <row r="886" spans="1:11">
      <c r="A886">
        <v>191</v>
      </c>
      <c r="B886" t="s">
        <v>99</v>
      </c>
      <c r="C886" s="1">
        <v>45828</v>
      </c>
      <c r="D886" s="2" t="s">
        <v>27</v>
      </c>
      <c r="E886" t="s">
        <v>35</v>
      </c>
      <c r="G886" s="3">
        <v>273</v>
      </c>
      <c r="H886" t="s">
        <v>176</v>
      </c>
      <c r="I886" s="3" t="str">
        <f t="shared" si="39"/>
        <v>2025-06</v>
      </c>
      <c r="J886" s="1">
        <f t="shared" si="40"/>
        <v>45828</v>
      </c>
      <c r="K886" t="str">
        <f t="shared" si="41"/>
        <v>ACTIVE</v>
      </c>
    </row>
    <row r="887" spans="1:11">
      <c r="A887">
        <v>1217</v>
      </c>
      <c r="B887" t="s">
        <v>140</v>
      </c>
      <c r="C887" s="1">
        <v>45717</v>
      </c>
      <c r="D887" s="2" t="s">
        <v>23</v>
      </c>
      <c r="E887" t="s">
        <v>32</v>
      </c>
      <c r="G887" s="3">
        <v>1714</v>
      </c>
      <c r="H887" t="s">
        <v>176</v>
      </c>
      <c r="I887" s="3" t="str">
        <f t="shared" si="39"/>
        <v>2025-03</v>
      </c>
      <c r="J887" s="1">
        <f t="shared" si="40"/>
        <v>45812</v>
      </c>
      <c r="K887" t="str">
        <f t="shared" si="41"/>
        <v>ACTIVE</v>
      </c>
    </row>
    <row r="888" spans="1:11">
      <c r="A888">
        <v>1480</v>
      </c>
      <c r="B888" t="s">
        <v>87</v>
      </c>
      <c r="C888" s="1">
        <v>45409</v>
      </c>
      <c r="D888" s="2" t="s">
        <v>23</v>
      </c>
      <c r="E888" t="s">
        <v>33</v>
      </c>
      <c r="G888" s="3">
        <v>2691</v>
      </c>
      <c r="H888" t="s">
        <v>175</v>
      </c>
      <c r="I888" s="3" t="str">
        <f t="shared" si="39"/>
        <v>2024-04</v>
      </c>
      <c r="J888" s="1">
        <f t="shared" si="40"/>
        <v>45821</v>
      </c>
      <c r="K888" t="str">
        <f t="shared" si="41"/>
        <v>ACTIVE</v>
      </c>
    </row>
    <row r="889" spans="1:11">
      <c r="A889">
        <v>539</v>
      </c>
      <c r="B889" t="s">
        <v>47</v>
      </c>
      <c r="C889" s="1">
        <v>45707</v>
      </c>
      <c r="D889" s="2" t="s">
        <v>23</v>
      </c>
      <c r="E889" t="s">
        <v>34</v>
      </c>
      <c r="G889" s="3">
        <v>698</v>
      </c>
      <c r="H889" t="s">
        <v>176</v>
      </c>
      <c r="I889" s="3" t="str">
        <f t="shared" si="39"/>
        <v>2025-02</v>
      </c>
      <c r="J889" s="1">
        <f t="shared" si="40"/>
        <v>45792</v>
      </c>
      <c r="K889" t="str">
        <f t="shared" si="41"/>
        <v>ACTIVE</v>
      </c>
    </row>
    <row r="890" spans="1:11">
      <c r="A890">
        <v>1071</v>
      </c>
      <c r="B890" t="s">
        <v>73</v>
      </c>
      <c r="C890" s="1">
        <v>45647</v>
      </c>
      <c r="D890" s="2" t="s">
        <v>27</v>
      </c>
      <c r="E890" t="s">
        <v>34</v>
      </c>
      <c r="G890" s="3">
        <v>2274</v>
      </c>
      <c r="H890" t="s">
        <v>173</v>
      </c>
      <c r="I890" s="3" t="str">
        <f t="shared" si="39"/>
        <v>2024-12</v>
      </c>
      <c r="J890" s="1">
        <f t="shared" si="40"/>
        <v>45800</v>
      </c>
      <c r="K890" t="str">
        <f t="shared" si="41"/>
        <v>ACTIVE</v>
      </c>
    </row>
    <row r="891" spans="1:11">
      <c r="A891">
        <v>1302</v>
      </c>
      <c r="B891" t="s">
        <v>123</v>
      </c>
      <c r="C891" s="1">
        <v>45772</v>
      </c>
      <c r="D891" s="2" t="s">
        <v>24</v>
      </c>
      <c r="E891" t="s">
        <v>30</v>
      </c>
      <c r="G891" s="3">
        <v>2381</v>
      </c>
      <c r="H891" t="s">
        <v>172</v>
      </c>
      <c r="I891" s="3" t="str">
        <f t="shared" si="39"/>
        <v>2025-04</v>
      </c>
      <c r="J891" s="1">
        <f t="shared" si="40"/>
        <v>45772</v>
      </c>
      <c r="K891" t="str">
        <f t="shared" si="41"/>
        <v>ACTIVE</v>
      </c>
    </row>
    <row r="892" spans="1:11">
      <c r="A892">
        <v>1068</v>
      </c>
      <c r="B892" t="s">
        <v>145</v>
      </c>
      <c r="C892" s="1">
        <v>45447</v>
      </c>
      <c r="D892" s="2" t="s">
        <v>25</v>
      </c>
      <c r="E892" t="s">
        <v>35</v>
      </c>
      <c r="G892" s="3">
        <v>5348</v>
      </c>
      <c r="H892" t="s">
        <v>173</v>
      </c>
      <c r="I892" s="3" t="str">
        <f t="shared" si="39"/>
        <v>2024-06</v>
      </c>
      <c r="J892" s="1">
        <f t="shared" si="40"/>
        <v>45828</v>
      </c>
      <c r="K892" t="str">
        <f t="shared" si="41"/>
        <v>ACTIVE</v>
      </c>
    </row>
    <row r="893" spans="1:11">
      <c r="A893">
        <v>1402</v>
      </c>
      <c r="B893" t="s">
        <v>149</v>
      </c>
      <c r="C893" s="1">
        <v>45565</v>
      </c>
      <c r="D893" s="2" t="s">
        <v>23</v>
      </c>
      <c r="E893" t="s">
        <v>31</v>
      </c>
      <c r="G893" s="3">
        <v>1721</v>
      </c>
      <c r="H893" t="s">
        <v>175</v>
      </c>
      <c r="I893" s="3" t="str">
        <f t="shared" si="39"/>
        <v>2024-09</v>
      </c>
      <c r="J893" s="1">
        <f t="shared" si="40"/>
        <v>45795</v>
      </c>
      <c r="K893" t="str">
        <f t="shared" si="41"/>
        <v>ACTIVE</v>
      </c>
    </row>
    <row r="894" spans="1:11">
      <c r="A894">
        <v>916</v>
      </c>
      <c r="B894" t="s">
        <v>85</v>
      </c>
      <c r="C894" s="1">
        <v>45543</v>
      </c>
      <c r="D894" s="2" t="s">
        <v>28</v>
      </c>
      <c r="E894" t="s">
        <v>35</v>
      </c>
      <c r="G894" s="3">
        <v>305</v>
      </c>
      <c r="H894" t="s">
        <v>173</v>
      </c>
      <c r="I894" s="3" t="str">
        <f t="shared" si="39"/>
        <v>2024-09</v>
      </c>
      <c r="J894" s="1">
        <f t="shared" si="40"/>
        <v>45826</v>
      </c>
      <c r="K894" t="str">
        <f t="shared" si="41"/>
        <v>ACTIVE</v>
      </c>
    </row>
    <row r="895" spans="1:11">
      <c r="A895">
        <v>419</v>
      </c>
      <c r="B895" t="s">
        <v>58</v>
      </c>
      <c r="C895" s="1">
        <v>45345</v>
      </c>
      <c r="D895" s="2" t="s">
        <v>28</v>
      </c>
      <c r="E895" t="s">
        <v>30</v>
      </c>
      <c r="G895" s="3">
        <v>561</v>
      </c>
      <c r="H895" t="s">
        <v>172</v>
      </c>
      <c r="I895" s="3" t="str">
        <f t="shared" si="39"/>
        <v>2024-02</v>
      </c>
      <c r="J895" s="1">
        <f t="shared" si="40"/>
        <v>45752</v>
      </c>
      <c r="K895" t="str">
        <f t="shared" si="41"/>
        <v>ACTIVE</v>
      </c>
    </row>
    <row r="896" spans="1:11">
      <c r="A896">
        <v>1195</v>
      </c>
      <c r="B896" t="s">
        <v>110</v>
      </c>
      <c r="C896" s="1">
        <v>45446</v>
      </c>
      <c r="D896" s="2" t="s">
        <v>24</v>
      </c>
      <c r="E896" t="s">
        <v>35</v>
      </c>
      <c r="G896" s="3">
        <v>2049</v>
      </c>
      <c r="H896" t="s">
        <v>173</v>
      </c>
      <c r="I896" s="3" t="str">
        <f t="shared" si="39"/>
        <v>2024-06</v>
      </c>
      <c r="J896" s="1">
        <f t="shared" si="40"/>
        <v>45816</v>
      </c>
      <c r="K896" t="str">
        <f t="shared" si="41"/>
        <v>ACTIVE</v>
      </c>
    </row>
    <row r="897" spans="1:11">
      <c r="A897">
        <v>1694</v>
      </c>
      <c r="B897" t="s">
        <v>140</v>
      </c>
      <c r="C897" s="1">
        <v>45425</v>
      </c>
      <c r="D897" s="2" t="s">
        <v>27</v>
      </c>
      <c r="E897" t="s">
        <v>32</v>
      </c>
      <c r="G897" s="3">
        <v>5401</v>
      </c>
      <c r="H897" t="s">
        <v>176</v>
      </c>
      <c r="I897" s="3" t="str">
        <f t="shared" si="39"/>
        <v>2024-05</v>
      </c>
      <c r="J897" s="1">
        <f t="shared" si="40"/>
        <v>45812</v>
      </c>
      <c r="K897" t="str">
        <f t="shared" si="41"/>
        <v>ACTIVE</v>
      </c>
    </row>
    <row r="898" spans="1:11">
      <c r="A898">
        <v>1667</v>
      </c>
      <c r="B898" t="s">
        <v>96</v>
      </c>
      <c r="C898" s="1">
        <v>45720</v>
      </c>
      <c r="D898" s="2" t="s">
        <v>24</v>
      </c>
      <c r="E898" t="s">
        <v>32</v>
      </c>
      <c r="G898" s="3">
        <v>1132</v>
      </c>
      <c r="H898" t="s">
        <v>172</v>
      </c>
      <c r="I898" s="3" t="str">
        <f t="shared" si="39"/>
        <v>2025-03</v>
      </c>
      <c r="J898" s="1">
        <f t="shared" si="40"/>
        <v>45798</v>
      </c>
      <c r="K898" t="str">
        <f t="shared" si="41"/>
        <v>ACTIVE</v>
      </c>
    </row>
    <row r="899" spans="1:11">
      <c r="A899">
        <v>574</v>
      </c>
      <c r="B899" t="s">
        <v>98</v>
      </c>
      <c r="C899" s="1">
        <v>45436</v>
      </c>
      <c r="D899" s="2" t="s">
        <v>25</v>
      </c>
      <c r="E899" t="s">
        <v>32</v>
      </c>
      <c r="G899" s="3">
        <v>449</v>
      </c>
      <c r="H899" t="s">
        <v>172</v>
      </c>
      <c r="I899" s="3" t="str">
        <f t="shared" ref="I899:I962" si="42">TEXT(C899, "yyyy-mm")</f>
        <v>2024-05</v>
      </c>
      <c r="J899" s="1">
        <f t="shared" ref="J899:J962" si="43">_xlfn.MAXIFS(C:C, B:B, B899)</f>
        <v>45767</v>
      </c>
      <c r="K899" t="str">
        <f t="shared" ref="K899:K962" si="44">IF($L$3-J899&gt;90, "LAPSED","ACTIVE")</f>
        <v>ACTIVE</v>
      </c>
    </row>
    <row r="900" spans="1:11">
      <c r="A900">
        <v>921</v>
      </c>
      <c r="B900" t="s">
        <v>49</v>
      </c>
      <c r="C900" s="1">
        <v>45436</v>
      </c>
      <c r="D900" s="2" t="s">
        <v>27</v>
      </c>
      <c r="E900" t="s">
        <v>34</v>
      </c>
      <c r="G900" s="3">
        <v>514</v>
      </c>
      <c r="H900" t="s">
        <v>173</v>
      </c>
      <c r="I900" s="3" t="str">
        <f t="shared" si="42"/>
        <v>2024-05</v>
      </c>
      <c r="J900" s="1">
        <f t="shared" si="43"/>
        <v>45812</v>
      </c>
      <c r="K900" t="str">
        <f t="shared" si="44"/>
        <v>ACTIVE</v>
      </c>
    </row>
    <row r="901" spans="1:11">
      <c r="A901">
        <v>1540</v>
      </c>
      <c r="B901" t="s">
        <v>114</v>
      </c>
      <c r="C901" s="1">
        <v>45667</v>
      </c>
      <c r="D901" s="2" t="s">
        <v>25</v>
      </c>
      <c r="E901" t="s">
        <v>31</v>
      </c>
      <c r="G901" s="3">
        <v>1994</v>
      </c>
      <c r="H901" t="s">
        <v>173</v>
      </c>
      <c r="I901" s="3" t="str">
        <f t="shared" si="42"/>
        <v>2025-01</v>
      </c>
      <c r="J901" s="1">
        <f t="shared" si="43"/>
        <v>45815</v>
      </c>
      <c r="K901" t="str">
        <f t="shared" si="44"/>
        <v>ACTIVE</v>
      </c>
    </row>
    <row r="902" spans="1:11">
      <c r="A902">
        <v>333</v>
      </c>
      <c r="B902" t="s">
        <v>90</v>
      </c>
      <c r="C902" s="1">
        <v>45573</v>
      </c>
      <c r="D902" s="2" t="s">
        <v>28</v>
      </c>
      <c r="E902" t="s">
        <v>31</v>
      </c>
      <c r="G902" s="3">
        <v>270</v>
      </c>
      <c r="H902" t="s">
        <v>173</v>
      </c>
      <c r="I902" s="3" t="str">
        <f t="shared" si="42"/>
        <v>2024-10</v>
      </c>
      <c r="J902" s="1">
        <f t="shared" si="43"/>
        <v>45788</v>
      </c>
      <c r="K902" t="str">
        <f t="shared" si="44"/>
        <v>ACTIVE</v>
      </c>
    </row>
    <row r="903" spans="1:11">
      <c r="A903">
        <v>852</v>
      </c>
      <c r="B903" t="s">
        <v>67</v>
      </c>
      <c r="C903" s="1">
        <v>45413</v>
      </c>
      <c r="D903" s="2" t="s">
        <v>28</v>
      </c>
      <c r="E903" t="s">
        <v>32</v>
      </c>
      <c r="G903" s="3">
        <v>2688</v>
      </c>
      <c r="H903" t="s">
        <v>172</v>
      </c>
      <c r="I903" s="3" t="str">
        <f t="shared" si="42"/>
        <v>2024-05</v>
      </c>
      <c r="J903" s="1">
        <f t="shared" si="43"/>
        <v>45794</v>
      </c>
      <c r="K903" t="str">
        <f t="shared" si="44"/>
        <v>ACTIVE</v>
      </c>
    </row>
    <row r="904" spans="1:11">
      <c r="A904">
        <v>811</v>
      </c>
      <c r="B904" t="s">
        <v>149</v>
      </c>
      <c r="C904" s="1">
        <v>45535</v>
      </c>
      <c r="D904" s="2" t="s">
        <v>23</v>
      </c>
      <c r="E904" t="s">
        <v>32</v>
      </c>
      <c r="G904" s="3">
        <v>4269</v>
      </c>
      <c r="H904" t="s">
        <v>174</v>
      </c>
      <c r="I904" s="3" t="str">
        <f t="shared" si="42"/>
        <v>2024-08</v>
      </c>
      <c r="J904" s="1">
        <f t="shared" si="43"/>
        <v>45795</v>
      </c>
      <c r="K904" t="str">
        <f t="shared" si="44"/>
        <v>ACTIVE</v>
      </c>
    </row>
    <row r="905" spans="1:11">
      <c r="A905">
        <v>736</v>
      </c>
      <c r="B905" t="s">
        <v>141</v>
      </c>
      <c r="C905" s="1">
        <v>45316</v>
      </c>
      <c r="D905" s="2" t="s">
        <v>23</v>
      </c>
      <c r="E905" t="s">
        <v>31</v>
      </c>
      <c r="G905" s="3">
        <v>677</v>
      </c>
      <c r="H905" t="s">
        <v>176</v>
      </c>
      <c r="I905" s="3" t="str">
        <f t="shared" si="42"/>
        <v>2024-01</v>
      </c>
      <c r="J905" s="1">
        <f t="shared" si="43"/>
        <v>45773</v>
      </c>
      <c r="K905" t="str">
        <f t="shared" si="44"/>
        <v>ACTIVE</v>
      </c>
    </row>
    <row r="906" spans="1:11">
      <c r="A906">
        <v>902</v>
      </c>
      <c r="B906" t="s">
        <v>158</v>
      </c>
      <c r="C906" s="1">
        <v>45400</v>
      </c>
      <c r="D906" s="2" t="s">
        <v>28</v>
      </c>
      <c r="E906" t="s">
        <v>30</v>
      </c>
      <c r="G906" s="3">
        <v>2870</v>
      </c>
      <c r="H906" t="s">
        <v>175</v>
      </c>
      <c r="I906" s="3" t="str">
        <f t="shared" si="42"/>
        <v>2024-04</v>
      </c>
      <c r="J906" s="1">
        <f t="shared" si="43"/>
        <v>45740</v>
      </c>
      <c r="K906" t="str">
        <f t="shared" si="44"/>
        <v>LAPSED</v>
      </c>
    </row>
    <row r="907" spans="1:11">
      <c r="A907">
        <v>1631</v>
      </c>
      <c r="B907" t="s">
        <v>56</v>
      </c>
      <c r="C907" s="1">
        <v>45409</v>
      </c>
      <c r="D907" s="2" t="s">
        <v>28</v>
      </c>
      <c r="E907" t="s">
        <v>34</v>
      </c>
      <c r="G907" s="3">
        <v>1639</v>
      </c>
      <c r="H907" t="s">
        <v>176</v>
      </c>
      <c r="I907" s="3" t="str">
        <f t="shared" si="42"/>
        <v>2024-04</v>
      </c>
      <c r="J907" s="1">
        <f t="shared" si="43"/>
        <v>45805</v>
      </c>
      <c r="K907" t="str">
        <f t="shared" si="44"/>
        <v>ACTIVE</v>
      </c>
    </row>
    <row r="908" spans="1:11">
      <c r="A908">
        <v>575</v>
      </c>
      <c r="B908" t="s">
        <v>94</v>
      </c>
      <c r="C908" s="1">
        <v>45391</v>
      </c>
      <c r="D908" s="2" t="s">
        <v>23</v>
      </c>
      <c r="E908" t="s">
        <v>33</v>
      </c>
      <c r="G908" s="3">
        <v>1127</v>
      </c>
      <c r="H908" t="s">
        <v>176</v>
      </c>
      <c r="I908" s="3" t="str">
        <f t="shared" si="42"/>
        <v>2024-04</v>
      </c>
      <c r="J908" s="1">
        <f t="shared" si="43"/>
        <v>45824</v>
      </c>
      <c r="K908" t="str">
        <f t="shared" si="44"/>
        <v>ACTIVE</v>
      </c>
    </row>
    <row r="909" spans="1:11">
      <c r="A909">
        <v>1558</v>
      </c>
      <c r="B909" t="s">
        <v>132</v>
      </c>
      <c r="C909" s="1">
        <v>45488</v>
      </c>
      <c r="D909" s="2" t="s">
        <v>24</v>
      </c>
      <c r="E909" t="s">
        <v>32</v>
      </c>
      <c r="G909" s="3">
        <v>8596</v>
      </c>
      <c r="H909" t="s">
        <v>175</v>
      </c>
      <c r="I909" s="3" t="str">
        <f t="shared" si="42"/>
        <v>2024-07</v>
      </c>
      <c r="J909" s="1">
        <f t="shared" si="43"/>
        <v>45822</v>
      </c>
      <c r="K909" t="str">
        <f t="shared" si="44"/>
        <v>ACTIVE</v>
      </c>
    </row>
    <row r="910" spans="1:11">
      <c r="A910">
        <v>1329</v>
      </c>
      <c r="B910" t="s">
        <v>135</v>
      </c>
      <c r="C910" s="1">
        <v>45674</v>
      </c>
      <c r="D910" s="2" t="s">
        <v>27</v>
      </c>
      <c r="E910" t="s">
        <v>31</v>
      </c>
      <c r="G910" s="3">
        <v>248</v>
      </c>
      <c r="H910" t="s">
        <v>173</v>
      </c>
      <c r="I910" s="3" t="str">
        <f t="shared" si="42"/>
        <v>2025-01</v>
      </c>
      <c r="J910" s="1">
        <f t="shared" si="43"/>
        <v>45785</v>
      </c>
      <c r="K910" t="str">
        <f t="shared" si="44"/>
        <v>ACTIVE</v>
      </c>
    </row>
    <row r="911" spans="1:11">
      <c r="A911">
        <v>1585</v>
      </c>
      <c r="B911" t="s">
        <v>42</v>
      </c>
      <c r="C911" s="1">
        <v>45483</v>
      </c>
      <c r="D911" s="2" t="s">
        <v>23</v>
      </c>
      <c r="E911" t="s">
        <v>32</v>
      </c>
      <c r="G911" s="3">
        <v>2380</v>
      </c>
      <c r="H911" t="s">
        <v>176</v>
      </c>
      <c r="I911" s="3" t="str">
        <f t="shared" si="42"/>
        <v>2024-07</v>
      </c>
      <c r="J911" s="1">
        <f t="shared" si="43"/>
        <v>45803</v>
      </c>
      <c r="K911" t="str">
        <f t="shared" si="44"/>
        <v>ACTIVE</v>
      </c>
    </row>
    <row r="912" spans="1:11">
      <c r="A912">
        <v>1652</v>
      </c>
      <c r="B912" t="s">
        <v>63</v>
      </c>
      <c r="C912" s="1">
        <v>45633</v>
      </c>
      <c r="D912" s="2" t="s">
        <v>27</v>
      </c>
      <c r="E912" t="s">
        <v>35</v>
      </c>
      <c r="G912" s="3">
        <v>647</v>
      </c>
      <c r="H912" t="s">
        <v>173</v>
      </c>
      <c r="I912" s="3" t="str">
        <f t="shared" si="42"/>
        <v>2024-12</v>
      </c>
      <c r="J912" s="1">
        <f t="shared" si="43"/>
        <v>45805</v>
      </c>
      <c r="K912" t="str">
        <f t="shared" si="44"/>
        <v>ACTIVE</v>
      </c>
    </row>
    <row r="913" spans="1:11">
      <c r="A913">
        <v>1464</v>
      </c>
      <c r="B913" t="s">
        <v>149</v>
      </c>
      <c r="C913" s="1">
        <v>45782</v>
      </c>
      <c r="D913" s="2" t="s">
        <v>24</v>
      </c>
      <c r="E913" t="s">
        <v>34</v>
      </c>
      <c r="G913" s="3">
        <v>5707</v>
      </c>
      <c r="H913" t="s">
        <v>173</v>
      </c>
      <c r="I913" s="3" t="str">
        <f t="shared" si="42"/>
        <v>2025-05</v>
      </c>
      <c r="J913" s="1">
        <f t="shared" si="43"/>
        <v>45795</v>
      </c>
      <c r="K913" t="str">
        <f t="shared" si="44"/>
        <v>ACTIVE</v>
      </c>
    </row>
    <row r="914" spans="1:11">
      <c r="A914">
        <v>1045</v>
      </c>
      <c r="B914" t="s">
        <v>84</v>
      </c>
      <c r="C914" s="1">
        <v>45502</v>
      </c>
      <c r="D914" s="2" t="s">
        <v>27</v>
      </c>
      <c r="E914" t="s">
        <v>30</v>
      </c>
      <c r="G914" s="3">
        <v>760</v>
      </c>
      <c r="H914" t="s">
        <v>174</v>
      </c>
      <c r="I914" s="3" t="str">
        <f t="shared" si="42"/>
        <v>2024-07</v>
      </c>
      <c r="J914" s="1">
        <f t="shared" si="43"/>
        <v>45827</v>
      </c>
      <c r="K914" t="str">
        <f t="shared" si="44"/>
        <v>ACTIVE</v>
      </c>
    </row>
    <row r="915" spans="1:11">
      <c r="A915">
        <v>1601</v>
      </c>
      <c r="B915" t="s">
        <v>123</v>
      </c>
      <c r="C915" s="1">
        <v>45416</v>
      </c>
      <c r="D915" s="2" t="s">
        <v>23</v>
      </c>
      <c r="E915" t="s">
        <v>35</v>
      </c>
      <c r="G915" s="3">
        <v>307</v>
      </c>
      <c r="H915" t="s">
        <v>175</v>
      </c>
      <c r="I915" s="3" t="str">
        <f t="shared" si="42"/>
        <v>2024-05</v>
      </c>
      <c r="J915" s="1">
        <f t="shared" si="43"/>
        <v>45772</v>
      </c>
      <c r="K915" t="str">
        <f t="shared" si="44"/>
        <v>ACTIVE</v>
      </c>
    </row>
    <row r="916" spans="1:11">
      <c r="A916">
        <v>1419</v>
      </c>
      <c r="B916" t="s">
        <v>102</v>
      </c>
      <c r="C916" s="1">
        <v>45763</v>
      </c>
      <c r="D916" s="2" t="s">
        <v>28</v>
      </c>
      <c r="E916" t="s">
        <v>30</v>
      </c>
      <c r="G916" s="3">
        <v>765</v>
      </c>
      <c r="H916" t="s">
        <v>173</v>
      </c>
      <c r="I916" s="3" t="str">
        <f t="shared" si="42"/>
        <v>2025-04</v>
      </c>
      <c r="J916" s="1">
        <f t="shared" si="43"/>
        <v>45793</v>
      </c>
      <c r="K916" t="str">
        <f t="shared" si="44"/>
        <v>ACTIVE</v>
      </c>
    </row>
    <row r="917" spans="1:11">
      <c r="A917">
        <v>9</v>
      </c>
      <c r="B917" t="s">
        <v>56</v>
      </c>
      <c r="C917" s="1">
        <v>45761</v>
      </c>
      <c r="D917" s="2" t="s">
        <v>24</v>
      </c>
      <c r="E917" t="s">
        <v>33</v>
      </c>
      <c r="G917" s="3">
        <v>2196</v>
      </c>
      <c r="H917" t="s">
        <v>175</v>
      </c>
      <c r="I917" s="3" t="str">
        <f t="shared" si="42"/>
        <v>2025-04</v>
      </c>
      <c r="J917" s="1">
        <f t="shared" si="43"/>
        <v>45805</v>
      </c>
      <c r="K917" t="str">
        <f t="shared" si="44"/>
        <v>ACTIVE</v>
      </c>
    </row>
    <row r="918" spans="1:11">
      <c r="A918">
        <v>1035</v>
      </c>
      <c r="B918" t="s">
        <v>65</v>
      </c>
      <c r="C918" s="1">
        <v>45811</v>
      </c>
      <c r="D918" s="2" t="s">
        <v>24</v>
      </c>
      <c r="E918" t="s">
        <v>32</v>
      </c>
      <c r="G918" s="3">
        <v>276</v>
      </c>
      <c r="H918" t="s">
        <v>172</v>
      </c>
      <c r="I918" s="3" t="str">
        <f t="shared" si="42"/>
        <v>2025-06</v>
      </c>
      <c r="J918" s="1">
        <f t="shared" si="43"/>
        <v>45813</v>
      </c>
      <c r="K918" t="str">
        <f t="shared" si="44"/>
        <v>ACTIVE</v>
      </c>
    </row>
    <row r="919" spans="1:11">
      <c r="A919">
        <v>1677</v>
      </c>
      <c r="B919" t="s">
        <v>50</v>
      </c>
      <c r="C919" s="1">
        <v>45356</v>
      </c>
      <c r="D919" s="2" t="s">
        <v>24</v>
      </c>
      <c r="E919" t="s">
        <v>34</v>
      </c>
      <c r="G919" s="3">
        <v>2399</v>
      </c>
      <c r="H919" t="s">
        <v>176</v>
      </c>
      <c r="I919" s="3" t="str">
        <f t="shared" si="42"/>
        <v>2024-03</v>
      </c>
      <c r="J919" s="1">
        <f t="shared" si="43"/>
        <v>45831</v>
      </c>
      <c r="K919" t="str">
        <f t="shared" si="44"/>
        <v>ACTIVE</v>
      </c>
    </row>
    <row r="920" spans="1:11">
      <c r="A920">
        <v>1561</v>
      </c>
      <c r="B920" t="s">
        <v>45</v>
      </c>
      <c r="C920" s="1">
        <v>45318</v>
      </c>
      <c r="D920" s="2" t="s">
        <v>25</v>
      </c>
      <c r="E920" t="s">
        <v>32</v>
      </c>
      <c r="G920" s="3">
        <v>8224</v>
      </c>
      <c r="H920" t="s">
        <v>174</v>
      </c>
      <c r="I920" s="3" t="str">
        <f t="shared" si="42"/>
        <v>2024-01</v>
      </c>
      <c r="J920" s="1">
        <f t="shared" si="43"/>
        <v>45829</v>
      </c>
      <c r="K920" t="str">
        <f t="shared" si="44"/>
        <v>ACTIVE</v>
      </c>
    </row>
    <row r="921" spans="1:11">
      <c r="A921">
        <v>1222</v>
      </c>
      <c r="B921" t="s">
        <v>155</v>
      </c>
      <c r="C921" s="1">
        <v>45698</v>
      </c>
      <c r="D921" s="2" t="s">
        <v>25</v>
      </c>
      <c r="E921" t="s">
        <v>35</v>
      </c>
      <c r="G921" s="3">
        <v>298</v>
      </c>
      <c r="H921" t="s">
        <v>174</v>
      </c>
      <c r="I921" s="3" t="str">
        <f t="shared" si="42"/>
        <v>2025-02</v>
      </c>
      <c r="J921" s="1">
        <f t="shared" si="43"/>
        <v>45698</v>
      </c>
      <c r="K921" t="str">
        <f t="shared" si="44"/>
        <v>LAPSED</v>
      </c>
    </row>
    <row r="922" spans="1:11">
      <c r="A922">
        <v>1622</v>
      </c>
      <c r="B922" t="s">
        <v>61</v>
      </c>
      <c r="C922" s="1">
        <v>45411</v>
      </c>
      <c r="D922" s="2" t="s">
        <v>28</v>
      </c>
      <c r="E922" t="s">
        <v>35</v>
      </c>
      <c r="G922" s="3">
        <v>240</v>
      </c>
      <c r="H922" t="s">
        <v>175</v>
      </c>
      <c r="I922" s="3" t="str">
        <f t="shared" si="42"/>
        <v>2024-04</v>
      </c>
      <c r="J922" s="1">
        <f t="shared" si="43"/>
        <v>45815</v>
      </c>
      <c r="K922" t="str">
        <f t="shared" si="44"/>
        <v>ACTIVE</v>
      </c>
    </row>
    <row r="923" spans="1:11">
      <c r="A923">
        <v>305</v>
      </c>
      <c r="B923" t="s">
        <v>48</v>
      </c>
      <c r="C923" s="1">
        <v>45665</v>
      </c>
      <c r="D923" s="2" t="s">
        <v>24</v>
      </c>
      <c r="E923" t="s">
        <v>30</v>
      </c>
      <c r="G923" s="3">
        <v>776</v>
      </c>
      <c r="H923" t="s">
        <v>174</v>
      </c>
      <c r="I923" s="3" t="str">
        <f t="shared" si="42"/>
        <v>2025-01</v>
      </c>
      <c r="J923" s="1">
        <f t="shared" si="43"/>
        <v>45809</v>
      </c>
      <c r="K923" t="str">
        <f t="shared" si="44"/>
        <v>ACTIVE</v>
      </c>
    </row>
    <row r="924" spans="1:11">
      <c r="A924">
        <v>1368</v>
      </c>
      <c r="B924" t="s">
        <v>125</v>
      </c>
      <c r="C924" s="1">
        <v>45484</v>
      </c>
      <c r="D924" s="2" t="s">
        <v>25</v>
      </c>
      <c r="E924" t="s">
        <v>35</v>
      </c>
      <c r="G924" s="3">
        <v>998</v>
      </c>
      <c r="H924" t="s">
        <v>176</v>
      </c>
      <c r="I924" s="3" t="str">
        <f t="shared" si="42"/>
        <v>2024-07</v>
      </c>
      <c r="J924" s="1">
        <f t="shared" si="43"/>
        <v>45784</v>
      </c>
      <c r="K924" t="str">
        <f t="shared" si="44"/>
        <v>ACTIVE</v>
      </c>
    </row>
    <row r="925" spans="1:11">
      <c r="A925">
        <v>1571</v>
      </c>
      <c r="B925" t="s">
        <v>44</v>
      </c>
      <c r="C925" s="1">
        <v>45814</v>
      </c>
      <c r="D925" s="2" t="s">
        <v>25</v>
      </c>
      <c r="E925" t="s">
        <v>32</v>
      </c>
      <c r="G925" s="3">
        <v>2285</v>
      </c>
      <c r="H925" t="s">
        <v>176</v>
      </c>
      <c r="I925" s="3" t="str">
        <f t="shared" si="42"/>
        <v>2025-06</v>
      </c>
      <c r="J925" s="1">
        <f t="shared" si="43"/>
        <v>45814</v>
      </c>
      <c r="K925" t="str">
        <f t="shared" si="44"/>
        <v>ACTIVE</v>
      </c>
    </row>
    <row r="926" spans="1:11">
      <c r="A926">
        <v>75</v>
      </c>
      <c r="B926" t="s">
        <v>127</v>
      </c>
      <c r="C926" s="1">
        <v>45734</v>
      </c>
      <c r="D926" s="2" t="s">
        <v>24</v>
      </c>
      <c r="E926" t="s">
        <v>35</v>
      </c>
      <c r="G926" s="3">
        <v>2026</v>
      </c>
      <c r="H926" t="s">
        <v>172</v>
      </c>
      <c r="I926" s="3" t="str">
        <f t="shared" si="42"/>
        <v>2025-03</v>
      </c>
      <c r="J926" s="1">
        <f t="shared" si="43"/>
        <v>45794</v>
      </c>
      <c r="K926" t="str">
        <f t="shared" si="44"/>
        <v>ACTIVE</v>
      </c>
    </row>
    <row r="927" spans="1:11">
      <c r="A927">
        <v>1548</v>
      </c>
      <c r="B927" t="s">
        <v>125</v>
      </c>
      <c r="C927" s="1">
        <v>45308</v>
      </c>
      <c r="D927" s="2" t="s">
        <v>28</v>
      </c>
      <c r="E927" t="s">
        <v>31</v>
      </c>
      <c r="G927" s="3">
        <v>1442</v>
      </c>
      <c r="H927" t="s">
        <v>175</v>
      </c>
      <c r="I927" s="3" t="str">
        <f t="shared" si="42"/>
        <v>2024-01</v>
      </c>
      <c r="J927" s="1">
        <f t="shared" si="43"/>
        <v>45784</v>
      </c>
      <c r="K927" t="str">
        <f t="shared" si="44"/>
        <v>ACTIVE</v>
      </c>
    </row>
    <row r="928" spans="1:11">
      <c r="A928">
        <v>523</v>
      </c>
      <c r="B928" t="s">
        <v>124</v>
      </c>
      <c r="C928" s="1">
        <v>45607</v>
      </c>
      <c r="D928" s="2" t="s">
        <v>24</v>
      </c>
      <c r="E928" t="s">
        <v>30</v>
      </c>
      <c r="G928" s="3">
        <v>454</v>
      </c>
      <c r="H928" t="s">
        <v>176</v>
      </c>
      <c r="I928" s="3" t="str">
        <f t="shared" si="42"/>
        <v>2024-11</v>
      </c>
      <c r="J928" s="1">
        <f t="shared" si="43"/>
        <v>45793</v>
      </c>
      <c r="K928" t="str">
        <f t="shared" si="44"/>
        <v>ACTIVE</v>
      </c>
    </row>
    <row r="929" spans="1:11">
      <c r="A929">
        <v>336</v>
      </c>
      <c r="B929" t="s">
        <v>121</v>
      </c>
      <c r="C929" s="1">
        <v>45619</v>
      </c>
      <c r="D929" s="2" t="s">
        <v>27</v>
      </c>
      <c r="E929" t="s">
        <v>30</v>
      </c>
      <c r="G929" s="3">
        <v>531</v>
      </c>
      <c r="H929" t="s">
        <v>174</v>
      </c>
      <c r="I929" s="3" t="str">
        <f t="shared" si="42"/>
        <v>2024-11</v>
      </c>
      <c r="J929" s="1">
        <f t="shared" si="43"/>
        <v>45798</v>
      </c>
      <c r="K929" t="str">
        <f t="shared" si="44"/>
        <v>ACTIVE</v>
      </c>
    </row>
    <row r="930" spans="1:11">
      <c r="A930">
        <v>570</v>
      </c>
      <c r="B930" t="s">
        <v>116</v>
      </c>
      <c r="C930" s="1">
        <v>45588</v>
      </c>
      <c r="D930" s="2" t="s">
        <v>27</v>
      </c>
      <c r="E930" t="s">
        <v>33</v>
      </c>
      <c r="G930" s="3">
        <v>8157</v>
      </c>
      <c r="H930" t="s">
        <v>173</v>
      </c>
      <c r="I930" s="3" t="str">
        <f t="shared" si="42"/>
        <v>2024-10</v>
      </c>
      <c r="J930" s="1">
        <f t="shared" si="43"/>
        <v>45829</v>
      </c>
      <c r="K930" t="str">
        <f t="shared" si="44"/>
        <v>ACTIVE</v>
      </c>
    </row>
    <row r="931" spans="1:11">
      <c r="A931">
        <v>591</v>
      </c>
      <c r="B931" t="s">
        <v>89</v>
      </c>
      <c r="C931" s="1">
        <v>45297</v>
      </c>
      <c r="D931" s="2" t="s">
        <v>25</v>
      </c>
      <c r="E931" t="s">
        <v>34</v>
      </c>
      <c r="G931" s="3">
        <v>328</v>
      </c>
      <c r="H931" t="s">
        <v>175</v>
      </c>
      <c r="I931" s="3" t="str">
        <f t="shared" si="42"/>
        <v>2024-01</v>
      </c>
      <c r="J931" s="1">
        <f t="shared" si="43"/>
        <v>45826</v>
      </c>
      <c r="K931" t="str">
        <f t="shared" si="44"/>
        <v>ACTIVE</v>
      </c>
    </row>
    <row r="932" spans="1:11">
      <c r="A932">
        <v>89</v>
      </c>
      <c r="B932" t="s">
        <v>51</v>
      </c>
      <c r="C932" s="1">
        <v>45736</v>
      </c>
      <c r="D932" s="2" t="s">
        <v>25</v>
      </c>
      <c r="E932" t="s">
        <v>32</v>
      </c>
      <c r="G932" s="3">
        <v>1616</v>
      </c>
      <c r="H932" t="s">
        <v>176</v>
      </c>
      <c r="I932" s="3" t="str">
        <f t="shared" si="42"/>
        <v>2025-03</v>
      </c>
      <c r="J932" s="1">
        <f t="shared" si="43"/>
        <v>45775</v>
      </c>
      <c r="K932" t="str">
        <f t="shared" si="44"/>
        <v>ACTIVE</v>
      </c>
    </row>
    <row r="933" spans="1:11">
      <c r="A933">
        <v>875</v>
      </c>
      <c r="B933" t="s">
        <v>99</v>
      </c>
      <c r="C933" s="1">
        <v>45724</v>
      </c>
      <c r="D933" s="2" t="s">
        <v>28</v>
      </c>
      <c r="E933" t="s">
        <v>33</v>
      </c>
      <c r="G933" s="3">
        <v>5939</v>
      </c>
      <c r="H933" t="s">
        <v>174</v>
      </c>
      <c r="I933" s="3" t="str">
        <f t="shared" si="42"/>
        <v>2025-03</v>
      </c>
      <c r="J933" s="1">
        <f t="shared" si="43"/>
        <v>45828</v>
      </c>
      <c r="K933" t="str">
        <f t="shared" si="44"/>
        <v>ACTIVE</v>
      </c>
    </row>
    <row r="934" spans="1:11">
      <c r="A934">
        <v>810</v>
      </c>
      <c r="B934" t="s">
        <v>129</v>
      </c>
      <c r="C934" s="1">
        <v>45730</v>
      </c>
      <c r="D934" s="2" t="s">
        <v>27</v>
      </c>
      <c r="E934" t="s">
        <v>35</v>
      </c>
      <c r="G934" s="3">
        <v>824</v>
      </c>
      <c r="H934" t="s">
        <v>174</v>
      </c>
      <c r="I934" s="3" t="str">
        <f t="shared" si="42"/>
        <v>2025-03</v>
      </c>
      <c r="J934" s="1">
        <f t="shared" si="43"/>
        <v>45812</v>
      </c>
      <c r="K934" t="str">
        <f t="shared" si="44"/>
        <v>ACTIVE</v>
      </c>
    </row>
    <row r="935" spans="1:11">
      <c r="A935">
        <v>1362</v>
      </c>
      <c r="B935" t="s">
        <v>88</v>
      </c>
      <c r="C935" s="1">
        <v>45647</v>
      </c>
      <c r="D935" s="2" t="s">
        <v>27</v>
      </c>
      <c r="E935" t="s">
        <v>35</v>
      </c>
      <c r="G935" s="3">
        <v>712</v>
      </c>
      <c r="H935" t="s">
        <v>174</v>
      </c>
      <c r="I935" s="3" t="str">
        <f t="shared" si="42"/>
        <v>2024-12</v>
      </c>
      <c r="J935" s="1">
        <f t="shared" si="43"/>
        <v>45763</v>
      </c>
      <c r="K935" t="str">
        <f t="shared" si="44"/>
        <v>ACTIVE</v>
      </c>
    </row>
    <row r="936" spans="1:11">
      <c r="A936">
        <v>218</v>
      </c>
      <c r="B936" t="s">
        <v>102</v>
      </c>
      <c r="C936" s="1">
        <v>45352</v>
      </c>
      <c r="D936" s="2" t="s">
        <v>25</v>
      </c>
      <c r="E936" t="s">
        <v>34</v>
      </c>
      <c r="G936" s="3">
        <v>553</v>
      </c>
      <c r="H936" t="s">
        <v>173</v>
      </c>
      <c r="I936" s="3" t="str">
        <f t="shared" si="42"/>
        <v>2024-03</v>
      </c>
      <c r="J936" s="1">
        <f t="shared" si="43"/>
        <v>45793</v>
      </c>
      <c r="K936" t="str">
        <f t="shared" si="44"/>
        <v>ACTIVE</v>
      </c>
    </row>
    <row r="937" spans="1:11">
      <c r="A937">
        <v>889</v>
      </c>
      <c r="B937" t="s">
        <v>125</v>
      </c>
      <c r="C937" s="1">
        <v>45651</v>
      </c>
      <c r="D937" s="2" t="s">
        <v>28</v>
      </c>
      <c r="E937" t="s">
        <v>33</v>
      </c>
      <c r="G937" s="3">
        <v>5790</v>
      </c>
      <c r="H937" t="s">
        <v>172</v>
      </c>
      <c r="I937" s="3" t="str">
        <f t="shared" si="42"/>
        <v>2024-12</v>
      </c>
      <c r="J937" s="1">
        <f t="shared" si="43"/>
        <v>45784</v>
      </c>
      <c r="K937" t="str">
        <f t="shared" si="44"/>
        <v>ACTIVE</v>
      </c>
    </row>
    <row r="938" spans="1:11">
      <c r="A938">
        <v>713</v>
      </c>
      <c r="B938" t="s">
        <v>79</v>
      </c>
      <c r="C938" s="1">
        <v>45777</v>
      </c>
      <c r="D938" s="2" t="s">
        <v>24</v>
      </c>
      <c r="E938" t="s">
        <v>35</v>
      </c>
      <c r="G938" s="3">
        <v>1251</v>
      </c>
      <c r="H938" t="s">
        <v>174</v>
      </c>
      <c r="I938" s="3" t="str">
        <f t="shared" si="42"/>
        <v>2025-04</v>
      </c>
      <c r="J938" s="1">
        <f t="shared" si="43"/>
        <v>45782</v>
      </c>
      <c r="K938" t="str">
        <f t="shared" si="44"/>
        <v>ACTIVE</v>
      </c>
    </row>
    <row r="939" spans="1:11">
      <c r="A939">
        <v>1245</v>
      </c>
      <c r="B939" t="s">
        <v>112</v>
      </c>
      <c r="C939" s="1">
        <v>45652</v>
      </c>
      <c r="D939" s="2" t="s">
        <v>23</v>
      </c>
      <c r="E939" t="s">
        <v>30</v>
      </c>
      <c r="G939" s="3">
        <v>1853</v>
      </c>
      <c r="H939" t="s">
        <v>174</v>
      </c>
      <c r="I939" s="3" t="str">
        <f t="shared" si="42"/>
        <v>2024-12</v>
      </c>
      <c r="J939" s="1">
        <f t="shared" si="43"/>
        <v>45815</v>
      </c>
      <c r="K939" t="str">
        <f t="shared" si="44"/>
        <v>ACTIVE</v>
      </c>
    </row>
    <row r="940" spans="1:11">
      <c r="A940">
        <v>857</v>
      </c>
      <c r="B940" t="s">
        <v>39</v>
      </c>
      <c r="C940" s="1">
        <v>45476</v>
      </c>
      <c r="D940" s="2" t="s">
        <v>23</v>
      </c>
      <c r="E940" t="s">
        <v>32</v>
      </c>
      <c r="G940" s="3">
        <v>4246</v>
      </c>
      <c r="H940" t="s">
        <v>172</v>
      </c>
      <c r="I940" s="3" t="str">
        <f t="shared" si="42"/>
        <v>2024-07</v>
      </c>
      <c r="J940" s="1">
        <f t="shared" si="43"/>
        <v>45795</v>
      </c>
      <c r="K940" t="str">
        <f t="shared" si="44"/>
        <v>ACTIVE</v>
      </c>
    </row>
    <row r="941" spans="1:11">
      <c r="A941">
        <v>174</v>
      </c>
      <c r="B941" t="s">
        <v>82</v>
      </c>
      <c r="C941" s="1">
        <v>45491</v>
      </c>
      <c r="D941" s="2" t="s">
        <v>23</v>
      </c>
      <c r="E941" t="s">
        <v>31</v>
      </c>
      <c r="G941" s="3">
        <v>955</v>
      </c>
      <c r="H941" t="s">
        <v>173</v>
      </c>
      <c r="I941" s="3" t="str">
        <f t="shared" si="42"/>
        <v>2024-07</v>
      </c>
      <c r="J941" s="1">
        <f t="shared" si="43"/>
        <v>45781</v>
      </c>
      <c r="K941" t="str">
        <f t="shared" si="44"/>
        <v>ACTIVE</v>
      </c>
    </row>
    <row r="942" spans="1:11">
      <c r="A942">
        <v>1669</v>
      </c>
      <c r="B942" t="s">
        <v>57</v>
      </c>
      <c r="C942" s="1">
        <v>45808</v>
      </c>
      <c r="D942" s="2" t="s">
        <v>28</v>
      </c>
      <c r="E942" t="s">
        <v>30</v>
      </c>
      <c r="G942" s="3">
        <v>774</v>
      </c>
      <c r="H942" t="s">
        <v>173</v>
      </c>
      <c r="I942" s="3" t="str">
        <f t="shared" si="42"/>
        <v>2025-05</v>
      </c>
      <c r="J942" s="1">
        <f t="shared" si="43"/>
        <v>45808</v>
      </c>
      <c r="K942" t="str">
        <f t="shared" si="44"/>
        <v>ACTIVE</v>
      </c>
    </row>
    <row r="943" spans="1:11">
      <c r="A943">
        <v>1252</v>
      </c>
      <c r="B943" t="s">
        <v>106</v>
      </c>
      <c r="C943" s="1">
        <v>45716</v>
      </c>
      <c r="D943" s="2" t="s">
        <v>23</v>
      </c>
      <c r="E943" t="s">
        <v>35</v>
      </c>
      <c r="G943" s="3">
        <v>1930</v>
      </c>
      <c r="H943" t="s">
        <v>175</v>
      </c>
      <c r="I943" s="3" t="str">
        <f t="shared" si="42"/>
        <v>2025-02</v>
      </c>
      <c r="J943" s="1">
        <f t="shared" si="43"/>
        <v>45760</v>
      </c>
      <c r="K943" t="str">
        <f t="shared" si="44"/>
        <v>ACTIVE</v>
      </c>
    </row>
    <row r="944" spans="1:11">
      <c r="A944">
        <v>222</v>
      </c>
      <c r="B944" t="s">
        <v>87</v>
      </c>
      <c r="C944" s="1">
        <v>45674</v>
      </c>
      <c r="D944" s="2" t="s">
        <v>28</v>
      </c>
      <c r="E944" t="s">
        <v>35</v>
      </c>
      <c r="G944" s="3">
        <v>2392</v>
      </c>
      <c r="H944" t="s">
        <v>172</v>
      </c>
      <c r="I944" s="3" t="str">
        <f t="shared" si="42"/>
        <v>2025-01</v>
      </c>
      <c r="J944" s="1">
        <f t="shared" si="43"/>
        <v>45821</v>
      </c>
      <c r="K944" t="str">
        <f t="shared" si="44"/>
        <v>ACTIVE</v>
      </c>
    </row>
    <row r="945" spans="1:11">
      <c r="A945">
        <v>320</v>
      </c>
      <c r="B945" t="s">
        <v>54</v>
      </c>
      <c r="C945" s="1">
        <v>45442</v>
      </c>
      <c r="D945" s="2" t="s">
        <v>28</v>
      </c>
      <c r="E945" t="s">
        <v>33</v>
      </c>
      <c r="G945" s="3">
        <v>1783</v>
      </c>
      <c r="H945" t="s">
        <v>172</v>
      </c>
      <c r="I945" s="3" t="str">
        <f t="shared" si="42"/>
        <v>2024-05</v>
      </c>
      <c r="J945" s="1">
        <f t="shared" si="43"/>
        <v>45825</v>
      </c>
      <c r="K945" t="str">
        <f t="shared" si="44"/>
        <v>ACTIVE</v>
      </c>
    </row>
    <row r="946" spans="1:11">
      <c r="A946">
        <v>1583</v>
      </c>
      <c r="B946" t="s">
        <v>105</v>
      </c>
      <c r="C946" s="1">
        <v>45816</v>
      </c>
      <c r="D946" s="2" t="s">
        <v>25</v>
      </c>
      <c r="E946" t="s">
        <v>30</v>
      </c>
      <c r="G946" s="3">
        <v>913</v>
      </c>
      <c r="H946" t="s">
        <v>173</v>
      </c>
      <c r="I946" s="3" t="str">
        <f t="shared" si="42"/>
        <v>2025-06</v>
      </c>
      <c r="J946" s="1">
        <f t="shared" si="43"/>
        <v>45816</v>
      </c>
      <c r="K946" t="str">
        <f t="shared" si="44"/>
        <v>ACTIVE</v>
      </c>
    </row>
    <row r="947" spans="1:11">
      <c r="A947">
        <v>1606</v>
      </c>
      <c r="B947" t="s">
        <v>150</v>
      </c>
      <c r="C947" s="1">
        <v>45431</v>
      </c>
      <c r="D947" s="2" t="s">
        <v>25</v>
      </c>
      <c r="E947" t="s">
        <v>34</v>
      </c>
      <c r="G947" s="3">
        <v>431</v>
      </c>
      <c r="H947" t="s">
        <v>174</v>
      </c>
      <c r="I947" s="3" t="str">
        <f t="shared" si="42"/>
        <v>2024-05</v>
      </c>
      <c r="J947" s="1">
        <f t="shared" si="43"/>
        <v>45827</v>
      </c>
      <c r="K947" t="str">
        <f t="shared" si="44"/>
        <v>ACTIVE</v>
      </c>
    </row>
    <row r="948" spans="1:11">
      <c r="A948">
        <v>879</v>
      </c>
      <c r="B948" t="s">
        <v>39</v>
      </c>
      <c r="C948" s="1">
        <v>45791</v>
      </c>
      <c r="D948" s="2" t="s">
        <v>27</v>
      </c>
      <c r="E948" t="s">
        <v>30</v>
      </c>
      <c r="G948" s="3">
        <v>2226</v>
      </c>
      <c r="H948" t="s">
        <v>173</v>
      </c>
      <c r="I948" s="3" t="str">
        <f t="shared" si="42"/>
        <v>2025-05</v>
      </c>
      <c r="J948" s="1">
        <f t="shared" si="43"/>
        <v>45795</v>
      </c>
      <c r="K948" t="str">
        <f t="shared" si="44"/>
        <v>ACTIVE</v>
      </c>
    </row>
    <row r="949" spans="1:11">
      <c r="A949">
        <v>1627</v>
      </c>
      <c r="B949" t="s">
        <v>63</v>
      </c>
      <c r="C949" s="1">
        <v>45333</v>
      </c>
      <c r="D949" s="2" t="s">
        <v>25</v>
      </c>
      <c r="E949" t="s">
        <v>31</v>
      </c>
      <c r="G949" s="3">
        <v>2236</v>
      </c>
      <c r="H949" t="s">
        <v>173</v>
      </c>
      <c r="I949" s="3" t="str">
        <f t="shared" si="42"/>
        <v>2024-02</v>
      </c>
      <c r="J949" s="1">
        <f t="shared" si="43"/>
        <v>45805</v>
      </c>
      <c r="K949" t="str">
        <f t="shared" si="44"/>
        <v>ACTIVE</v>
      </c>
    </row>
    <row r="950" spans="1:11">
      <c r="A950">
        <v>1059</v>
      </c>
      <c r="B950" t="s">
        <v>157</v>
      </c>
      <c r="C950" s="1">
        <v>45344</v>
      </c>
      <c r="D950" s="2" t="s">
        <v>28</v>
      </c>
      <c r="E950" t="s">
        <v>30</v>
      </c>
      <c r="G950" s="3">
        <v>10081</v>
      </c>
      <c r="H950" t="s">
        <v>174</v>
      </c>
      <c r="I950" s="3" t="str">
        <f t="shared" si="42"/>
        <v>2024-02</v>
      </c>
      <c r="J950" s="1">
        <f t="shared" si="43"/>
        <v>45729</v>
      </c>
      <c r="K950" t="str">
        <f t="shared" si="44"/>
        <v>LAPSED</v>
      </c>
    </row>
    <row r="951" spans="1:11">
      <c r="A951">
        <v>826</v>
      </c>
      <c r="B951" t="s">
        <v>39</v>
      </c>
      <c r="C951" s="1">
        <v>45795</v>
      </c>
      <c r="D951" s="2" t="s">
        <v>25</v>
      </c>
      <c r="E951" t="s">
        <v>34</v>
      </c>
      <c r="G951" s="3">
        <v>757</v>
      </c>
      <c r="H951" t="s">
        <v>174</v>
      </c>
      <c r="I951" s="3" t="str">
        <f t="shared" si="42"/>
        <v>2025-05</v>
      </c>
      <c r="J951" s="1">
        <f t="shared" si="43"/>
        <v>45795</v>
      </c>
      <c r="K951" t="str">
        <f t="shared" si="44"/>
        <v>ACTIVE</v>
      </c>
    </row>
    <row r="952" spans="1:11">
      <c r="A952">
        <v>1333</v>
      </c>
      <c r="B952" t="s">
        <v>93</v>
      </c>
      <c r="C952" s="1">
        <v>45360</v>
      </c>
      <c r="D952" s="2" t="s">
        <v>28</v>
      </c>
      <c r="E952" t="s">
        <v>33</v>
      </c>
      <c r="G952" s="3">
        <v>2712</v>
      </c>
      <c r="H952" t="s">
        <v>174</v>
      </c>
      <c r="I952" s="3" t="str">
        <f t="shared" si="42"/>
        <v>2024-03</v>
      </c>
      <c r="J952" s="1">
        <f t="shared" si="43"/>
        <v>45830</v>
      </c>
      <c r="K952" t="str">
        <f t="shared" si="44"/>
        <v>ACTIVE</v>
      </c>
    </row>
    <row r="953" spans="1:11">
      <c r="A953">
        <v>267</v>
      </c>
      <c r="B953" t="s">
        <v>50</v>
      </c>
      <c r="C953" s="1">
        <v>45684</v>
      </c>
      <c r="D953" s="2" t="s">
        <v>25</v>
      </c>
      <c r="E953" t="s">
        <v>34</v>
      </c>
      <c r="G953" s="3">
        <v>4735</v>
      </c>
      <c r="H953" t="s">
        <v>174</v>
      </c>
      <c r="I953" s="3" t="str">
        <f t="shared" si="42"/>
        <v>2025-01</v>
      </c>
      <c r="J953" s="1">
        <f t="shared" si="43"/>
        <v>45831</v>
      </c>
      <c r="K953" t="str">
        <f t="shared" si="44"/>
        <v>ACTIVE</v>
      </c>
    </row>
    <row r="954" spans="1:11">
      <c r="A954">
        <v>7</v>
      </c>
      <c r="B954" t="s">
        <v>103</v>
      </c>
      <c r="C954" s="1">
        <v>45467</v>
      </c>
      <c r="D954" s="2" t="s">
        <v>27</v>
      </c>
      <c r="E954" t="s">
        <v>33</v>
      </c>
      <c r="G954" s="3">
        <v>286</v>
      </c>
      <c r="H954" t="s">
        <v>175</v>
      </c>
      <c r="I954" s="3" t="str">
        <f t="shared" si="42"/>
        <v>2024-06</v>
      </c>
      <c r="J954" s="1">
        <f t="shared" si="43"/>
        <v>45821</v>
      </c>
      <c r="K954" t="str">
        <f t="shared" si="44"/>
        <v>ACTIVE</v>
      </c>
    </row>
    <row r="955" spans="1:11">
      <c r="A955">
        <v>1023</v>
      </c>
      <c r="B955" t="s">
        <v>44</v>
      </c>
      <c r="C955" s="1">
        <v>45361</v>
      </c>
      <c r="D955" s="2" t="s">
        <v>25</v>
      </c>
      <c r="E955" t="s">
        <v>30</v>
      </c>
      <c r="G955" s="3">
        <v>1339</v>
      </c>
      <c r="H955" t="s">
        <v>176</v>
      </c>
      <c r="I955" s="3" t="str">
        <f t="shared" si="42"/>
        <v>2024-03</v>
      </c>
      <c r="J955" s="1">
        <f t="shared" si="43"/>
        <v>45814</v>
      </c>
      <c r="K955" t="str">
        <f t="shared" si="44"/>
        <v>ACTIVE</v>
      </c>
    </row>
    <row r="956" spans="1:11">
      <c r="A956">
        <v>1795</v>
      </c>
      <c r="B956" t="s">
        <v>125</v>
      </c>
      <c r="C956" s="1">
        <v>45485</v>
      </c>
      <c r="D956" s="2" t="s">
        <v>27</v>
      </c>
      <c r="E956" t="s">
        <v>35</v>
      </c>
      <c r="G956" s="3">
        <v>703</v>
      </c>
      <c r="H956" t="s">
        <v>174</v>
      </c>
      <c r="I956" s="3" t="str">
        <f t="shared" si="42"/>
        <v>2024-07</v>
      </c>
      <c r="J956" s="1">
        <f t="shared" si="43"/>
        <v>45784</v>
      </c>
      <c r="K956" t="str">
        <f t="shared" si="44"/>
        <v>ACTIVE</v>
      </c>
    </row>
    <row r="957" spans="1:11">
      <c r="A957">
        <v>739</v>
      </c>
      <c r="B957" t="s">
        <v>129</v>
      </c>
      <c r="C957" s="1">
        <v>45812</v>
      </c>
      <c r="D957" s="2" t="s">
        <v>23</v>
      </c>
      <c r="E957" t="s">
        <v>32</v>
      </c>
      <c r="G957" s="3">
        <v>908</v>
      </c>
      <c r="H957" t="s">
        <v>174</v>
      </c>
      <c r="I957" s="3" t="str">
        <f t="shared" si="42"/>
        <v>2025-06</v>
      </c>
      <c r="J957" s="1">
        <f t="shared" si="43"/>
        <v>45812</v>
      </c>
      <c r="K957" t="str">
        <f t="shared" si="44"/>
        <v>ACTIVE</v>
      </c>
    </row>
    <row r="958" spans="1:11">
      <c r="A958">
        <v>139</v>
      </c>
      <c r="B958" t="s">
        <v>135</v>
      </c>
      <c r="C958" s="1">
        <v>45608</v>
      </c>
      <c r="D958" s="2" t="s">
        <v>28</v>
      </c>
      <c r="E958" t="s">
        <v>33</v>
      </c>
      <c r="G958" s="3">
        <v>5357</v>
      </c>
      <c r="H958" t="s">
        <v>175</v>
      </c>
      <c r="I958" s="3" t="str">
        <f t="shared" si="42"/>
        <v>2024-11</v>
      </c>
      <c r="J958" s="1">
        <f t="shared" si="43"/>
        <v>45785</v>
      </c>
      <c r="K958" t="str">
        <f t="shared" si="44"/>
        <v>ACTIVE</v>
      </c>
    </row>
    <row r="959" spans="1:11">
      <c r="A959">
        <v>164</v>
      </c>
      <c r="B959" t="s">
        <v>131</v>
      </c>
      <c r="C959" s="1">
        <v>45478</v>
      </c>
      <c r="D959" s="2" t="s">
        <v>27</v>
      </c>
      <c r="E959" t="s">
        <v>32</v>
      </c>
      <c r="G959" s="3">
        <v>11643</v>
      </c>
      <c r="H959" t="s">
        <v>176</v>
      </c>
      <c r="I959" s="3" t="str">
        <f t="shared" si="42"/>
        <v>2024-07</v>
      </c>
      <c r="J959" s="1">
        <f t="shared" si="43"/>
        <v>45807</v>
      </c>
      <c r="K959" t="str">
        <f t="shared" si="44"/>
        <v>ACTIVE</v>
      </c>
    </row>
    <row r="960" spans="1:11">
      <c r="A960">
        <v>1494</v>
      </c>
      <c r="B960" t="s">
        <v>95</v>
      </c>
      <c r="C960" s="1">
        <v>45501</v>
      </c>
      <c r="D960" s="2" t="s">
        <v>28</v>
      </c>
      <c r="E960" t="s">
        <v>35</v>
      </c>
      <c r="G960" s="3">
        <v>841</v>
      </c>
      <c r="H960" t="s">
        <v>175</v>
      </c>
      <c r="I960" s="3" t="str">
        <f t="shared" si="42"/>
        <v>2024-07</v>
      </c>
      <c r="J960" s="1">
        <f t="shared" si="43"/>
        <v>45797</v>
      </c>
      <c r="K960" t="str">
        <f t="shared" si="44"/>
        <v>ACTIVE</v>
      </c>
    </row>
    <row r="961" spans="1:11">
      <c r="A961">
        <v>595</v>
      </c>
      <c r="B961" t="s">
        <v>145</v>
      </c>
      <c r="C961" s="1">
        <v>45686</v>
      </c>
      <c r="D961" s="2" t="s">
        <v>24</v>
      </c>
      <c r="E961" t="s">
        <v>35</v>
      </c>
      <c r="G961" s="3">
        <v>459</v>
      </c>
      <c r="H961" t="s">
        <v>174</v>
      </c>
      <c r="I961" s="3" t="str">
        <f t="shared" si="42"/>
        <v>2025-01</v>
      </c>
      <c r="J961" s="1">
        <f t="shared" si="43"/>
        <v>45828</v>
      </c>
      <c r="K961" t="str">
        <f t="shared" si="44"/>
        <v>ACTIVE</v>
      </c>
    </row>
    <row r="962" spans="1:11">
      <c r="A962">
        <v>1712</v>
      </c>
      <c r="B962" t="s">
        <v>40</v>
      </c>
      <c r="C962" s="1">
        <v>45401</v>
      </c>
      <c r="D962" s="2" t="s">
        <v>24</v>
      </c>
      <c r="E962" t="s">
        <v>33</v>
      </c>
      <c r="G962" s="3">
        <v>859</v>
      </c>
      <c r="H962" t="s">
        <v>173</v>
      </c>
      <c r="I962" s="3" t="str">
        <f t="shared" si="42"/>
        <v>2024-04</v>
      </c>
      <c r="J962" s="1">
        <f t="shared" si="43"/>
        <v>45759</v>
      </c>
      <c r="K962" t="str">
        <f t="shared" si="44"/>
        <v>ACTIVE</v>
      </c>
    </row>
    <row r="963" spans="1:11">
      <c r="A963">
        <v>1757</v>
      </c>
      <c r="B963" t="s">
        <v>39</v>
      </c>
      <c r="C963" s="1">
        <v>45473</v>
      </c>
      <c r="D963" s="2" t="s">
        <v>25</v>
      </c>
      <c r="E963" t="s">
        <v>30</v>
      </c>
      <c r="G963" s="3">
        <v>1309</v>
      </c>
      <c r="H963" t="s">
        <v>174</v>
      </c>
      <c r="I963" s="3" t="str">
        <f t="shared" ref="I963:I1026" si="45">TEXT(C963, "yyyy-mm")</f>
        <v>2024-06</v>
      </c>
      <c r="J963" s="1">
        <f t="shared" ref="J963:J1026" si="46">_xlfn.MAXIFS(C:C, B:B, B963)</f>
        <v>45795</v>
      </c>
      <c r="K963" t="str">
        <f t="shared" ref="K963:K1026" si="47">IF($L$3-J963&gt;90, "LAPSED","ACTIVE")</f>
        <v>ACTIVE</v>
      </c>
    </row>
    <row r="964" spans="1:11">
      <c r="A964">
        <v>1319</v>
      </c>
      <c r="B964" t="s">
        <v>73</v>
      </c>
      <c r="C964" s="1">
        <v>45549</v>
      </c>
      <c r="D964" s="2" t="s">
        <v>27</v>
      </c>
      <c r="E964" t="s">
        <v>34</v>
      </c>
      <c r="G964" s="3">
        <v>413</v>
      </c>
      <c r="H964" t="s">
        <v>174</v>
      </c>
      <c r="I964" s="3" t="str">
        <f t="shared" si="45"/>
        <v>2024-09</v>
      </c>
      <c r="J964" s="1">
        <f t="shared" si="46"/>
        <v>45800</v>
      </c>
      <c r="K964" t="str">
        <f t="shared" si="47"/>
        <v>ACTIVE</v>
      </c>
    </row>
    <row r="965" spans="1:11">
      <c r="A965">
        <v>1146</v>
      </c>
      <c r="B965" t="s">
        <v>103</v>
      </c>
      <c r="C965" s="1">
        <v>45329</v>
      </c>
      <c r="D965" s="2" t="s">
        <v>28</v>
      </c>
      <c r="E965" t="s">
        <v>33</v>
      </c>
      <c r="G965" s="3">
        <v>1250</v>
      </c>
      <c r="H965" t="s">
        <v>176</v>
      </c>
      <c r="I965" s="3" t="str">
        <f t="shared" si="45"/>
        <v>2024-02</v>
      </c>
      <c r="J965" s="1">
        <f t="shared" si="46"/>
        <v>45821</v>
      </c>
      <c r="K965" t="str">
        <f t="shared" si="47"/>
        <v>ACTIVE</v>
      </c>
    </row>
    <row r="966" spans="1:11">
      <c r="A966">
        <v>1724</v>
      </c>
      <c r="B966" t="s">
        <v>78</v>
      </c>
      <c r="C966" s="1">
        <v>45368</v>
      </c>
      <c r="D966" s="2" t="s">
        <v>25</v>
      </c>
      <c r="E966" t="s">
        <v>30</v>
      </c>
      <c r="G966" s="3">
        <v>0</v>
      </c>
      <c r="H966" t="s">
        <v>173</v>
      </c>
      <c r="I966" s="3" t="str">
        <f t="shared" si="45"/>
        <v>2024-03</v>
      </c>
      <c r="J966" s="1">
        <f t="shared" si="46"/>
        <v>45821</v>
      </c>
      <c r="K966" t="str">
        <f t="shared" si="47"/>
        <v>ACTIVE</v>
      </c>
    </row>
    <row r="967" spans="1:11">
      <c r="A967">
        <v>961</v>
      </c>
      <c r="B967" t="s">
        <v>149</v>
      </c>
      <c r="C967" s="1">
        <v>45762</v>
      </c>
      <c r="D967" s="2" t="s">
        <v>23</v>
      </c>
      <c r="E967" t="s">
        <v>34</v>
      </c>
      <c r="G967" s="3">
        <v>857</v>
      </c>
      <c r="H967" t="s">
        <v>174</v>
      </c>
      <c r="I967" s="3" t="str">
        <f t="shared" si="45"/>
        <v>2025-04</v>
      </c>
      <c r="J967" s="1">
        <f t="shared" si="46"/>
        <v>45795</v>
      </c>
      <c r="K967" t="str">
        <f t="shared" si="47"/>
        <v>ACTIVE</v>
      </c>
    </row>
    <row r="968" spans="1:11">
      <c r="A968">
        <v>1304</v>
      </c>
      <c r="B968" t="s">
        <v>119</v>
      </c>
      <c r="C968" s="1">
        <v>45795</v>
      </c>
      <c r="D968" s="2" t="s">
        <v>23</v>
      </c>
      <c r="E968" t="s">
        <v>31</v>
      </c>
      <c r="G968" s="3">
        <v>5976</v>
      </c>
      <c r="H968" t="s">
        <v>174</v>
      </c>
      <c r="I968" s="3" t="str">
        <f t="shared" si="45"/>
        <v>2025-05</v>
      </c>
      <c r="J968" s="1">
        <f t="shared" si="46"/>
        <v>45806</v>
      </c>
      <c r="K968" t="str">
        <f t="shared" si="47"/>
        <v>ACTIVE</v>
      </c>
    </row>
    <row r="969" spans="1:11">
      <c r="A969">
        <v>1674</v>
      </c>
      <c r="B969" t="s">
        <v>52</v>
      </c>
      <c r="C969" s="1">
        <v>45638</v>
      </c>
      <c r="D969" s="2" t="s">
        <v>28</v>
      </c>
      <c r="E969" t="s">
        <v>33</v>
      </c>
      <c r="G969" s="3">
        <v>1789</v>
      </c>
      <c r="H969" t="s">
        <v>174</v>
      </c>
      <c r="I969" s="3" t="str">
        <f t="shared" si="45"/>
        <v>2024-12</v>
      </c>
      <c r="J969" s="1">
        <f t="shared" si="46"/>
        <v>45811</v>
      </c>
      <c r="K969" t="str">
        <f t="shared" si="47"/>
        <v>ACTIVE</v>
      </c>
    </row>
    <row r="970" spans="1:11">
      <c r="A970">
        <v>524</v>
      </c>
      <c r="B970" t="s">
        <v>102</v>
      </c>
      <c r="C970" s="1">
        <v>45513</v>
      </c>
      <c r="D970" s="2" t="s">
        <v>24</v>
      </c>
      <c r="E970" t="s">
        <v>33</v>
      </c>
      <c r="G970" s="3">
        <v>950</v>
      </c>
      <c r="H970" t="s">
        <v>176</v>
      </c>
      <c r="I970" s="3" t="str">
        <f t="shared" si="45"/>
        <v>2024-08</v>
      </c>
      <c r="J970" s="1">
        <f t="shared" si="46"/>
        <v>45793</v>
      </c>
      <c r="K970" t="str">
        <f t="shared" si="47"/>
        <v>ACTIVE</v>
      </c>
    </row>
    <row r="971" spans="1:11">
      <c r="A971">
        <v>1129</v>
      </c>
      <c r="B971" t="s">
        <v>126</v>
      </c>
      <c r="C971" s="1">
        <v>45737</v>
      </c>
      <c r="D971" s="2" t="s">
        <v>28</v>
      </c>
      <c r="E971" t="s">
        <v>32</v>
      </c>
      <c r="G971" s="3">
        <v>1802</v>
      </c>
      <c r="H971" t="s">
        <v>174</v>
      </c>
      <c r="I971" s="3" t="str">
        <f t="shared" si="45"/>
        <v>2025-03</v>
      </c>
      <c r="J971" s="1">
        <f t="shared" si="46"/>
        <v>45827</v>
      </c>
      <c r="K971" t="str">
        <f t="shared" si="47"/>
        <v>ACTIVE</v>
      </c>
    </row>
    <row r="972" spans="1:11">
      <c r="A972">
        <v>807</v>
      </c>
      <c r="B972" t="s">
        <v>131</v>
      </c>
      <c r="C972" s="1">
        <v>45600</v>
      </c>
      <c r="D972" s="2" t="s">
        <v>23</v>
      </c>
      <c r="E972" t="s">
        <v>32</v>
      </c>
      <c r="G972" s="3">
        <v>1085</v>
      </c>
      <c r="H972" t="s">
        <v>175</v>
      </c>
      <c r="I972" s="3" t="str">
        <f t="shared" si="45"/>
        <v>2024-11</v>
      </c>
      <c r="J972" s="1">
        <f t="shared" si="46"/>
        <v>45807</v>
      </c>
      <c r="K972" t="str">
        <f t="shared" si="47"/>
        <v>ACTIVE</v>
      </c>
    </row>
    <row r="973" spans="1:11">
      <c r="A973">
        <v>745</v>
      </c>
      <c r="B973" t="s">
        <v>143</v>
      </c>
      <c r="C973" s="1">
        <v>45578</v>
      </c>
      <c r="D973" s="2" t="s">
        <v>28</v>
      </c>
      <c r="E973" t="s">
        <v>33</v>
      </c>
      <c r="G973" s="3">
        <v>11830</v>
      </c>
      <c r="H973" t="s">
        <v>174</v>
      </c>
      <c r="I973" s="3" t="str">
        <f t="shared" si="45"/>
        <v>2024-10</v>
      </c>
      <c r="J973" s="1">
        <f t="shared" si="46"/>
        <v>45764</v>
      </c>
      <c r="K973" t="str">
        <f t="shared" si="47"/>
        <v>ACTIVE</v>
      </c>
    </row>
    <row r="974" spans="1:11">
      <c r="A974">
        <v>1103</v>
      </c>
      <c r="B974" t="s">
        <v>63</v>
      </c>
      <c r="C974" s="1">
        <v>45484</v>
      </c>
      <c r="D974" s="2" t="s">
        <v>25</v>
      </c>
      <c r="E974" t="s">
        <v>35</v>
      </c>
      <c r="G974" s="3">
        <v>280</v>
      </c>
      <c r="H974" t="s">
        <v>176</v>
      </c>
      <c r="I974" s="3" t="str">
        <f t="shared" si="45"/>
        <v>2024-07</v>
      </c>
      <c r="J974" s="1">
        <f t="shared" si="46"/>
        <v>45805</v>
      </c>
      <c r="K974" t="str">
        <f t="shared" si="47"/>
        <v>ACTIVE</v>
      </c>
    </row>
    <row r="975" spans="1:11">
      <c r="A975">
        <v>579</v>
      </c>
      <c r="B975" t="s">
        <v>60</v>
      </c>
      <c r="C975" s="1">
        <v>45299</v>
      </c>
      <c r="D975" s="2" t="s">
        <v>25</v>
      </c>
      <c r="E975" t="s">
        <v>30</v>
      </c>
      <c r="G975" s="3">
        <v>2416</v>
      </c>
      <c r="H975" t="s">
        <v>173</v>
      </c>
      <c r="I975" s="3" t="str">
        <f t="shared" si="45"/>
        <v>2024-01</v>
      </c>
      <c r="J975" s="1">
        <f t="shared" si="46"/>
        <v>45801</v>
      </c>
      <c r="K975" t="str">
        <f t="shared" si="47"/>
        <v>ACTIVE</v>
      </c>
    </row>
    <row r="976" spans="1:11">
      <c r="A976">
        <v>846</v>
      </c>
      <c r="B976" t="s">
        <v>123</v>
      </c>
      <c r="C976" s="1">
        <v>45522</v>
      </c>
      <c r="D976" s="2" t="s">
        <v>25</v>
      </c>
      <c r="E976" t="s">
        <v>33</v>
      </c>
      <c r="G976" s="3">
        <v>327</v>
      </c>
      <c r="H976" t="s">
        <v>174</v>
      </c>
      <c r="I976" s="3" t="str">
        <f t="shared" si="45"/>
        <v>2024-08</v>
      </c>
      <c r="J976" s="1">
        <f t="shared" si="46"/>
        <v>45772</v>
      </c>
      <c r="K976" t="str">
        <f t="shared" si="47"/>
        <v>ACTIVE</v>
      </c>
    </row>
    <row r="977" spans="1:11">
      <c r="A977">
        <v>1213</v>
      </c>
      <c r="B977" t="s">
        <v>83</v>
      </c>
      <c r="C977" s="1">
        <v>45592</v>
      </c>
      <c r="D977" s="2" t="s">
        <v>23</v>
      </c>
      <c r="E977" t="s">
        <v>32</v>
      </c>
      <c r="G977" s="3">
        <v>1452</v>
      </c>
      <c r="H977" t="s">
        <v>172</v>
      </c>
      <c r="I977" s="3" t="str">
        <f t="shared" si="45"/>
        <v>2024-10</v>
      </c>
      <c r="J977" s="1">
        <f t="shared" si="46"/>
        <v>45816</v>
      </c>
      <c r="K977" t="str">
        <f t="shared" si="47"/>
        <v>ACTIVE</v>
      </c>
    </row>
    <row r="978" spans="1:11">
      <c r="A978">
        <v>20</v>
      </c>
      <c r="B978" t="s">
        <v>46</v>
      </c>
      <c r="C978" s="1">
        <v>45392</v>
      </c>
      <c r="D978" s="2" t="s">
        <v>28</v>
      </c>
      <c r="E978" t="s">
        <v>30</v>
      </c>
      <c r="G978" s="3">
        <v>5601</v>
      </c>
      <c r="H978" t="s">
        <v>176</v>
      </c>
      <c r="I978" s="3" t="str">
        <f t="shared" si="45"/>
        <v>2024-04</v>
      </c>
      <c r="J978" s="1">
        <f t="shared" si="46"/>
        <v>45815</v>
      </c>
      <c r="K978" t="str">
        <f t="shared" si="47"/>
        <v>ACTIVE</v>
      </c>
    </row>
    <row r="979" spans="1:11">
      <c r="A979">
        <v>1179</v>
      </c>
      <c r="B979" t="s">
        <v>122</v>
      </c>
      <c r="C979" s="1">
        <v>45525</v>
      </c>
      <c r="D979" s="2" t="s">
        <v>28</v>
      </c>
      <c r="E979" t="s">
        <v>33</v>
      </c>
      <c r="G979" s="3">
        <v>596</v>
      </c>
      <c r="H979" t="s">
        <v>174</v>
      </c>
      <c r="I979" s="3" t="str">
        <f t="shared" si="45"/>
        <v>2024-08</v>
      </c>
      <c r="J979" s="1">
        <f t="shared" si="46"/>
        <v>45793</v>
      </c>
      <c r="K979" t="str">
        <f t="shared" si="47"/>
        <v>ACTIVE</v>
      </c>
    </row>
    <row r="980" spans="1:11">
      <c r="A980">
        <v>1723</v>
      </c>
      <c r="B980" t="s">
        <v>94</v>
      </c>
      <c r="C980" s="1">
        <v>45309</v>
      </c>
      <c r="D980" s="2" t="s">
        <v>28</v>
      </c>
      <c r="E980" t="s">
        <v>33</v>
      </c>
      <c r="G980" s="3">
        <v>474</v>
      </c>
      <c r="H980" t="s">
        <v>174</v>
      </c>
      <c r="I980" s="3" t="str">
        <f t="shared" si="45"/>
        <v>2024-01</v>
      </c>
      <c r="J980" s="1">
        <f t="shared" si="46"/>
        <v>45824</v>
      </c>
      <c r="K980" t="str">
        <f t="shared" si="47"/>
        <v>ACTIVE</v>
      </c>
    </row>
    <row r="981" spans="1:11">
      <c r="A981">
        <v>634</v>
      </c>
      <c r="B981" t="s">
        <v>121</v>
      </c>
      <c r="C981" s="1">
        <v>45611</v>
      </c>
      <c r="D981" s="2" t="s">
        <v>28</v>
      </c>
      <c r="E981" t="s">
        <v>33</v>
      </c>
      <c r="G981" s="3">
        <v>9629</v>
      </c>
      <c r="H981" t="s">
        <v>173</v>
      </c>
      <c r="I981" s="3" t="str">
        <f t="shared" si="45"/>
        <v>2024-11</v>
      </c>
      <c r="J981" s="1">
        <f t="shared" si="46"/>
        <v>45798</v>
      </c>
      <c r="K981" t="str">
        <f t="shared" si="47"/>
        <v>ACTIVE</v>
      </c>
    </row>
    <row r="982" spans="1:11">
      <c r="A982">
        <v>1422</v>
      </c>
      <c r="B982" t="s">
        <v>93</v>
      </c>
      <c r="C982" s="1">
        <v>45442</v>
      </c>
      <c r="D982" s="2" t="s">
        <v>23</v>
      </c>
      <c r="E982" t="s">
        <v>30</v>
      </c>
      <c r="G982" s="3">
        <v>1589</v>
      </c>
      <c r="H982" t="s">
        <v>174</v>
      </c>
      <c r="I982" s="3" t="str">
        <f t="shared" si="45"/>
        <v>2024-05</v>
      </c>
      <c r="J982" s="1">
        <f t="shared" si="46"/>
        <v>45830</v>
      </c>
      <c r="K982" t="str">
        <f t="shared" si="47"/>
        <v>ACTIVE</v>
      </c>
    </row>
    <row r="983" spans="1:11">
      <c r="A983">
        <v>619</v>
      </c>
      <c r="B983" t="s">
        <v>114</v>
      </c>
      <c r="C983" s="1">
        <v>45556</v>
      </c>
      <c r="D983" s="2" t="s">
        <v>28</v>
      </c>
      <c r="E983" t="s">
        <v>30</v>
      </c>
      <c r="G983" s="3">
        <v>949</v>
      </c>
      <c r="H983" t="s">
        <v>175</v>
      </c>
      <c r="I983" s="3" t="str">
        <f t="shared" si="45"/>
        <v>2024-09</v>
      </c>
      <c r="J983" s="1">
        <f t="shared" si="46"/>
        <v>45815</v>
      </c>
      <c r="K983" t="str">
        <f t="shared" si="47"/>
        <v>ACTIVE</v>
      </c>
    </row>
    <row r="984" spans="1:11">
      <c r="A984">
        <v>1076</v>
      </c>
      <c r="B984" t="s">
        <v>120</v>
      </c>
      <c r="C984" s="1">
        <v>45817</v>
      </c>
      <c r="D984" s="2" t="s">
        <v>25</v>
      </c>
      <c r="E984" t="s">
        <v>30</v>
      </c>
      <c r="G984" s="3">
        <v>5785</v>
      </c>
      <c r="H984" t="s">
        <v>176</v>
      </c>
      <c r="I984" s="3" t="str">
        <f t="shared" si="45"/>
        <v>2025-06</v>
      </c>
      <c r="J984" s="1">
        <f t="shared" si="46"/>
        <v>45817</v>
      </c>
      <c r="K984" t="str">
        <f t="shared" si="47"/>
        <v>ACTIVE</v>
      </c>
    </row>
    <row r="985" spans="1:11">
      <c r="A985">
        <v>656</v>
      </c>
      <c r="B985" t="s">
        <v>90</v>
      </c>
      <c r="C985" s="1">
        <v>45738</v>
      </c>
      <c r="D985" s="2" t="s">
        <v>25</v>
      </c>
      <c r="E985" t="s">
        <v>33</v>
      </c>
      <c r="G985" s="3">
        <v>1364</v>
      </c>
      <c r="H985" t="s">
        <v>176</v>
      </c>
      <c r="I985" s="3" t="str">
        <f t="shared" si="45"/>
        <v>2025-03</v>
      </c>
      <c r="J985" s="1">
        <f t="shared" si="46"/>
        <v>45788</v>
      </c>
      <c r="K985" t="str">
        <f t="shared" si="47"/>
        <v>ACTIVE</v>
      </c>
    </row>
    <row r="986" spans="1:11">
      <c r="A986">
        <v>17</v>
      </c>
      <c r="B986" t="s">
        <v>68</v>
      </c>
      <c r="C986" s="1">
        <v>45415</v>
      </c>
      <c r="D986" s="2" t="s">
        <v>27</v>
      </c>
      <c r="E986" t="s">
        <v>34</v>
      </c>
      <c r="G986" s="3">
        <v>4042</v>
      </c>
      <c r="H986" t="s">
        <v>175</v>
      </c>
      <c r="I986" s="3" t="str">
        <f t="shared" si="45"/>
        <v>2024-05</v>
      </c>
      <c r="J986" s="1">
        <f t="shared" si="46"/>
        <v>45776</v>
      </c>
      <c r="K986" t="str">
        <f t="shared" si="47"/>
        <v>ACTIVE</v>
      </c>
    </row>
    <row r="987" spans="1:11">
      <c r="A987">
        <v>1577</v>
      </c>
      <c r="B987" t="s">
        <v>146</v>
      </c>
      <c r="C987" s="1">
        <v>45533</v>
      </c>
      <c r="D987" s="2" t="s">
        <v>28</v>
      </c>
      <c r="E987" t="s">
        <v>35</v>
      </c>
      <c r="G987" s="3">
        <v>1716</v>
      </c>
      <c r="H987" t="s">
        <v>176</v>
      </c>
      <c r="I987" s="3" t="str">
        <f t="shared" si="45"/>
        <v>2024-08</v>
      </c>
      <c r="J987" s="1">
        <f t="shared" si="46"/>
        <v>45819</v>
      </c>
      <c r="K987" t="str">
        <f t="shared" si="47"/>
        <v>ACTIVE</v>
      </c>
    </row>
    <row r="988" spans="1:11">
      <c r="A988">
        <v>1074</v>
      </c>
      <c r="B988" t="s">
        <v>101</v>
      </c>
      <c r="C988" s="1">
        <v>45747</v>
      </c>
      <c r="D988" s="2" t="s">
        <v>27</v>
      </c>
      <c r="E988" t="s">
        <v>32</v>
      </c>
      <c r="G988" s="3">
        <v>2918</v>
      </c>
      <c r="H988" t="s">
        <v>176</v>
      </c>
      <c r="I988" s="3" t="str">
        <f t="shared" si="45"/>
        <v>2025-03</v>
      </c>
      <c r="J988" s="1">
        <f t="shared" si="46"/>
        <v>45823</v>
      </c>
      <c r="K988" t="str">
        <f t="shared" si="47"/>
        <v>ACTIVE</v>
      </c>
    </row>
    <row r="989" spans="1:11">
      <c r="A989">
        <v>138</v>
      </c>
      <c r="B989" t="s">
        <v>44</v>
      </c>
      <c r="C989" s="1">
        <v>45740</v>
      </c>
      <c r="D989" s="2" t="s">
        <v>28</v>
      </c>
      <c r="E989" t="s">
        <v>31</v>
      </c>
      <c r="G989" s="3">
        <v>2376</v>
      </c>
      <c r="H989" t="s">
        <v>175</v>
      </c>
      <c r="I989" s="3" t="str">
        <f t="shared" si="45"/>
        <v>2025-03</v>
      </c>
      <c r="J989" s="1">
        <f t="shared" si="46"/>
        <v>45814</v>
      </c>
      <c r="K989" t="str">
        <f t="shared" si="47"/>
        <v>ACTIVE</v>
      </c>
    </row>
    <row r="990" spans="1:11">
      <c r="A990">
        <v>1321</v>
      </c>
      <c r="B990" t="s">
        <v>81</v>
      </c>
      <c r="C990" s="1">
        <v>45753</v>
      </c>
      <c r="D990" s="2" t="s">
        <v>28</v>
      </c>
      <c r="E990" t="s">
        <v>31</v>
      </c>
      <c r="G990" s="3">
        <v>276</v>
      </c>
      <c r="H990" t="s">
        <v>173</v>
      </c>
      <c r="I990" s="3" t="str">
        <f t="shared" si="45"/>
        <v>2025-04</v>
      </c>
      <c r="J990" s="1">
        <f t="shared" si="46"/>
        <v>45787</v>
      </c>
      <c r="K990" t="str">
        <f t="shared" si="47"/>
        <v>ACTIVE</v>
      </c>
    </row>
    <row r="991" spans="1:11">
      <c r="A991">
        <v>1372</v>
      </c>
      <c r="B991" t="s">
        <v>129</v>
      </c>
      <c r="C991" s="1">
        <v>45684</v>
      </c>
      <c r="D991" s="2" t="s">
        <v>23</v>
      </c>
      <c r="E991" t="s">
        <v>34</v>
      </c>
      <c r="G991" s="3">
        <v>807</v>
      </c>
      <c r="H991" t="s">
        <v>175</v>
      </c>
      <c r="I991" s="3" t="str">
        <f t="shared" si="45"/>
        <v>2025-01</v>
      </c>
      <c r="J991" s="1">
        <f t="shared" si="46"/>
        <v>45812</v>
      </c>
      <c r="K991" t="str">
        <f t="shared" si="47"/>
        <v>ACTIVE</v>
      </c>
    </row>
    <row r="992" spans="1:11">
      <c r="A992">
        <v>558</v>
      </c>
      <c r="B992" t="s">
        <v>51</v>
      </c>
      <c r="C992" s="1">
        <v>45334</v>
      </c>
      <c r="D992" s="2" t="s">
        <v>23</v>
      </c>
      <c r="E992" t="s">
        <v>30</v>
      </c>
      <c r="G992" s="3">
        <v>5912</v>
      </c>
      <c r="H992" t="s">
        <v>173</v>
      </c>
      <c r="I992" s="3" t="str">
        <f t="shared" si="45"/>
        <v>2024-02</v>
      </c>
      <c r="J992" s="1">
        <f t="shared" si="46"/>
        <v>45775</v>
      </c>
      <c r="K992" t="str">
        <f t="shared" si="47"/>
        <v>ACTIVE</v>
      </c>
    </row>
    <row r="993" spans="1:11">
      <c r="A993">
        <v>698</v>
      </c>
      <c r="B993" t="s">
        <v>122</v>
      </c>
      <c r="C993" s="1">
        <v>45661</v>
      </c>
      <c r="D993" s="2" t="s">
        <v>28</v>
      </c>
      <c r="E993" t="s">
        <v>31</v>
      </c>
      <c r="G993" s="3">
        <v>850</v>
      </c>
      <c r="H993" t="s">
        <v>176</v>
      </c>
      <c r="I993" s="3" t="str">
        <f t="shared" si="45"/>
        <v>2025-01</v>
      </c>
      <c r="J993" s="1">
        <f t="shared" si="46"/>
        <v>45793</v>
      </c>
      <c r="K993" t="str">
        <f t="shared" si="47"/>
        <v>ACTIVE</v>
      </c>
    </row>
    <row r="994" spans="1:11">
      <c r="A994">
        <v>1774</v>
      </c>
      <c r="B994" t="s">
        <v>50</v>
      </c>
      <c r="C994" s="1">
        <v>45482</v>
      </c>
      <c r="D994" s="2" t="s">
        <v>27</v>
      </c>
      <c r="E994" t="s">
        <v>35</v>
      </c>
      <c r="G994" s="3">
        <v>694</v>
      </c>
      <c r="H994" t="s">
        <v>173</v>
      </c>
      <c r="I994" s="3" t="str">
        <f t="shared" si="45"/>
        <v>2024-07</v>
      </c>
      <c r="J994" s="1">
        <f t="shared" si="46"/>
        <v>45831</v>
      </c>
      <c r="K994" t="str">
        <f t="shared" si="47"/>
        <v>ACTIVE</v>
      </c>
    </row>
    <row r="995" spans="1:11">
      <c r="A995">
        <v>862</v>
      </c>
      <c r="B995" t="s">
        <v>94</v>
      </c>
      <c r="C995" s="1">
        <v>45701</v>
      </c>
      <c r="D995" s="2" t="s">
        <v>25</v>
      </c>
      <c r="E995" t="s">
        <v>31</v>
      </c>
      <c r="G995" s="3">
        <v>882</v>
      </c>
      <c r="H995" t="s">
        <v>172</v>
      </c>
      <c r="I995" s="3" t="str">
        <f t="shared" si="45"/>
        <v>2025-02</v>
      </c>
      <c r="J995" s="1">
        <f t="shared" si="46"/>
        <v>45824</v>
      </c>
      <c r="K995" t="str">
        <f t="shared" si="47"/>
        <v>ACTIVE</v>
      </c>
    </row>
    <row r="996" spans="1:11">
      <c r="A996">
        <v>1460</v>
      </c>
      <c r="B996" t="s">
        <v>82</v>
      </c>
      <c r="C996" s="1">
        <v>45459</v>
      </c>
      <c r="D996" s="2" t="s">
        <v>25</v>
      </c>
      <c r="E996" t="s">
        <v>31</v>
      </c>
      <c r="G996" s="3">
        <v>2998</v>
      </c>
      <c r="H996" t="s">
        <v>175</v>
      </c>
      <c r="I996" s="3" t="str">
        <f t="shared" si="45"/>
        <v>2024-06</v>
      </c>
      <c r="J996" s="1">
        <f t="shared" si="46"/>
        <v>45781</v>
      </c>
      <c r="K996" t="str">
        <f t="shared" si="47"/>
        <v>ACTIVE</v>
      </c>
    </row>
    <row r="997" spans="1:11">
      <c r="A997">
        <v>449</v>
      </c>
      <c r="B997" t="s">
        <v>40</v>
      </c>
      <c r="C997" s="1">
        <v>45598</v>
      </c>
      <c r="D997" s="2" t="s">
        <v>28</v>
      </c>
      <c r="E997" t="s">
        <v>31</v>
      </c>
      <c r="G997" s="3">
        <v>2237</v>
      </c>
      <c r="H997" t="s">
        <v>175</v>
      </c>
      <c r="I997" s="3" t="str">
        <f t="shared" si="45"/>
        <v>2024-11</v>
      </c>
      <c r="J997" s="1">
        <f t="shared" si="46"/>
        <v>45759</v>
      </c>
      <c r="K997" t="str">
        <f t="shared" si="47"/>
        <v>ACTIVE</v>
      </c>
    </row>
    <row r="998" spans="1:11">
      <c r="A998">
        <v>369</v>
      </c>
      <c r="B998" t="s">
        <v>55</v>
      </c>
      <c r="C998" s="1">
        <v>45808</v>
      </c>
      <c r="D998" s="2" t="s">
        <v>28</v>
      </c>
      <c r="E998" t="s">
        <v>34</v>
      </c>
      <c r="G998" s="3">
        <v>10945</v>
      </c>
      <c r="H998" t="s">
        <v>175</v>
      </c>
      <c r="I998" s="3" t="str">
        <f t="shared" si="45"/>
        <v>2025-05</v>
      </c>
      <c r="J998" s="1">
        <f t="shared" si="46"/>
        <v>45824</v>
      </c>
      <c r="K998" t="str">
        <f t="shared" si="47"/>
        <v>ACTIVE</v>
      </c>
    </row>
    <row r="999" spans="1:11">
      <c r="A999">
        <v>1707</v>
      </c>
      <c r="B999" t="s">
        <v>125</v>
      </c>
      <c r="C999" s="1">
        <v>45654</v>
      </c>
      <c r="D999" s="2" t="s">
        <v>25</v>
      </c>
      <c r="E999" t="s">
        <v>30</v>
      </c>
      <c r="G999" s="3">
        <v>8243</v>
      </c>
      <c r="H999" t="s">
        <v>176</v>
      </c>
      <c r="I999" s="3" t="str">
        <f t="shared" si="45"/>
        <v>2024-12</v>
      </c>
      <c r="J999" s="1">
        <f t="shared" si="46"/>
        <v>45784</v>
      </c>
      <c r="K999" t="str">
        <f t="shared" si="47"/>
        <v>ACTIVE</v>
      </c>
    </row>
    <row r="1000" spans="1:11">
      <c r="A1000">
        <v>1075</v>
      </c>
      <c r="B1000" t="s">
        <v>126</v>
      </c>
      <c r="C1000" s="1">
        <v>45577</v>
      </c>
      <c r="D1000" s="2" t="s">
        <v>25</v>
      </c>
      <c r="E1000" t="s">
        <v>31</v>
      </c>
      <c r="G1000" s="3">
        <v>1098</v>
      </c>
      <c r="H1000" t="s">
        <v>172</v>
      </c>
      <c r="I1000" s="3" t="str">
        <f t="shared" si="45"/>
        <v>2024-10</v>
      </c>
      <c r="J1000" s="1">
        <f t="shared" si="46"/>
        <v>45827</v>
      </c>
      <c r="K1000" t="str">
        <f t="shared" si="47"/>
        <v>ACTIVE</v>
      </c>
    </row>
    <row r="1001" spans="1:11">
      <c r="A1001">
        <v>328</v>
      </c>
      <c r="B1001" t="s">
        <v>87</v>
      </c>
      <c r="C1001" s="1">
        <v>45810</v>
      </c>
      <c r="D1001" s="2" t="s">
        <v>27</v>
      </c>
      <c r="E1001" t="s">
        <v>35</v>
      </c>
      <c r="G1001" s="3">
        <v>435</v>
      </c>
      <c r="H1001" t="s">
        <v>172</v>
      </c>
      <c r="I1001" s="3" t="str">
        <f t="shared" si="45"/>
        <v>2025-06</v>
      </c>
      <c r="J1001" s="1">
        <f t="shared" si="46"/>
        <v>45821</v>
      </c>
      <c r="K1001" t="str">
        <f t="shared" si="47"/>
        <v>ACTIVE</v>
      </c>
    </row>
    <row r="1002" spans="1:11">
      <c r="A1002">
        <v>318</v>
      </c>
      <c r="B1002" t="s">
        <v>49</v>
      </c>
      <c r="C1002" s="1">
        <v>45391</v>
      </c>
      <c r="D1002" s="2" t="s">
        <v>24</v>
      </c>
      <c r="E1002" t="s">
        <v>35</v>
      </c>
      <c r="G1002" s="3">
        <v>891</v>
      </c>
      <c r="H1002" t="s">
        <v>175</v>
      </c>
      <c r="I1002" s="3" t="str">
        <f t="shared" si="45"/>
        <v>2024-04</v>
      </c>
      <c r="J1002" s="1">
        <f t="shared" si="46"/>
        <v>45812</v>
      </c>
      <c r="K1002" t="str">
        <f t="shared" si="47"/>
        <v>ACTIVE</v>
      </c>
    </row>
    <row r="1003" spans="1:11">
      <c r="A1003">
        <v>1378</v>
      </c>
      <c r="B1003" t="s">
        <v>44</v>
      </c>
      <c r="C1003" s="1">
        <v>45677</v>
      </c>
      <c r="D1003" s="2" t="s">
        <v>24</v>
      </c>
      <c r="E1003" t="s">
        <v>33</v>
      </c>
      <c r="G1003" s="3">
        <v>1872</v>
      </c>
      <c r="H1003" t="s">
        <v>175</v>
      </c>
      <c r="I1003" s="3" t="str">
        <f t="shared" si="45"/>
        <v>2025-01</v>
      </c>
      <c r="J1003" s="1">
        <f t="shared" si="46"/>
        <v>45814</v>
      </c>
      <c r="K1003" t="str">
        <f t="shared" si="47"/>
        <v>ACTIVE</v>
      </c>
    </row>
    <row r="1004" spans="1:11">
      <c r="A1004">
        <v>1339</v>
      </c>
      <c r="B1004" t="s">
        <v>83</v>
      </c>
      <c r="C1004" s="1">
        <v>45780</v>
      </c>
      <c r="D1004" s="2" t="s">
        <v>27</v>
      </c>
      <c r="E1004" t="s">
        <v>31</v>
      </c>
      <c r="G1004" s="3">
        <v>765</v>
      </c>
      <c r="H1004" t="s">
        <v>173</v>
      </c>
      <c r="I1004" s="3" t="str">
        <f t="shared" si="45"/>
        <v>2025-05</v>
      </c>
      <c r="J1004" s="1">
        <f t="shared" si="46"/>
        <v>45816</v>
      </c>
      <c r="K1004" t="str">
        <f t="shared" si="47"/>
        <v>ACTIVE</v>
      </c>
    </row>
    <row r="1005" spans="1:11">
      <c r="A1005">
        <v>529</v>
      </c>
      <c r="B1005" t="s">
        <v>72</v>
      </c>
      <c r="C1005" s="1">
        <v>45453</v>
      </c>
      <c r="D1005" s="2" t="s">
        <v>25</v>
      </c>
      <c r="E1005" t="s">
        <v>34</v>
      </c>
      <c r="G1005" s="3">
        <v>10056</v>
      </c>
      <c r="H1005" t="s">
        <v>172</v>
      </c>
      <c r="I1005" s="3" t="str">
        <f t="shared" si="45"/>
        <v>2024-06</v>
      </c>
      <c r="J1005" s="1">
        <f t="shared" si="46"/>
        <v>45815</v>
      </c>
      <c r="K1005" t="str">
        <f t="shared" si="47"/>
        <v>ACTIVE</v>
      </c>
    </row>
    <row r="1006" spans="1:11">
      <c r="A1006">
        <v>527</v>
      </c>
      <c r="B1006" t="s">
        <v>121</v>
      </c>
      <c r="C1006" s="1">
        <v>45337</v>
      </c>
      <c r="D1006" s="2" t="s">
        <v>23</v>
      </c>
      <c r="E1006" t="s">
        <v>34</v>
      </c>
      <c r="G1006" s="3">
        <v>4934</v>
      </c>
      <c r="H1006" t="s">
        <v>176</v>
      </c>
      <c r="I1006" s="3" t="str">
        <f t="shared" si="45"/>
        <v>2024-02</v>
      </c>
      <c r="J1006" s="1">
        <f t="shared" si="46"/>
        <v>45798</v>
      </c>
      <c r="K1006" t="str">
        <f t="shared" si="47"/>
        <v>ACTIVE</v>
      </c>
    </row>
    <row r="1007" spans="1:11">
      <c r="A1007">
        <v>88</v>
      </c>
      <c r="B1007" t="s">
        <v>77</v>
      </c>
      <c r="C1007" s="1">
        <v>45681</v>
      </c>
      <c r="D1007" s="2" t="s">
        <v>28</v>
      </c>
      <c r="E1007" t="s">
        <v>35</v>
      </c>
      <c r="G1007" s="3">
        <v>523</v>
      </c>
      <c r="H1007" t="s">
        <v>172</v>
      </c>
      <c r="I1007" s="3" t="str">
        <f t="shared" si="45"/>
        <v>2025-01</v>
      </c>
      <c r="J1007" s="1">
        <f t="shared" si="46"/>
        <v>45821</v>
      </c>
      <c r="K1007" t="str">
        <f t="shared" si="47"/>
        <v>ACTIVE</v>
      </c>
    </row>
    <row r="1008" spans="1:11">
      <c r="A1008">
        <v>480</v>
      </c>
      <c r="B1008" t="s">
        <v>120</v>
      </c>
      <c r="C1008" s="1">
        <v>45343</v>
      </c>
      <c r="D1008" s="2" t="s">
        <v>28</v>
      </c>
      <c r="E1008" t="s">
        <v>32</v>
      </c>
      <c r="G1008" s="3">
        <v>8360</v>
      </c>
      <c r="H1008" t="s">
        <v>173</v>
      </c>
      <c r="I1008" s="3" t="str">
        <f t="shared" si="45"/>
        <v>2024-02</v>
      </c>
      <c r="J1008" s="1">
        <f t="shared" si="46"/>
        <v>45817</v>
      </c>
      <c r="K1008" t="str">
        <f t="shared" si="47"/>
        <v>ACTIVE</v>
      </c>
    </row>
    <row r="1009" spans="1:11">
      <c r="A1009">
        <v>339</v>
      </c>
      <c r="B1009" t="s">
        <v>65</v>
      </c>
      <c r="C1009" s="1">
        <v>45383</v>
      </c>
      <c r="D1009" s="2" t="s">
        <v>24</v>
      </c>
      <c r="E1009" t="s">
        <v>33</v>
      </c>
      <c r="G1009" s="3">
        <v>2420</v>
      </c>
      <c r="H1009" t="s">
        <v>174</v>
      </c>
      <c r="I1009" s="3" t="str">
        <f t="shared" si="45"/>
        <v>2024-04</v>
      </c>
      <c r="J1009" s="1">
        <f t="shared" si="46"/>
        <v>45813</v>
      </c>
      <c r="K1009" t="str">
        <f t="shared" si="47"/>
        <v>ACTIVE</v>
      </c>
    </row>
    <row r="1010" spans="1:11">
      <c r="A1010">
        <v>1762</v>
      </c>
      <c r="B1010" t="s">
        <v>64</v>
      </c>
      <c r="C1010" s="1">
        <v>45304</v>
      </c>
      <c r="D1010" s="2" t="s">
        <v>23</v>
      </c>
      <c r="E1010" t="s">
        <v>34</v>
      </c>
      <c r="G1010" s="3">
        <v>455</v>
      </c>
      <c r="H1010" t="s">
        <v>172</v>
      </c>
      <c r="I1010" s="3" t="str">
        <f t="shared" si="45"/>
        <v>2024-01</v>
      </c>
      <c r="J1010" s="1">
        <f t="shared" si="46"/>
        <v>45814</v>
      </c>
      <c r="K1010" t="str">
        <f t="shared" si="47"/>
        <v>ACTIVE</v>
      </c>
    </row>
    <row r="1011" spans="1:11">
      <c r="A1011">
        <v>1190</v>
      </c>
      <c r="B1011" t="s">
        <v>39</v>
      </c>
      <c r="C1011" s="1">
        <v>45719</v>
      </c>
      <c r="D1011" s="2" t="s">
        <v>28</v>
      </c>
      <c r="E1011" t="s">
        <v>34</v>
      </c>
      <c r="G1011" s="3">
        <v>0</v>
      </c>
      <c r="H1011" t="s">
        <v>172</v>
      </c>
      <c r="I1011" s="3" t="str">
        <f t="shared" si="45"/>
        <v>2025-03</v>
      </c>
      <c r="J1011" s="1">
        <f t="shared" si="46"/>
        <v>45795</v>
      </c>
      <c r="K1011" t="str">
        <f t="shared" si="47"/>
        <v>ACTIVE</v>
      </c>
    </row>
    <row r="1012" spans="1:11">
      <c r="A1012">
        <v>658</v>
      </c>
      <c r="B1012" t="s">
        <v>119</v>
      </c>
      <c r="C1012" s="1">
        <v>45664</v>
      </c>
      <c r="D1012" s="2" t="s">
        <v>25</v>
      </c>
      <c r="E1012" t="s">
        <v>32</v>
      </c>
      <c r="G1012" s="3">
        <v>1342</v>
      </c>
      <c r="H1012" t="s">
        <v>175</v>
      </c>
      <c r="I1012" s="3" t="str">
        <f t="shared" si="45"/>
        <v>2025-01</v>
      </c>
      <c r="J1012" s="1">
        <f t="shared" si="46"/>
        <v>45806</v>
      </c>
      <c r="K1012" t="str">
        <f t="shared" si="47"/>
        <v>ACTIVE</v>
      </c>
    </row>
    <row r="1013" spans="1:11">
      <c r="A1013">
        <v>149</v>
      </c>
      <c r="B1013" t="s">
        <v>55</v>
      </c>
      <c r="C1013" s="1">
        <v>45632</v>
      </c>
      <c r="D1013" s="2" t="s">
        <v>25</v>
      </c>
      <c r="E1013" t="s">
        <v>31</v>
      </c>
      <c r="G1013" s="3">
        <v>9354</v>
      </c>
      <c r="H1013" t="s">
        <v>172</v>
      </c>
      <c r="I1013" s="3" t="str">
        <f t="shared" si="45"/>
        <v>2024-12</v>
      </c>
      <c r="J1013" s="1">
        <f t="shared" si="46"/>
        <v>45824</v>
      </c>
      <c r="K1013" t="str">
        <f t="shared" si="47"/>
        <v>ACTIVE</v>
      </c>
    </row>
    <row r="1014" spans="1:11">
      <c r="A1014">
        <v>1467</v>
      </c>
      <c r="B1014" t="s">
        <v>117</v>
      </c>
      <c r="C1014" s="1">
        <v>45673</v>
      </c>
      <c r="D1014" s="2" t="s">
        <v>24</v>
      </c>
      <c r="E1014" t="s">
        <v>32</v>
      </c>
      <c r="G1014" s="3">
        <v>594</v>
      </c>
      <c r="H1014" t="s">
        <v>173</v>
      </c>
      <c r="I1014" s="3" t="str">
        <f t="shared" si="45"/>
        <v>2025-01</v>
      </c>
      <c r="J1014" s="1">
        <f t="shared" si="46"/>
        <v>45790</v>
      </c>
      <c r="K1014" t="str">
        <f t="shared" si="47"/>
        <v>ACTIVE</v>
      </c>
    </row>
    <row r="1015" spans="1:11">
      <c r="A1015">
        <v>1675</v>
      </c>
      <c r="B1015" t="s">
        <v>39</v>
      </c>
      <c r="C1015" s="1">
        <v>45420</v>
      </c>
      <c r="D1015" s="2" t="s">
        <v>23</v>
      </c>
      <c r="E1015" t="s">
        <v>35</v>
      </c>
      <c r="G1015" s="3">
        <v>1813</v>
      </c>
      <c r="H1015" t="s">
        <v>173</v>
      </c>
      <c r="I1015" s="3" t="str">
        <f t="shared" si="45"/>
        <v>2024-05</v>
      </c>
      <c r="J1015" s="1">
        <f t="shared" si="46"/>
        <v>45795</v>
      </c>
      <c r="K1015" t="str">
        <f t="shared" si="47"/>
        <v>ACTIVE</v>
      </c>
    </row>
    <row r="1016" spans="1:11">
      <c r="A1016">
        <v>1429</v>
      </c>
      <c r="B1016" t="s">
        <v>56</v>
      </c>
      <c r="C1016" s="1">
        <v>45565</v>
      </c>
      <c r="D1016" s="2" t="s">
        <v>27</v>
      </c>
      <c r="E1016" t="s">
        <v>33</v>
      </c>
      <c r="G1016" s="3">
        <v>1047</v>
      </c>
      <c r="H1016" t="s">
        <v>174</v>
      </c>
      <c r="I1016" s="3" t="str">
        <f t="shared" si="45"/>
        <v>2024-09</v>
      </c>
      <c r="J1016" s="1">
        <f t="shared" si="46"/>
        <v>45805</v>
      </c>
      <c r="K1016" t="str">
        <f t="shared" si="47"/>
        <v>ACTIVE</v>
      </c>
    </row>
    <row r="1017" spans="1:11">
      <c r="A1017">
        <v>29</v>
      </c>
      <c r="B1017" t="s">
        <v>119</v>
      </c>
      <c r="C1017" s="1">
        <v>45300</v>
      </c>
      <c r="D1017" s="2" t="s">
        <v>23</v>
      </c>
      <c r="E1017" t="s">
        <v>31</v>
      </c>
      <c r="G1017" s="3">
        <v>1176</v>
      </c>
      <c r="H1017" t="s">
        <v>172</v>
      </c>
      <c r="I1017" s="3" t="str">
        <f t="shared" si="45"/>
        <v>2024-01</v>
      </c>
      <c r="J1017" s="1">
        <f t="shared" si="46"/>
        <v>45806</v>
      </c>
      <c r="K1017" t="str">
        <f t="shared" si="47"/>
        <v>ACTIVE</v>
      </c>
    </row>
    <row r="1018" spans="1:11">
      <c r="A1018">
        <v>247</v>
      </c>
      <c r="B1018" t="s">
        <v>108</v>
      </c>
      <c r="C1018" s="1">
        <v>45356</v>
      </c>
      <c r="D1018" s="2" t="s">
        <v>25</v>
      </c>
      <c r="E1018" t="s">
        <v>35</v>
      </c>
      <c r="G1018" s="3">
        <v>1419</v>
      </c>
      <c r="H1018" t="s">
        <v>172</v>
      </c>
      <c r="I1018" s="3" t="str">
        <f t="shared" si="45"/>
        <v>2024-03</v>
      </c>
      <c r="J1018" s="1">
        <f t="shared" si="46"/>
        <v>45826</v>
      </c>
      <c r="K1018" t="str">
        <f t="shared" si="47"/>
        <v>ACTIVE</v>
      </c>
    </row>
    <row r="1019" spans="1:11">
      <c r="A1019">
        <v>366</v>
      </c>
      <c r="B1019" t="s">
        <v>130</v>
      </c>
      <c r="C1019" s="1">
        <v>45391</v>
      </c>
      <c r="D1019" s="2" t="s">
        <v>27</v>
      </c>
      <c r="E1019" t="s">
        <v>34</v>
      </c>
      <c r="G1019" s="3">
        <v>4710</v>
      </c>
      <c r="H1019" t="s">
        <v>174</v>
      </c>
      <c r="I1019" s="3" t="str">
        <f t="shared" si="45"/>
        <v>2024-04</v>
      </c>
      <c r="J1019" s="1">
        <f t="shared" si="46"/>
        <v>45828</v>
      </c>
      <c r="K1019" t="str">
        <f t="shared" si="47"/>
        <v>ACTIVE</v>
      </c>
    </row>
    <row r="1020" spans="1:11">
      <c r="A1020">
        <v>590</v>
      </c>
      <c r="B1020" t="s">
        <v>40</v>
      </c>
      <c r="C1020" s="1">
        <v>45577</v>
      </c>
      <c r="D1020" s="2" t="s">
        <v>28</v>
      </c>
      <c r="E1020" t="s">
        <v>30</v>
      </c>
      <c r="G1020" s="3">
        <v>1798</v>
      </c>
      <c r="H1020" t="s">
        <v>173</v>
      </c>
      <c r="I1020" s="3" t="str">
        <f t="shared" si="45"/>
        <v>2024-10</v>
      </c>
      <c r="J1020" s="1">
        <f t="shared" si="46"/>
        <v>45759</v>
      </c>
      <c r="K1020" t="str">
        <f t="shared" si="47"/>
        <v>ACTIVE</v>
      </c>
    </row>
    <row r="1021" spans="1:11">
      <c r="A1021">
        <v>1202</v>
      </c>
      <c r="B1021" t="s">
        <v>61</v>
      </c>
      <c r="C1021" s="1">
        <v>45366</v>
      </c>
      <c r="D1021" s="2" t="s">
        <v>23</v>
      </c>
      <c r="E1021" t="s">
        <v>31</v>
      </c>
      <c r="G1021" s="3">
        <v>303</v>
      </c>
      <c r="H1021" t="s">
        <v>173</v>
      </c>
      <c r="I1021" s="3" t="str">
        <f t="shared" si="45"/>
        <v>2024-03</v>
      </c>
      <c r="J1021" s="1">
        <f t="shared" si="46"/>
        <v>45815</v>
      </c>
      <c r="K1021" t="str">
        <f t="shared" si="47"/>
        <v>ACTIVE</v>
      </c>
    </row>
    <row r="1022" spans="1:11">
      <c r="A1022">
        <v>1497</v>
      </c>
      <c r="B1022" t="s">
        <v>104</v>
      </c>
      <c r="C1022" s="1">
        <v>45575</v>
      </c>
      <c r="D1022" s="2" t="s">
        <v>27</v>
      </c>
      <c r="E1022" t="s">
        <v>30</v>
      </c>
      <c r="G1022" s="3">
        <v>585</v>
      </c>
      <c r="H1022" t="s">
        <v>173</v>
      </c>
      <c r="I1022" s="3" t="str">
        <f t="shared" si="45"/>
        <v>2024-10</v>
      </c>
      <c r="J1022" s="1">
        <f t="shared" si="46"/>
        <v>45743</v>
      </c>
      <c r="K1022" t="str">
        <f t="shared" si="47"/>
        <v>ACTIVE</v>
      </c>
    </row>
    <row r="1023" spans="1:11">
      <c r="A1023">
        <v>1364</v>
      </c>
      <c r="B1023" t="s">
        <v>144</v>
      </c>
      <c r="C1023" s="1">
        <v>45460</v>
      </c>
      <c r="D1023" s="2" t="s">
        <v>25</v>
      </c>
      <c r="E1023" t="s">
        <v>31</v>
      </c>
      <c r="G1023" s="3">
        <v>11673</v>
      </c>
      <c r="H1023" t="s">
        <v>172</v>
      </c>
      <c r="I1023" s="3" t="str">
        <f t="shared" si="45"/>
        <v>2024-06</v>
      </c>
      <c r="J1023" s="1">
        <f t="shared" si="46"/>
        <v>45751</v>
      </c>
      <c r="K1023" t="str">
        <f t="shared" si="47"/>
        <v>ACTIVE</v>
      </c>
    </row>
    <row r="1024" spans="1:11">
      <c r="A1024">
        <v>199</v>
      </c>
      <c r="B1024" t="s">
        <v>94</v>
      </c>
      <c r="C1024" s="1">
        <v>45348</v>
      </c>
      <c r="D1024" s="2" t="s">
        <v>27</v>
      </c>
      <c r="E1024" t="s">
        <v>35</v>
      </c>
      <c r="G1024" s="3">
        <v>737</v>
      </c>
      <c r="H1024" t="s">
        <v>176</v>
      </c>
      <c r="I1024" s="3" t="str">
        <f t="shared" si="45"/>
        <v>2024-02</v>
      </c>
      <c r="J1024" s="1">
        <f t="shared" si="46"/>
        <v>45824</v>
      </c>
      <c r="K1024" t="str">
        <f t="shared" si="47"/>
        <v>ACTIVE</v>
      </c>
    </row>
    <row r="1025" spans="1:11">
      <c r="A1025">
        <v>1708</v>
      </c>
      <c r="B1025" t="s">
        <v>125</v>
      </c>
      <c r="C1025" s="1">
        <v>45628</v>
      </c>
      <c r="D1025" s="2" t="s">
        <v>27</v>
      </c>
      <c r="E1025" t="s">
        <v>34</v>
      </c>
      <c r="G1025" s="3">
        <v>783</v>
      </c>
      <c r="H1025" t="s">
        <v>172</v>
      </c>
      <c r="I1025" s="3" t="str">
        <f t="shared" si="45"/>
        <v>2024-12</v>
      </c>
      <c r="J1025" s="1">
        <f t="shared" si="46"/>
        <v>45784</v>
      </c>
      <c r="K1025" t="str">
        <f t="shared" si="47"/>
        <v>ACTIVE</v>
      </c>
    </row>
    <row r="1026" spans="1:11">
      <c r="A1026">
        <v>193</v>
      </c>
      <c r="B1026" t="s">
        <v>55</v>
      </c>
      <c r="C1026" s="1">
        <v>45481</v>
      </c>
      <c r="D1026" s="2" t="s">
        <v>28</v>
      </c>
      <c r="E1026" t="s">
        <v>31</v>
      </c>
      <c r="G1026" s="3">
        <v>1605</v>
      </c>
      <c r="H1026" t="s">
        <v>173</v>
      </c>
      <c r="I1026" s="3" t="str">
        <f t="shared" si="45"/>
        <v>2024-07</v>
      </c>
      <c r="J1026" s="1">
        <f t="shared" si="46"/>
        <v>45824</v>
      </c>
      <c r="K1026" t="str">
        <f t="shared" si="47"/>
        <v>ACTIVE</v>
      </c>
    </row>
    <row r="1027" spans="1:11">
      <c r="A1027">
        <v>405</v>
      </c>
      <c r="B1027" t="s">
        <v>92</v>
      </c>
      <c r="C1027" s="1">
        <v>45434</v>
      </c>
      <c r="D1027" s="2" t="s">
        <v>27</v>
      </c>
      <c r="E1027" t="s">
        <v>33</v>
      </c>
      <c r="G1027" s="3">
        <v>1006</v>
      </c>
      <c r="H1027" t="s">
        <v>174</v>
      </c>
      <c r="I1027" s="3" t="str">
        <f t="shared" ref="I1027:I1090" si="48">TEXT(C1027, "yyyy-mm")</f>
        <v>2024-05</v>
      </c>
      <c r="J1027" s="1">
        <f t="shared" ref="J1027:J1090" si="49">_xlfn.MAXIFS(C:C, B:B, B1027)</f>
        <v>45746</v>
      </c>
      <c r="K1027" t="str">
        <f t="shared" ref="K1027:K1090" si="50">IF($L$3-J1027&gt;90, "LAPSED","ACTIVE")</f>
        <v>ACTIVE</v>
      </c>
    </row>
    <row r="1028" spans="1:11">
      <c r="A1028">
        <v>1421</v>
      </c>
      <c r="B1028" t="s">
        <v>53</v>
      </c>
      <c r="C1028" s="1">
        <v>45597</v>
      </c>
      <c r="D1028" s="2" t="s">
        <v>23</v>
      </c>
      <c r="E1028" t="s">
        <v>32</v>
      </c>
      <c r="G1028" s="3">
        <v>713</v>
      </c>
      <c r="H1028" t="s">
        <v>174</v>
      </c>
      <c r="I1028" s="3" t="str">
        <f t="shared" si="48"/>
        <v>2024-11</v>
      </c>
      <c r="J1028" s="1">
        <f t="shared" si="49"/>
        <v>45779</v>
      </c>
      <c r="K1028" t="str">
        <f t="shared" si="50"/>
        <v>ACTIVE</v>
      </c>
    </row>
    <row r="1029" spans="1:11">
      <c r="A1029">
        <v>1789</v>
      </c>
      <c r="B1029" t="s">
        <v>121</v>
      </c>
      <c r="C1029" s="1">
        <v>45364</v>
      </c>
      <c r="D1029" s="2" t="s">
        <v>25</v>
      </c>
      <c r="E1029" t="s">
        <v>30</v>
      </c>
      <c r="G1029" s="3">
        <v>1794</v>
      </c>
      <c r="H1029" t="s">
        <v>176</v>
      </c>
      <c r="I1029" s="3" t="str">
        <f t="shared" si="48"/>
        <v>2024-03</v>
      </c>
      <c r="J1029" s="1">
        <f t="shared" si="49"/>
        <v>45798</v>
      </c>
      <c r="K1029" t="str">
        <f t="shared" si="50"/>
        <v>ACTIVE</v>
      </c>
    </row>
    <row r="1030" spans="1:11">
      <c r="A1030">
        <v>484</v>
      </c>
      <c r="B1030" t="s">
        <v>112</v>
      </c>
      <c r="C1030" s="1">
        <v>45650</v>
      </c>
      <c r="D1030" s="2" t="s">
        <v>28</v>
      </c>
      <c r="E1030" t="s">
        <v>35</v>
      </c>
      <c r="G1030" s="3">
        <v>1464</v>
      </c>
      <c r="H1030" t="s">
        <v>172</v>
      </c>
      <c r="I1030" s="3" t="str">
        <f t="shared" si="48"/>
        <v>2024-12</v>
      </c>
      <c r="J1030" s="1">
        <f t="shared" si="49"/>
        <v>45815</v>
      </c>
      <c r="K1030" t="str">
        <f t="shared" si="50"/>
        <v>ACTIVE</v>
      </c>
    </row>
    <row r="1031" spans="1:11">
      <c r="A1031">
        <v>1320</v>
      </c>
      <c r="B1031" t="s">
        <v>40</v>
      </c>
      <c r="C1031" s="1">
        <v>45748</v>
      </c>
      <c r="D1031" s="2" t="s">
        <v>25</v>
      </c>
      <c r="E1031" t="s">
        <v>31</v>
      </c>
      <c r="G1031" s="3">
        <v>5396</v>
      </c>
      <c r="H1031" t="s">
        <v>175</v>
      </c>
      <c r="I1031" s="3" t="str">
        <f t="shared" si="48"/>
        <v>2025-04</v>
      </c>
      <c r="J1031" s="1">
        <f t="shared" si="49"/>
        <v>45759</v>
      </c>
      <c r="K1031" t="str">
        <f t="shared" si="50"/>
        <v>ACTIVE</v>
      </c>
    </row>
    <row r="1032" spans="1:11">
      <c r="A1032">
        <v>792</v>
      </c>
      <c r="B1032" t="s">
        <v>91</v>
      </c>
      <c r="C1032" s="1">
        <v>45609</v>
      </c>
      <c r="D1032" s="2" t="s">
        <v>28</v>
      </c>
      <c r="E1032" t="s">
        <v>33</v>
      </c>
      <c r="G1032" s="3">
        <v>2587</v>
      </c>
      <c r="H1032" t="s">
        <v>175</v>
      </c>
      <c r="I1032" s="3" t="str">
        <f t="shared" si="48"/>
        <v>2024-11</v>
      </c>
      <c r="J1032" s="1">
        <f t="shared" si="49"/>
        <v>45785</v>
      </c>
      <c r="K1032" t="str">
        <f t="shared" si="50"/>
        <v>ACTIVE</v>
      </c>
    </row>
    <row r="1033" spans="1:11">
      <c r="A1033">
        <v>800</v>
      </c>
      <c r="B1033" t="s">
        <v>59</v>
      </c>
      <c r="C1033" s="1">
        <v>45457</v>
      </c>
      <c r="D1033" s="2" t="s">
        <v>25</v>
      </c>
      <c r="E1033" t="s">
        <v>35</v>
      </c>
      <c r="G1033" s="3">
        <v>871</v>
      </c>
      <c r="H1033" t="s">
        <v>176</v>
      </c>
      <c r="I1033" s="3" t="str">
        <f t="shared" si="48"/>
        <v>2024-06</v>
      </c>
      <c r="J1033" s="1">
        <f t="shared" si="49"/>
        <v>45829</v>
      </c>
      <c r="K1033" t="str">
        <f t="shared" si="50"/>
        <v>ACTIVE</v>
      </c>
    </row>
    <row r="1034" spans="1:11">
      <c r="A1034">
        <v>385</v>
      </c>
      <c r="B1034" t="s">
        <v>51</v>
      </c>
      <c r="C1034" s="1">
        <v>45376</v>
      </c>
      <c r="D1034" s="2" t="s">
        <v>27</v>
      </c>
      <c r="E1034" t="s">
        <v>35</v>
      </c>
      <c r="G1034" s="3">
        <v>8029</v>
      </c>
      <c r="H1034" t="s">
        <v>176</v>
      </c>
      <c r="I1034" s="3" t="str">
        <f t="shared" si="48"/>
        <v>2024-03</v>
      </c>
      <c r="J1034" s="1">
        <f t="shared" si="49"/>
        <v>45775</v>
      </c>
      <c r="K1034" t="str">
        <f t="shared" si="50"/>
        <v>ACTIVE</v>
      </c>
    </row>
    <row r="1035" spans="1:11">
      <c r="A1035">
        <v>751</v>
      </c>
      <c r="B1035" t="s">
        <v>72</v>
      </c>
      <c r="C1035" s="1">
        <v>45329</v>
      </c>
      <c r="D1035" s="2" t="s">
        <v>28</v>
      </c>
      <c r="E1035" t="s">
        <v>30</v>
      </c>
      <c r="G1035" s="3">
        <v>1606</v>
      </c>
      <c r="H1035" t="s">
        <v>173</v>
      </c>
      <c r="I1035" s="3" t="str">
        <f t="shared" si="48"/>
        <v>2024-02</v>
      </c>
      <c r="J1035" s="1">
        <f t="shared" si="49"/>
        <v>45815</v>
      </c>
      <c r="K1035" t="str">
        <f t="shared" si="50"/>
        <v>ACTIVE</v>
      </c>
    </row>
    <row r="1036" spans="1:11">
      <c r="A1036">
        <v>423</v>
      </c>
      <c r="B1036" t="s">
        <v>87</v>
      </c>
      <c r="C1036" s="1">
        <v>45696</v>
      </c>
      <c r="D1036" s="2" t="s">
        <v>23</v>
      </c>
      <c r="E1036" t="s">
        <v>33</v>
      </c>
      <c r="G1036" s="3">
        <v>8061</v>
      </c>
      <c r="H1036" t="s">
        <v>176</v>
      </c>
      <c r="I1036" s="3" t="str">
        <f t="shared" si="48"/>
        <v>2025-02</v>
      </c>
      <c r="J1036" s="1">
        <f t="shared" si="49"/>
        <v>45821</v>
      </c>
      <c r="K1036" t="str">
        <f t="shared" si="50"/>
        <v>ACTIVE</v>
      </c>
    </row>
    <row r="1037" spans="1:11">
      <c r="A1037">
        <v>315</v>
      </c>
      <c r="B1037" t="s">
        <v>50</v>
      </c>
      <c r="C1037" s="1">
        <v>45729</v>
      </c>
      <c r="D1037" s="2" t="s">
        <v>24</v>
      </c>
      <c r="E1037" t="s">
        <v>30</v>
      </c>
      <c r="G1037" s="3">
        <v>264</v>
      </c>
      <c r="H1037" t="s">
        <v>176</v>
      </c>
      <c r="I1037" s="3" t="str">
        <f t="shared" si="48"/>
        <v>2025-03</v>
      </c>
      <c r="J1037" s="1">
        <f t="shared" si="49"/>
        <v>45831</v>
      </c>
      <c r="K1037" t="str">
        <f t="shared" si="50"/>
        <v>ACTIVE</v>
      </c>
    </row>
    <row r="1038" spans="1:11">
      <c r="A1038">
        <v>1022</v>
      </c>
      <c r="B1038" t="s">
        <v>108</v>
      </c>
      <c r="C1038" s="1">
        <v>45476</v>
      </c>
      <c r="D1038" s="2" t="s">
        <v>23</v>
      </c>
      <c r="E1038" t="s">
        <v>30</v>
      </c>
      <c r="G1038" s="3">
        <v>9037</v>
      </c>
      <c r="H1038" t="s">
        <v>174</v>
      </c>
      <c r="I1038" s="3" t="str">
        <f t="shared" si="48"/>
        <v>2024-07</v>
      </c>
      <c r="J1038" s="1">
        <f t="shared" si="49"/>
        <v>45826</v>
      </c>
      <c r="K1038" t="str">
        <f t="shared" si="50"/>
        <v>ACTIVE</v>
      </c>
    </row>
    <row r="1039" spans="1:11">
      <c r="A1039">
        <v>544</v>
      </c>
      <c r="B1039" t="s">
        <v>118</v>
      </c>
      <c r="C1039" s="1">
        <v>45508</v>
      </c>
      <c r="D1039" s="2" t="s">
        <v>27</v>
      </c>
      <c r="E1039" t="s">
        <v>32</v>
      </c>
      <c r="G1039" s="3">
        <v>1313</v>
      </c>
      <c r="H1039" t="s">
        <v>173</v>
      </c>
      <c r="I1039" s="3" t="str">
        <f t="shared" si="48"/>
        <v>2024-08</v>
      </c>
      <c r="J1039" s="1">
        <f t="shared" si="49"/>
        <v>45830</v>
      </c>
      <c r="K1039" t="str">
        <f t="shared" si="50"/>
        <v>ACTIVE</v>
      </c>
    </row>
    <row r="1040" spans="1:11">
      <c r="A1040">
        <v>914</v>
      </c>
      <c r="B1040" t="s">
        <v>136</v>
      </c>
      <c r="C1040" s="1">
        <v>45781</v>
      </c>
      <c r="D1040" s="2" t="s">
        <v>25</v>
      </c>
      <c r="E1040" t="s">
        <v>34</v>
      </c>
      <c r="G1040" s="3">
        <v>888</v>
      </c>
      <c r="H1040" t="s">
        <v>174</v>
      </c>
      <c r="I1040" s="3" t="str">
        <f t="shared" si="48"/>
        <v>2025-05</v>
      </c>
      <c r="J1040" s="1">
        <f t="shared" si="49"/>
        <v>45823</v>
      </c>
      <c r="K1040" t="str">
        <f t="shared" si="50"/>
        <v>ACTIVE</v>
      </c>
    </row>
    <row r="1041" spans="1:11">
      <c r="A1041">
        <v>663</v>
      </c>
      <c r="B1041" t="s">
        <v>122</v>
      </c>
      <c r="C1041" s="1">
        <v>45347</v>
      </c>
      <c r="D1041" s="2" t="s">
        <v>27</v>
      </c>
      <c r="E1041" t="s">
        <v>31</v>
      </c>
      <c r="G1041" s="3">
        <v>9539</v>
      </c>
      <c r="H1041" t="s">
        <v>174</v>
      </c>
      <c r="I1041" s="3" t="str">
        <f t="shared" si="48"/>
        <v>2024-02</v>
      </c>
      <c r="J1041" s="1">
        <f t="shared" si="49"/>
        <v>45793</v>
      </c>
      <c r="K1041" t="str">
        <f t="shared" si="50"/>
        <v>ACTIVE</v>
      </c>
    </row>
    <row r="1042" spans="1:11">
      <c r="A1042">
        <v>903</v>
      </c>
      <c r="B1042" t="s">
        <v>57</v>
      </c>
      <c r="C1042" s="1">
        <v>45696</v>
      </c>
      <c r="D1042" s="2" t="s">
        <v>28</v>
      </c>
      <c r="E1042" t="s">
        <v>33</v>
      </c>
      <c r="G1042" s="3">
        <v>711</v>
      </c>
      <c r="H1042" t="s">
        <v>173</v>
      </c>
      <c r="I1042" s="3" t="str">
        <f t="shared" si="48"/>
        <v>2025-02</v>
      </c>
      <c r="J1042" s="1">
        <f t="shared" si="49"/>
        <v>45808</v>
      </c>
      <c r="K1042" t="str">
        <f t="shared" si="50"/>
        <v>ACTIVE</v>
      </c>
    </row>
    <row r="1043" spans="1:11">
      <c r="A1043">
        <v>1268</v>
      </c>
      <c r="B1043" t="s">
        <v>110</v>
      </c>
      <c r="C1043" s="1">
        <v>45476</v>
      </c>
      <c r="D1043" s="2" t="s">
        <v>23</v>
      </c>
      <c r="E1043" t="s">
        <v>33</v>
      </c>
      <c r="G1043" s="3">
        <v>999</v>
      </c>
      <c r="H1043" t="s">
        <v>175</v>
      </c>
      <c r="I1043" s="3" t="str">
        <f t="shared" si="48"/>
        <v>2024-07</v>
      </c>
      <c r="J1043" s="1">
        <f t="shared" si="49"/>
        <v>45816</v>
      </c>
      <c r="K1043" t="str">
        <f t="shared" si="50"/>
        <v>ACTIVE</v>
      </c>
    </row>
    <row r="1044" spans="1:11">
      <c r="A1044">
        <v>686</v>
      </c>
      <c r="B1044" t="s">
        <v>111</v>
      </c>
      <c r="C1044" s="1">
        <v>45567</v>
      </c>
      <c r="D1044" s="2" t="s">
        <v>25</v>
      </c>
      <c r="E1044" t="s">
        <v>31</v>
      </c>
      <c r="G1044" s="3">
        <v>531</v>
      </c>
      <c r="H1044" t="s">
        <v>173</v>
      </c>
      <c r="I1044" s="3" t="str">
        <f t="shared" si="48"/>
        <v>2024-10</v>
      </c>
      <c r="J1044" s="1">
        <f t="shared" si="49"/>
        <v>45829</v>
      </c>
      <c r="K1044" t="str">
        <f t="shared" si="50"/>
        <v>ACTIVE</v>
      </c>
    </row>
    <row r="1045" spans="1:11">
      <c r="A1045">
        <v>1519</v>
      </c>
      <c r="B1045" t="s">
        <v>113</v>
      </c>
      <c r="C1045" s="1">
        <v>45763</v>
      </c>
      <c r="D1045" s="2" t="s">
        <v>24</v>
      </c>
      <c r="E1045" t="s">
        <v>34</v>
      </c>
      <c r="G1045" s="3">
        <v>8739</v>
      </c>
      <c r="H1045" t="s">
        <v>176</v>
      </c>
      <c r="I1045" s="3" t="str">
        <f t="shared" si="48"/>
        <v>2025-04</v>
      </c>
      <c r="J1045" s="1">
        <f t="shared" si="49"/>
        <v>45788</v>
      </c>
      <c r="K1045" t="str">
        <f t="shared" si="50"/>
        <v>ACTIVE</v>
      </c>
    </row>
    <row r="1046" spans="1:11">
      <c r="A1046">
        <v>160</v>
      </c>
      <c r="B1046" t="s">
        <v>50</v>
      </c>
      <c r="C1046" s="1">
        <v>45747</v>
      </c>
      <c r="D1046" s="2" t="s">
        <v>24</v>
      </c>
      <c r="E1046" t="s">
        <v>30</v>
      </c>
      <c r="G1046" s="3">
        <v>5419</v>
      </c>
      <c r="H1046" t="s">
        <v>175</v>
      </c>
      <c r="I1046" s="3" t="str">
        <f t="shared" si="48"/>
        <v>2025-03</v>
      </c>
      <c r="J1046" s="1">
        <f t="shared" si="49"/>
        <v>45831</v>
      </c>
      <c r="K1046" t="str">
        <f t="shared" si="50"/>
        <v>ACTIVE</v>
      </c>
    </row>
    <row r="1047" spans="1:11">
      <c r="A1047">
        <v>1000</v>
      </c>
      <c r="B1047" t="s">
        <v>62</v>
      </c>
      <c r="C1047" s="1">
        <v>45608</v>
      </c>
      <c r="D1047" s="2" t="s">
        <v>25</v>
      </c>
      <c r="E1047" t="s">
        <v>35</v>
      </c>
      <c r="G1047" s="3">
        <v>10807</v>
      </c>
      <c r="H1047" t="s">
        <v>175</v>
      </c>
      <c r="I1047" s="3" t="str">
        <f t="shared" si="48"/>
        <v>2024-11</v>
      </c>
      <c r="J1047" s="1">
        <f t="shared" si="49"/>
        <v>45815</v>
      </c>
      <c r="K1047" t="str">
        <f t="shared" si="50"/>
        <v>ACTIVE</v>
      </c>
    </row>
    <row r="1048" spans="1:11">
      <c r="A1048">
        <v>1180</v>
      </c>
      <c r="B1048" t="s">
        <v>146</v>
      </c>
      <c r="C1048" s="1">
        <v>45357</v>
      </c>
      <c r="D1048" s="2" t="s">
        <v>27</v>
      </c>
      <c r="E1048" t="s">
        <v>35</v>
      </c>
      <c r="G1048" s="3">
        <v>2061</v>
      </c>
      <c r="H1048" t="s">
        <v>172</v>
      </c>
      <c r="I1048" s="3" t="str">
        <f t="shared" si="48"/>
        <v>2024-03</v>
      </c>
      <c r="J1048" s="1">
        <f t="shared" si="49"/>
        <v>45819</v>
      </c>
      <c r="K1048" t="str">
        <f t="shared" si="50"/>
        <v>ACTIVE</v>
      </c>
    </row>
    <row r="1049" spans="1:11">
      <c r="A1049">
        <v>1731</v>
      </c>
      <c r="B1049" t="s">
        <v>108</v>
      </c>
      <c r="C1049" s="1">
        <v>45826</v>
      </c>
      <c r="D1049" s="2" t="s">
        <v>23</v>
      </c>
      <c r="E1049" t="s">
        <v>33</v>
      </c>
      <c r="G1049" s="3">
        <v>604</v>
      </c>
      <c r="H1049" t="s">
        <v>176</v>
      </c>
      <c r="I1049" s="3" t="str">
        <f t="shared" si="48"/>
        <v>2025-06</v>
      </c>
      <c r="J1049" s="1">
        <f t="shared" si="49"/>
        <v>45826</v>
      </c>
      <c r="K1049" t="str">
        <f t="shared" si="50"/>
        <v>ACTIVE</v>
      </c>
    </row>
    <row r="1050" spans="1:11">
      <c r="A1050">
        <v>203</v>
      </c>
      <c r="B1050" t="s">
        <v>102</v>
      </c>
      <c r="C1050" s="1">
        <v>45694</v>
      </c>
      <c r="D1050" s="2" t="s">
        <v>27</v>
      </c>
      <c r="E1050" t="s">
        <v>30</v>
      </c>
      <c r="G1050" s="3">
        <v>2268</v>
      </c>
      <c r="H1050" t="s">
        <v>176</v>
      </c>
      <c r="I1050" s="3" t="str">
        <f t="shared" si="48"/>
        <v>2025-02</v>
      </c>
      <c r="J1050" s="1">
        <f t="shared" si="49"/>
        <v>45793</v>
      </c>
      <c r="K1050" t="str">
        <f t="shared" si="50"/>
        <v>ACTIVE</v>
      </c>
    </row>
    <row r="1051" spans="1:11">
      <c r="A1051">
        <v>1024</v>
      </c>
      <c r="B1051" t="s">
        <v>52</v>
      </c>
      <c r="C1051" s="1">
        <v>45534</v>
      </c>
      <c r="D1051" s="2" t="s">
        <v>27</v>
      </c>
      <c r="E1051" t="s">
        <v>30</v>
      </c>
      <c r="G1051" s="3">
        <v>827</v>
      </c>
      <c r="H1051" t="s">
        <v>173</v>
      </c>
      <c r="I1051" s="3" t="str">
        <f t="shared" si="48"/>
        <v>2024-08</v>
      </c>
      <c r="J1051" s="1">
        <f t="shared" si="49"/>
        <v>45811</v>
      </c>
      <c r="K1051" t="str">
        <f t="shared" si="50"/>
        <v>ACTIVE</v>
      </c>
    </row>
    <row r="1052" spans="1:11">
      <c r="A1052">
        <v>1382</v>
      </c>
      <c r="B1052" t="s">
        <v>50</v>
      </c>
      <c r="C1052" s="1">
        <v>45457</v>
      </c>
      <c r="D1052" s="2" t="s">
        <v>23</v>
      </c>
      <c r="E1052" t="s">
        <v>33</v>
      </c>
      <c r="G1052" s="3">
        <v>1957</v>
      </c>
      <c r="H1052" t="s">
        <v>175</v>
      </c>
      <c r="I1052" s="3" t="str">
        <f t="shared" si="48"/>
        <v>2024-06</v>
      </c>
      <c r="J1052" s="1">
        <f t="shared" si="49"/>
        <v>45831</v>
      </c>
      <c r="K1052" t="str">
        <f t="shared" si="50"/>
        <v>ACTIVE</v>
      </c>
    </row>
    <row r="1053" spans="1:11">
      <c r="A1053">
        <v>1154</v>
      </c>
      <c r="B1053" t="s">
        <v>57</v>
      </c>
      <c r="C1053" s="1">
        <v>45747</v>
      </c>
      <c r="D1053" s="2" t="s">
        <v>28</v>
      </c>
      <c r="E1053" t="s">
        <v>30</v>
      </c>
      <c r="G1053" s="3">
        <v>265</v>
      </c>
      <c r="H1053" t="s">
        <v>172</v>
      </c>
      <c r="I1053" s="3" t="str">
        <f t="shared" si="48"/>
        <v>2025-03</v>
      </c>
      <c r="J1053" s="1">
        <f t="shared" si="49"/>
        <v>45808</v>
      </c>
      <c r="K1053" t="str">
        <f t="shared" si="50"/>
        <v>ACTIVE</v>
      </c>
    </row>
    <row r="1054" spans="1:11">
      <c r="A1054">
        <v>113</v>
      </c>
      <c r="B1054" t="s">
        <v>110</v>
      </c>
      <c r="C1054" s="1">
        <v>45353</v>
      </c>
      <c r="D1054" s="2" t="s">
        <v>23</v>
      </c>
      <c r="E1054" t="s">
        <v>35</v>
      </c>
      <c r="G1054" s="3">
        <v>5340</v>
      </c>
      <c r="H1054" t="s">
        <v>173</v>
      </c>
      <c r="I1054" s="3" t="str">
        <f t="shared" si="48"/>
        <v>2024-03</v>
      </c>
      <c r="J1054" s="1">
        <f t="shared" si="49"/>
        <v>45816</v>
      </c>
      <c r="K1054" t="str">
        <f t="shared" si="50"/>
        <v>ACTIVE</v>
      </c>
    </row>
    <row r="1055" spans="1:11">
      <c r="A1055">
        <v>1633</v>
      </c>
      <c r="B1055" t="s">
        <v>153</v>
      </c>
      <c r="C1055" s="1">
        <v>45399</v>
      </c>
      <c r="D1055" s="2" t="s">
        <v>27</v>
      </c>
      <c r="E1055" t="s">
        <v>34</v>
      </c>
      <c r="G1055" s="3">
        <v>1047</v>
      </c>
      <c r="H1055" t="s">
        <v>176</v>
      </c>
      <c r="I1055" s="3" t="str">
        <f t="shared" si="48"/>
        <v>2024-04</v>
      </c>
      <c r="J1055" s="1">
        <f t="shared" si="49"/>
        <v>45690</v>
      </c>
      <c r="K1055" t="str">
        <f t="shared" si="50"/>
        <v>LAPSED</v>
      </c>
    </row>
    <row r="1056" spans="1:11">
      <c r="A1056">
        <v>981</v>
      </c>
      <c r="B1056" t="s">
        <v>115</v>
      </c>
      <c r="C1056" s="1">
        <v>45715</v>
      </c>
      <c r="D1056" s="2" t="s">
        <v>28</v>
      </c>
      <c r="E1056" t="s">
        <v>30</v>
      </c>
      <c r="G1056" s="3">
        <v>1009</v>
      </c>
      <c r="H1056" t="s">
        <v>172</v>
      </c>
      <c r="I1056" s="3" t="str">
        <f t="shared" si="48"/>
        <v>2025-02</v>
      </c>
      <c r="J1056" s="1">
        <f t="shared" si="49"/>
        <v>45810</v>
      </c>
      <c r="K1056" t="str">
        <f t="shared" si="50"/>
        <v>ACTIVE</v>
      </c>
    </row>
    <row r="1057" spans="1:11">
      <c r="A1057">
        <v>923</v>
      </c>
      <c r="B1057" t="s">
        <v>100</v>
      </c>
      <c r="C1057" s="1">
        <v>45469</v>
      </c>
      <c r="D1057" s="2" t="s">
        <v>27</v>
      </c>
      <c r="E1057" t="s">
        <v>34</v>
      </c>
      <c r="G1057" s="3">
        <v>850</v>
      </c>
      <c r="H1057" t="s">
        <v>173</v>
      </c>
      <c r="I1057" s="3" t="str">
        <f t="shared" si="48"/>
        <v>2024-06</v>
      </c>
      <c r="J1057" s="1">
        <f t="shared" si="49"/>
        <v>45779</v>
      </c>
      <c r="K1057" t="str">
        <f t="shared" si="50"/>
        <v>ACTIVE</v>
      </c>
    </row>
    <row r="1058" spans="1:11">
      <c r="A1058">
        <v>1751</v>
      </c>
      <c r="B1058" t="s">
        <v>77</v>
      </c>
      <c r="C1058" s="1">
        <v>45473</v>
      </c>
      <c r="D1058" s="2" t="s">
        <v>27</v>
      </c>
      <c r="E1058" t="s">
        <v>32</v>
      </c>
      <c r="G1058" s="3">
        <v>2406</v>
      </c>
      <c r="H1058" t="s">
        <v>172</v>
      </c>
      <c r="I1058" s="3" t="str">
        <f t="shared" si="48"/>
        <v>2024-06</v>
      </c>
      <c r="J1058" s="1">
        <f t="shared" si="49"/>
        <v>45821</v>
      </c>
      <c r="K1058" t="str">
        <f t="shared" si="50"/>
        <v>ACTIVE</v>
      </c>
    </row>
    <row r="1059" spans="1:11">
      <c r="A1059">
        <v>1532</v>
      </c>
      <c r="B1059" t="s">
        <v>143</v>
      </c>
      <c r="C1059" s="1">
        <v>45332</v>
      </c>
      <c r="D1059" s="2" t="s">
        <v>28</v>
      </c>
      <c r="E1059" t="s">
        <v>34</v>
      </c>
      <c r="G1059" s="3">
        <v>1182</v>
      </c>
      <c r="H1059" t="s">
        <v>175</v>
      </c>
      <c r="I1059" s="3" t="str">
        <f t="shared" si="48"/>
        <v>2024-02</v>
      </c>
      <c r="J1059" s="1">
        <f t="shared" si="49"/>
        <v>45764</v>
      </c>
      <c r="K1059" t="str">
        <f t="shared" si="50"/>
        <v>ACTIVE</v>
      </c>
    </row>
    <row r="1060" spans="1:11">
      <c r="A1060">
        <v>1287</v>
      </c>
      <c r="B1060" t="s">
        <v>46</v>
      </c>
      <c r="C1060" s="1">
        <v>45617</v>
      </c>
      <c r="D1060" s="2" t="s">
        <v>25</v>
      </c>
      <c r="E1060" t="s">
        <v>30</v>
      </c>
      <c r="G1060" s="3">
        <v>964</v>
      </c>
      <c r="H1060" t="s">
        <v>175</v>
      </c>
      <c r="I1060" s="3" t="str">
        <f t="shared" si="48"/>
        <v>2024-11</v>
      </c>
      <c r="J1060" s="1">
        <f t="shared" si="49"/>
        <v>45815</v>
      </c>
      <c r="K1060" t="str">
        <f t="shared" si="50"/>
        <v>ACTIVE</v>
      </c>
    </row>
    <row r="1061" spans="1:11">
      <c r="A1061">
        <v>1128</v>
      </c>
      <c r="B1061" t="s">
        <v>147</v>
      </c>
      <c r="C1061" s="1">
        <v>45483</v>
      </c>
      <c r="D1061" s="2" t="s">
        <v>24</v>
      </c>
      <c r="E1061" t="s">
        <v>31</v>
      </c>
      <c r="G1061" s="3">
        <v>1480</v>
      </c>
      <c r="H1061" t="s">
        <v>172</v>
      </c>
      <c r="I1061" s="3" t="str">
        <f t="shared" si="48"/>
        <v>2024-07</v>
      </c>
      <c r="J1061" s="1">
        <f t="shared" si="49"/>
        <v>45752</v>
      </c>
      <c r="K1061" t="str">
        <f t="shared" si="50"/>
        <v>ACTIVE</v>
      </c>
    </row>
    <row r="1062" spans="1:11">
      <c r="A1062">
        <v>816</v>
      </c>
      <c r="B1062" t="s">
        <v>82</v>
      </c>
      <c r="C1062" s="1">
        <v>45373</v>
      </c>
      <c r="D1062" s="2" t="s">
        <v>28</v>
      </c>
      <c r="E1062" t="s">
        <v>32</v>
      </c>
      <c r="G1062" s="3">
        <v>1482</v>
      </c>
      <c r="H1062" t="s">
        <v>173</v>
      </c>
      <c r="I1062" s="3" t="str">
        <f t="shared" si="48"/>
        <v>2024-03</v>
      </c>
      <c r="J1062" s="1">
        <f t="shared" si="49"/>
        <v>45781</v>
      </c>
      <c r="K1062" t="str">
        <f t="shared" si="50"/>
        <v>ACTIVE</v>
      </c>
    </row>
    <row r="1063" spans="1:11">
      <c r="A1063">
        <v>1317</v>
      </c>
      <c r="B1063" t="s">
        <v>123</v>
      </c>
      <c r="C1063" s="1">
        <v>45418</v>
      </c>
      <c r="D1063" s="2" t="s">
        <v>25</v>
      </c>
      <c r="E1063" t="s">
        <v>33</v>
      </c>
      <c r="G1063" s="3">
        <v>1709</v>
      </c>
      <c r="H1063" t="s">
        <v>172</v>
      </c>
      <c r="I1063" s="3" t="str">
        <f t="shared" si="48"/>
        <v>2024-05</v>
      </c>
      <c r="J1063" s="1">
        <f t="shared" si="49"/>
        <v>45772</v>
      </c>
      <c r="K1063" t="str">
        <f t="shared" si="50"/>
        <v>ACTIVE</v>
      </c>
    </row>
    <row r="1064" spans="1:11">
      <c r="A1064">
        <v>1172</v>
      </c>
      <c r="B1064" t="s">
        <v>107</v>
      </c>
      <c r="C1064" s="1">
        <v>45454</v>
      </c>
      <c r="D1064" s="2" t="s">
        <v>24</v>
      </c>
      <c r="E1064" t="s">
        <v>32</v>
      </c>
      <c r="G1064" s="3">
        <v>321</v>
      </c>
      <c r="H1064" t="s">
        <v>172</v>
      </c>
      <c r="I1064" s="3" t="str">
        <f t="shared" si="48"/>
        <v>2024-06</v>
      </c>
      <c r="J1064" s="1">
        <f t="shared" si="49"/>
        <v>45831</v>
      </c>
      <c r="K1064" t="str">
        <f t="shared" si="50"/>
        <v>ACTIVE</v>
      </c>
    </row>
    <row r="1065" spans="1:11">
      <c r="A1065">
        <v>81</v>
      </c>
      <c r="B1065" t="s">
        <v>76</v>
      </c>
      <c r="C1065" s="1">
        <v>45454</v>
      </c>
      <c r="D1065" s="2" t="s">
        <v>23</v>
      </c>
      <c r="E1065" t="s">
        <v>34</v>
      </c>
      <c r="G1065" s="3">
        <v>9632</v>
      </c>
      <c r="H1065" t="s">
        <v>172</v>
      </c>
      <c r="I1065" s="3" t="str">
        <f t="shared" si="48"/>
        <v>2024-06</v>
      </c>
      <c r="J1065" s="1">
        <f t="shared" si="49"/>
        <v>45792</v>
      </c>
      <c r="K1065" t="str">
        <f t="shared" si="50"/>
        <v>ACTIVE</v>
      </c>
    </row>
    <row r="1066" spans="1:11">
      <c r="A1066">
        <v>1588</v>
      </c>
      <c r="B1066" t="s">
        <v>121</v>
      </c>
      <c r="C1066" s="1">
        <v>45482</v>
      </c>
      <c r="D1066" s="2" t="s">
        <v>27</v>
      </c>
      <c r="E1066" t="s">
        <v>31</v>
      </c>
      <c r="G1066" s="3">
        <v>539</v>
      </c>
      <c r="H1066" t="s">
        <v>176</v>
      </c>
      <c r="I1066" s="3" t="str">
        <f t="shared" si="48"/>
        <v>2024-07</v>
      </c>
      <c r="J1066" s="1">
        <f t="shared" si="49"/>
        <v>45798</v>
      </c>
      <c r="K1066" t="str">
        <f t="shared" si="50"/>
        <v>ACTIVE</v>
      </c>
    </row>
    <row r="1067" spans="1:11">
      <c r="A1067">
        <v>1380</v>
      </c>
      <c r="B1067" t="s">
        <v>124</v>
      </c>
      <c r="C1067" s="1">
        <v>45313</v>
      </c>
      <c r="D1067" s="2" t="s">
        <v>23</v>
      </c>
      <c r="E1067" t="s">
        <v>30</v>
      </c>
      <c r="G1067" s="3">
        <v>5270</v>
      </c>
      <c r="H1067" t="s">
        <v>176</v>
      </c>
      <c r="I1067" s="3" t="str">
        <f t="shared" si="48"/>
        <v>2024-01</v>
      </c>
      <c r="J1067" s="1">
        <f t="shared" si="49"/>
        <v>45793</v>
      </c>
      <c r="K1067" t="str">
        <f t="shared" si="50"/>
        <v>ACTIVE</v>
      </c>
    </row>
    <row r="1068" spans="1:11">
      <c r="A1068">
        <v>1381</v>
      </c>
      <c r="B1068" t="s">
        <v>47</v>
      </c>
      <c r="C1068" s="1">
        <v>45360</v>
      </c>
      <c r="D1068" s="2" t="s">
        <v>25</v>
      </c>
      <c r="E1068" t="s">
        <v>31</v>
      </c>
      <c r="G1068" s="3">
        <v>4949</v>
      </c>
      <c r="H1068" t="s">
        <v>175</v>
      </c>
      <c r="I1068" s="3" t="str">
        <f t="shared" si="48"/>
        <v>2024-03</v>
      </c>
      <c r="J1068" s="1">
        <f t="shared" si="49"/>
        <v>45792</v>
      </c>
      <c r="K1068" t="str">
        <f t="shared" si="50"/>
        <v>ACTIVE</v>
      </c>
    </row>
    <row r="1069" spans="1:11">
      <c r="A1069">
        <v>753</v>
      </c>
      <c r="B1069" t="s">
        <v>126</v>
      </c>
      <c r="C1069" s="1">
        <v>45827</v>
      </c>
      <c r="D1069" s="2" t="s">
        <v>26</v>
      </c>
      <c r="E1069" t="s">
        <v>33</v>
      </c>
      <c r="G1069" s="3">
        <v>598</v>
      </c>
      <c r="H1069" t="s">
        <v>175</v>
      </c>
      <c r="I1069" s="3" t="str">
        <f t="shared" si="48"/>
        <v>2025-06</v>
      </c>
      <c r="J1069" s="1">
        <f t="shared" si="49"/>
        <v>45827</v>
      </c>
      <c r="K1069" t="str">
        <f t="shared" si="50"/>
        <v>ACTIVE</v>
      </c>
    </row>
    <row r="1070" spans="1:11">
      <c r="A1070">
        <v>1351</v>
      </c>
      <c r="B1070" t="s">
        <v>156</v>
      </c>
      <c r="C1070" s="1">
        <v>45514</v>
      </c>
      <c r="D1070" s="2" t="s">
        <v>25</v>
      </c>
      <c r="E1070" t="s">
        <v>31</v>
      </c>
      <c r="G1070" s="3">
        <v>443</v>
      </c>
      <c r="H1070" t="s">
        <v>172</v>
      </c>
      <c r="I1070" s="3" t="str">
        <f t="shared" si="48"/>
        <v>2024-08</v>
      </c>
      <c r="J1070" s="1">
        <f t="shared" si="49"/>
        <v>45738</v>
      </c>
      <c r="K1070" t="str">
        <f t="shared" si="50"/>
        <v>LAPSED</v>
      </c>
    </row>
    <row r="1071" spans="1:11">
      <c r="A1071">
        <v>1055</v>
      </c>
      <c r="B1071" t="s">
        <v>160</v>
      </c>
      <c r="C1071" s="1">
        <v>45672</v>
      </c>
      <c r="D1071" s="2" t="s">
        <v>28</v>
      </c>
      <c r="E1071" t="s">
        <v>34</v>
      </c>
      <c r="G1071" s="3">
        <v>863</v>
      </c>
      <c r="H1071" t="s">
        <v>172</v>
      </c>
      <c r="I1071" s="3" t="str">
        <f t="shared" si="48"/>
        <v>2025-01</v>
      </c>
      <c r="J1071" s="1">
        <f t="shared" si="49"/>
        <v>45734</v>
      </c>
      <c r="K1071" t="str">
        <f t="shared" si="50"/>
        <v>LAPSED</v>
      </c>
    </row>
    <row r="1072" spans="1:11">
      <c r="A1072">
        <v>243</v>
      </c>
      <c r="B1072" t="s">
        <v>89</v>
      </c>
      <c r="C1072" s="1">
        <v>45594</v>
      </c>
      <c r="D1072" s="2" t="s">
        <v>25</v>
      </c>
      <c r="E1072" t="s">
        <v>34</v>
      </c>
      <c r="G1072" s="3">
        <v>1409</v>
      </c>
      <c r="H1072" t="s">
        <v>174</v>
      </c>
      <c r="I1072" s="3" t="str">
        <f t="shared" si="48"/>
        <v>2024-10</v>
      </c>
      <c r="J1072" s="1">
        <f t="shared" si="49"/>
        <v>45826</v>
      </c>
      <c r="K1072" t="str">
        <f t="shared" si="50"/>
        <v>ACTIVE</v>
      </c>
    </row>
    <row r="1073" spans="1:11">
      <c r="A1073">
        <v>1239</v>
      </c>
      <c r="B1073" t="s">
        <v>132</v>
      </c>
      <c r="C1073" s="1">
        <v>45398</v>
      </c>
      <c r="D1073" s="2" t="s">
        <v>28</v>
      </c>
      <c r="E1073" t="s">
        <v>35</v>
      </c>
      <c r="G1073" s="3">
        <v>782</v>
      </c>
      <c r="H1073" t="s">
        <v>173</v>
      </c>
      <c r="I1073" s="3" t="str">
        <f t="shared" si="48"/>
        <v>2024-04</v>
      </c>
      <c r="J1073" s="1">
        <f t="shared" si="49"/>
        <v>45822</v>
      </c>
      <c r="K1073" t="str">
        <f t="shared" si="50"/>
        <v>ACTIVE</v>
      </c>
    </row>
    <row r="1074" spans="1:11">
      <c r="A1074">
        <v>642</v>
      </c>
      <c r="B1074" t="s">
        <v>144</v>
      </c>
      <c r="C1074" s="1">
        <v>45602</v>
      </c>
      <c r="D1074" s="2" t="s">
        <v>27</v>
      </c>
      <c r="E1074" t="s">
        <v>32</v>
      </c>
      <c r="G1074" s="3">
        <v>640</v>
      </c>
      <c r="H1074" t="s">
        <v>173</v>
      </c>
      <c r="I1074" s="3" t="str">
        <f t="shared" si="48"/>
        <v>2024-11</v>
      </c>
      <c r="J1074" s="1">
        <f t="shared" si="49"/>
        <v>45751</v>
      </c>
      <c r="K1074" t="str">
        <f t="shared" si="50"/>
        <v>ACTIVE</v>
      </c>
    </row>
    <row r="1075" spans="1:11">
      <c r="A1075">
        <v>697</v>
      </c>
      <c r="B1075" t="s">
        <v>53</v>
      </c>
      <c r="C1075" s="1">
        <v>45696</v>
      </c>
      <c r="D1075" s="2" t="s">
        <v>25</v>
      </c>
      <c r="E1075" t="s">
        <v>33</v>
      </c>
      <c r="G1075" s="3">
        <v>295</v>
      </c>
      <c r="H1075" t="s">
        <v>173</v>
      </c>
      <c r="I1075" s="3" t="str">
        <f t="shared" si="48"/>
        <v>2025-02</v>
      </c>
      <c r="J1075" s="1">
        <f t="shared" si="49"/>
        <v>45779</v>
      </c>
      <c r="K1075" t="str">
        <f t="shared" si="50"/>
        <v>ACTIVE</v>
      </c>
    </row>
    <row r="1076" spans="1:11">
      <c r="A1076">
        <v>210</v>
      </c>
      <c r="B1076" t="s">
        <v>148</v>
      </c>
      <c r="C1076" s="1">
        <v>45766</v>
      </c>
      <c r="D1076" s="2" t="s">
        <v>25</v>
      </c>
      <c r="E1076" t="s">
        <v>35</v>
      </c>
      <c r="G1076" s="3">
        <v>890</v>
      </c>
      <c r="H1076" t="s">
        <v>175</v>
      </c>
      <c r="I1076" s="3" t="str">
        <f t="shared" si="48"/>
        <v>2025-04</v>
      </c>
      <c r="J1076" s="1">
        <f t="shared" si="49"/>
        <v>45766</v>
      </c>
      <c r="K1076" t="str">
        <f t="shared" si="50"/>
        <v>ACTIVE</v>
      </c>
    </row>
    <row r="1077" spans="1:11">
      <c r="A1077">
        <v>771</v>
      </c>
      <c r="B1077" t="s">
        <v>63</v>
      </c>
      <c r="C1077" s="1">
        <v>45474</v>
      </c>
      <c r="D1077" s="2" t="s">
        <v>25</v>
      </c>
      <c r="E1077" t="s">
        <v>33</v>
      </c>
      <c r="G1077" s="3">
        <v>2911</v>
      </c>
      <c r="H1077" t="s">
        <v>176</v>
      </c>
      <c r="I1077" s="3" t="str">
        <f t="shared" si="48"/>
        <v>2024-07</v>
      </c>
      <c r="J1077" s="1">
        <f t="shared" si="49"/>
        <v>45805</v>
      </c>
      <c r="K1077" t="str">
        <f t="shared" si="50"/>
        <v>ACTIVE</v>
      </c>
    </row>
    <row r="1078" spans="1:11">
      <c r="A1078">
        <v>1582</v>
      </c>
      <c r="B1078" t="s">
        <v>118</v>
      </c>
      <c r="C1078" s="1">
        <v>45527</v>
      </c>
      <c r="D1078" s="2" t="s">
        <v>23</v>
      </c>
      <c r="E1078" t="s">
        <v>32</v>
      </c>
      <c r="G1078" s="3">
        <v>2507</v>
      </c>
      <c r="H1078" t="s">
        <v>174</v>
      </c>
      <c r="I1078" s="3" t="str">
        <f t="shared" si="48"/>
        <v>2024-08</v>
      </c>
      <c r="J1078" s="1">
        <f t="shared" si="49"/>
        <v>45830</v>
      </c>
      <c r="K1078" t="str">
        <f t="shared" si="50"/>
        <v>ACTIVE</v>
      </c>
    </row>
    <row r="1079" spans="1:11">
      <c r="A1079">
        <v>436</v>
      </c>
      <c r="B1079" t="s">
        <v>106</v>
      </c>
      <c r="C1079" s="1">
        <v>45533</v>
      </c>
      <c r="D1079" s="2" t="s">
        <v>28</v>
      </c>
      <c r="E1079" t="s">
        <v>32</v>
      </c>
      <c r="G1079" s="3">
        <v>1717</v>
      </c>
      <c r="H1079" t="s">
        <v>172</v>
      </c>
      <c r="I1079" s="3" t="str">
        <f t="shared" si="48"/>
        <v>2024-08</v>
      </c>
      <c r="J1079" s="1">
        <f t="shared" si="49"/>
        <v>45760</v>
      </c>
      <c r="K1079" t="str">
        <f t="shared" si="50"/>
        <v>ACTIVE</v>
      </c>
    </row>
    <row r="1080" spans="1:11">
      <c r="A1080">
        <v>1064</v>
      </c>
      <c r="B1080" t="s">
        <v>130</v>
      </c>
      <c r="C1080" s="1">
        <v>45561</v>
      </c>
      <c r="D1080" s="2" t="s">
        <v>23</v>
      </c>
      <c r="E1080" t="s">
        <v>30</v>
      </c>
      <c r="G1080" s="3">
        <v>329</v>
      </c>
      <c r="H1080" t="s">
        <v>172</v>
      </c>
      <c r="I1080" s="3" t="str">
        <f t="shared" si="48"/>
        <v>2024-09</v>
      </c>
      <c r="J1080" s="1">
        <f t="shared" si="49"/>
        <v>45828</v>
      </c>
      <c r="K1080" t="str">
        <f t="shared" si="50"/>
        <v>ACTIVE</v>
      </c>
    </row>
    <row r="1081" spans="1:11">
      <c r="A1081">
        <v>975</v>
      </c>
      <c r="B1081" t="s">
        <v>147</v>
      </c>
      <c r="C1081" s="1">
        <v>45296</v>
      </c>
      <c r="D1081" s="2" t="s">
        <v>28</v>
      </c>
      <c r="E1081" t="s">
        <v>31</v>
      </c>
      <c r="G1081" s="3">
        <v>1705</v>
      </c>
      <c r="H1081" t="s">
        <v>173</v>
      </c>
      <c r="I1081" s="3" t="str">
        <f t="shared" si="48"/>
        <v>2024-01</v>
      </c>
      <c r="J1081" s="1">
        <f t="shared" si="49"/>
        <v>45752</v>
      </c>
      <c r="K1081" t="str">
        <f t="shared" si="50"/>
        <v>ACTIVE</v>
      </c>
    </row>
    <row r="1082" spans="1:11">
      <c r="A1082">
        <v>552</v>
      </c>
      <c r="B1082" t="s">
        <v>109</v>
      </c>
      <c r="C1082" s="1">
        <v>45776</v>
      </c>
      <c r="D1082" s="2" t="s">
        <v>27</v>
      </c>
      <c r="E1082" t="s">
        <v>35</v>
      </c>
      <c r="G1082" s="3">
        <v>531</v>
      </c>
      <c r="H1082" t="s">
        <v>174</v>
      </c>
      <c r="I1082" s="3" t="str">
        <f t="shared" si="48"/>
        <v>2025-04</v>
      </c>
      <c r="J1082" s="1">
        <f t="shared" si="49"/>
        <v>45776</v>
      </c>
      <c r="K1082" t="str">
        <f t="shared" si="50"/>
        <v>ACTIVE</v>
      </c>
    </row>
    <row r="1083" spans="1:11">
      <c r="A1083">
        <v>1332</v>
      </c>
      <c r="B1083" t="s">
        <v>85</v>
      </c>
      <c r="C1083" s="1">
        <v>45389</v>
      </c>
      <c r="D1083" s="2" t="s">
        <v>27</v>
      </c>
      <c r="E1083" t="s">
        <v>35</v>
      </c>
      <c r="G1083" s="3">
        <v>4163</v>
      </c>
      <c r="H1083" t="s">
        <v>173</v>
      </c>
      <c r="I1083" s="3" t="str">
        <f t="shared" si="48"/>
        <v>2024-04</v>
      </c>
      <c r="J1083" s="1">
        <f t="shared" si="49"/>
        <v>45826</v>
      </c>
      <c r="K1083" t="str">
        <f t="shared" si="50"/>
        <v>ACTIVE</v>
      </c>
    </row>
    <row r="1084" spans="1:11">
      <c r="A1084">
        <v>1274</v>
      </c>
      <c r="B1084" t="s">
        <v>116</v>
      </c>
      <c r="C1084" s="1">
        <v>45469</v>
      </c>
      <c r="D1084" s="2" t="s">
        <v>24</v>
      </c>
      <c r="E1084" t="s">
        <v>30</v>
      </c>
      <c r="G1084" s="3">
        <v>507</v>
      </c>
      <c r="H1084" t="s">
        <v>176</v>
      </c>
      <c r="I1084" s="3" t="str">
        <f t="shared" si="48"/>
        <v>2024-06</v>
      </c>
      <c r="J1084" s="1">
        <f t="shared" si="49"/>
        <v>45829</v>
      </c>
      <c r="K1084" t="str">
        <f t="shared" si="50"/>
        <v>ACTIVE</v>
      </c>
    </row>
    <row r="1085" spans="1:11">
      <c r="A1085">
        <v>1014</v>
      </c>
      <c r="B1085" t="s">
        <v>113</v>
      </c>
      <c r="C1085" s="1">
        <v>45788</v>
      </c>
      <c r="D1085" s="2" t="s">
        <v>27</v>
      </c>
      <c r="E1085" t="s">
        <v>34</v>
      </c>
      <c r="G1085" s="3">
        <v>800</v>
      </c>
      <c r="H1085" t="s">
        <v>175</v>
      </c>
      <c r="I1085" s="3" t="str">
        <f t="shared" si="48"/>
        <v>2025-05</v>
      </c>
      <c r="J1085" s="1">
        <f t="shared" si="49"/>
        <v>45788</v>
      </c>
      <c r="K1085" t="str">
        <f t="shared" si="50"/>
        <v>ACTIVE</v>
      </c>
    </row>
    <row r="1086" spans="1:11">
      <c r="A1086">
        <v>1701</v>
      </c>
      <c r="B1086" t="s">
        <v>79</v>
      </c>
      <c r="C1086" s="1">
        <v>45782</v>
      </c>
      <c r="D1086" s="2" t="s">
        <v>27</v>
      </c>
      <c r="E1086" t="s">
        <v>32</v>
      </c>
      <c r="G1086" s="3">
        <v>5393</v>
      </c>
      <c r="H1086" t="s">
        <v>173</v>
      </c>
      <c r="I1086" s="3" t="str">
        <f t="shared" si="48"/>
        <v>2025-05</v>
      </c>
      <c r="J1086" s="1">
        <f t="shared" si="49"/>
        <v>45782</v>
      </c>
      <c r="K1086" t="str">
        <f t="shared" si="50"/>
        <v>ACTIVE</v>
      </c>
    </row>
    <row r="1087" spans="1:11">
      <c r="A1087">
        <v>467</v>
      </c>
      <c r="B1087" t="s">
        <v>102</v>
      </c>
      <c r="C1087" s="1">
        <v>45793</v>
      </c>
      <c r="D1087" s="2" t="s">
        <v>23</v>
      </c>
      <c r="E1087" t="s">
        <v>30</v>
      </c>
      <c r="G1087" s="3">
        <v>2049</v>
      </c>
      <c r="H1087" t="s">
        <v>172</v>
      </c>
      <c r="I1087" s="3" t="str">
        <f t="shared" si="48"/>
        <v>2025-05</v>
      </c>
      <c r="J1087" s="1">
        <f t="shared" si="49"/>
        <v>45793</v>
      </c>
      <c r="K1087" t="str">
        <f t="shared" si="50"/>
        <v>ACTIVE</v>
      </c>
    </row>
    <row r="1088" spans="1:11">
      <c r="A1088">
        <v>1334</v>
      </c>
      <c r="B1088" t="s">
        <v>81</v>
      </c>
      <c r="C1088" s="1">
        <v>45627</v>
      </c>
      <c r="D1088" s="2" t="s">
        <v>23</v>
      </c>
      <c r="E1088" t="s">
        <v>32</v>
      </c>
      <c r="G1088" s="3">
        <v>8584</v>
      </c>
      <c r="H1088" t="s">
        <v>174</v>
      </c>
      <c r="I1088" s="3" t="str">
        <f t="shared" si="48"/>
        <v>2024-12</v>
      </c>
      <c r="J1088" s="1">
        <f t="shared" si="49"/>
        <v>45787</v>
      </c>
      <c r="K1088" t="str">
        <f t="shared" si="50"/>
        <v>ACTIVE</v>
      </c>
    </row>
    <row r="1089" spans="1:11">
      <c r="A1089">
        <v>1420</v>
      </c>
      <c r="B1089" t="s">
        <v>129</v>
      </c>
      <c r="C1089" s="1">
        <v>45706</v>
      </c>
      <c r="D1089" s="2" t="s">
        <v>24</v>
      </c>
      <c r="E1089" t="s">
        <v>35</v>
      </c>
      <c r="G1089" s="3">
        <v>650</v>
      </c>
      <c r="H1089" t="s">
        <v>173</v>
      </c>
      <c r="I1089" s="3" t="str">
        <f t="shared" si="48"/>
        <v>2025-02</v>
      </c>
      <c r="J1089" s="1">
        <f t="shared" si="49"/>
        <v>45812</v>
      </c>
      <c r="K1089" t="str">
        <f t="shared" si="50"/>
        <v>ACTIVE</v>
      </c>
    </row>
    <row r="1090" spans="1:11">
      <c r="A1090">
        <v>278</v>
      </c>
      <c r="B1090" t="s">
        <v>101</v>
      </c>
      <c r="C1090" s="1">
        <v>45647</v>
      </c>
      <c r="D1090" s="2" t="s">
        <v>23</v>
      </c>
      <c r="E1090" t="s">
        <v>30</v>
      </c>
      <c r="G1090" s="3">
        <v>2167</v>
      </c>
      <c r="H1090" t="s">
        <v>172</v>
      </c>
      <c r="I1090" s="3" t="str">
        <f t="shared" si="48"/>
        <v>2024-12</v>
      </c>
      <c r="J1090" s="1">
        <f t="shared" si="49"/>
        <v>45823</v>
      </c>
      <c r="K1090" t="str">
        <f t="shared" si="50"/>
        <v>ACTIVE</v>
      </c>
    </row>
    <row r="1091" spans="1:11">
      <c r="A1091">
        <v>1070</v>
      </c>
      <c r="B1091" t="s">
        <v>85</v>
      </c>
      <c r="C1091" s="1">
        <v>45622</v>
      </c>
      <c r="D1091" s="2" t="s">
        <v>24</v>
      </c>
      <c r="E1091" t="s">
        <v>33</v>
      </c>
      <c r="G1091" s="3">
        <v>1225</v>
      </c>
      <c r="H1091" t="s">
        <v>172</v>
      </c>
      <c r="I1091" s="3" t="str">
        <f t="shared" ref="I1091:I1154" si="51">TEXT(C1091, "yyyy-mm")</f>
        <v>2024-11</v>
      </c>
      <c r="J1091" s="1">
        <f t="shared" ref="J1091:J1154" si="52">_xlfn.MAXIFS(C:C, B:B, B1091)</f>
        <v>45826</v>
      </c>
      <c r="K1091" t="str">
        <f t="shared" ref="K1091:K1154" si="53">IF($L$3-J1091&gt;90, "LAPSED","ACTIVE")</f>
        <v>ACTIVE</v>
      </c>
    </row>
    <row r="1092" spans="1:11">
      <c r="A1092">
        <v>1018</v>
      </c>
      <c r="B1092" t="s">
        <v>86</v>
      </c>
      <c r="C1092" s="1">
        <v>45573</v>
      </c>
      <c r="D1092" s="2" t="s">
        <v>28</v>
      </c>
      <c r="E1092" t="s">
        <v>30</v>
      </c>
      <c r="G1092" s="3">
        <v>986</v>
      </c>
      <c r="H1092" t="s">
        <v>173</v>
      </c>
      <c r="I1092" s="3" t="str">
        <f t="shared" si="51"/>
        <v>2024-10</v>
      </c>
      <c r="J1092" s="1">
        <f t="shared" si="52"/>
        <v>45819</v>
      </c>
      <c r="K1092" t="str">
        <f t="shared" si="53"/>
        <v>ACTIVE</v>
      </c>
    </row>
    <row r="1093" spans="1:11">
      <c r="A1093">
        <v>1200</v>
      </c>
      <c r="B1093" t="s">
        <v>107</v>
      </c>
      <c r="C1093" s="1">
        <v>45369</v>
      </c>
      <c r="D1093" s="2" t="s">
        <v>25</v>
      </c>
      <c r="E1093" t="s">
        <v>35</v>
      </c>
      <c r="G1093" s="3">
        <v>1013</v>
      </c>
      <c r="H1093" t="s">
        <v>175</v>
      </c>
      <c r="I1093" s="3" t="str">
        <f t="shared" si="51"/>
        <v>2024-03</v>
      </c>
      <c r="J1093" s="1">
        <f t="shared" si="52"/>
        <v>45831</v>
      </c>
      <c r="K1093" t="str">
        <f t="shared" si="53"/>
        <v>ACTIVE</v>
      </c>
    </row>
    <row r="1094" spans="1:11">
      <c r="A1094">
        <v>723</v>
      </c>
      <c r="B1094" t="s">
        <v>80</v>
      </c>
      <c r="C1094" s="1">
        <v>45531</v>
      </c>
      <c r="D1094" s="2" t="s">
        <v>24</v>
      </c>
      <c r="E1094" t="s">
        <v>31</v>
      </c>
      <c r="G1094" s="3">
        <v>1629</v>
      </c>
      <c r="H1094" t="s">
        <v>175</v>
      </c>
      <c r="I1094" s="3" t="str">
        <f t="shared" si="51"/>
        <v>2024-08</v>
      </c>
      <c r="J1094" s="1">
        <f t="shared" si="52"/>
        <v>45788</v>
      </c>
      <c r="K1094" t="str">
        <f t="shared" si="53"/>
        <v>ACTIVE</v>
      </c>
    </row>
    <row r="1095" spans="1:11">
      <c r="A1095">
        <v>1760</v>
      </c>
      <c r="B1095" t="s">
        <v>130</v>
      </c>
      <c r="C1095" s="1">
        <v>45394</v>
      </c>
      <c r="D1095" s="2" t="s">
        <v>28</v>
      </c>
      <c r="E1095" t="s">
        <v>30</v>
      </c>
      <c r="G1095" s="3">
        <v>2276</v>
      </c>
      <c r="H1095" t="s">
        <v>173</v>
      </c>
      <c r="I1095" s="3" t="str">
        <f t="shared" si="51"/>
        <v>2024-04</v>
      </c>
      <c r="J1095" s="1">
        <f t="shared" si="52"/>
        <v>45828</v>
      </c>
      <c r="K1095" t="str">
        <f t="shared" si="53"/>
        <v>ACTIVE</v>
      </c>
    </row>
    <row r="1096" spans="1:11">
      <c r="A1096">
        <v>787</v>
      </c>
      <c r="B1096" t="s">
        <v>155</v>
      </c>
      <c r="C1096" s="1">
        <v>45598</v>
      </c>
      <c r="D1096" s="2" t="s">
        <v>23</v>
      </c>
      <c r="E1096" t="s">
        <v>34</v>
      </c>
      <c r="G1096" s="3">
        <v>584</v>
      </c>
      <c r="H1096" t="s">
        <v>172</v>
      </c>
      <c r="I1096" s="3" t="str">
        <f t="shared" si="51"/>
        <v>2024-11</v>
      </c>
      <c r="J1096" s="1">
        <f t="shared" si="52"/>
        <v>45698</v>
      </c>
      <c r="K1096" t="str">
        <f t="shared" si="53"/>
        <v>LAPSED</v>
      </c>
    </row>
    <row r="1097" spans="1:11">
      <c r="A1097">
        <v>1393</v>
      </c>
      <c r="B1097" t="s">
        <v>142</v>
      </c>
      <c r="C1097" s="1">
        <v>45569</v>
      </c>
      <c r="D1097" s="2" t="s">
        <v>24</v>
      </c>
      <c r="E1097" t="s">
        <v>35</v>
      </c>
      <c r="G1097" s="3">
        <v>8911</v>
      </c>
      <c r="H1097" t="s">
        <v>174</v>
      </c>
      <c r="I1097" s="3" t="str">
        <f t="shared" si="51"/>
        <v>2024-10</v>
      </c>
      <c r="J1097" s="1">
        <f t="shared" si="52"/>
        <v>45803</v>
      </c>
      <c r="K1097" t="str">
        <f t="shared" si="53"/>
        <v>ACTIVE</v>
      </c>
    </row>
    <row r="1098" spans="1:11">
      <c r="A1098">
        <v>1188</v>
      </c>
      <c r="B1098" t="s">
        <v>112</v>
      </c>
      <c r="C1098" s="1">
        <v>45453</v>
      </c>
      <c r="D1098" s="2" t="s">
        <v>27</v>
      </c>
      <c r="E1098" t="s">
        <v>31</v>
      </c>
      <c r="G1098" s="3">
        <v>11925</v>
      </c>
      <c r="H1098" t="s">
        <v>175</v>
      </c>
      <c r="I1098" s="3" t="str">
        <f t="shared" si="51"/>
        <v>2024-06</v>
      </c>
      <c r="J1098" s="1">
        <f t="shared" si="52"/>
        <v>45815</v>
      </c>
      <c r="K1098" t="str">
        <f t="shared" si="53"/>
        <v>ACTIVE</v>
      </c>
    </row>
    <row r="1099" spans="1:11">
      <c r="A1099">
        <v>1242</v>
      </c>
      <c r="B1099" t="s">
        <v>154</v>
      </c>
      <c r="C1099" s="1">
        <v>45318</v>
      </c>
      <c r="D1099" s="2" t="s">
        <v>23</v>
      </c>
      <c r="E1099" t="s">
        <v>33</v>
      </c>
      <c r="G1099" s="3">
        <v>526</v>
      </c>
      <c r="H1099" t="s">
        <v>174</v>
      </c>
      <c r="I1099" s="3" t="str">
        <f t="shared" si="51"/>
        <v>2024-01</v>
      </c>
      <c r="J1099" s="1">
        <f t="shared" si="52"/>
        <v>45725</v>
      </c>
      <c r="K1099" t="str">
        <f t="shared" si="53"/>
        <v>LAPSED</v>
      </c>
    </row>
    <row r="1100" spans="1:11">
      <c r="A1100">
        <v>1769</v>
      </c>
      <c r="B1100" t="s">
        <v>48</v>
      </c>
      <c r="C1100" s="1">
        <v>45303</v>
      </c>
      <c r="D1100" s="2" t="s">
        <v>28</v>
      </c>
      <c r="E1100" t="s">
        <v>33</v>
      </c>
      <c r="G1100" s="3">
        <v>694</v>
      </c>
      <c r="H1100" t="s">
        <v>172</v>
      </c>
      <c r="I1100" s="3" t="str">
        <f t="shared" si="51"/>
        <v>2024-01</v>
      </c>
      <c r="J1100" s="1">
        <f t="shared" si="52"/>
        <v>45809</v>
      </c>
      <c r="K1100" t="str">
        <f t="shared" si="53"/>
        <v>ACTIVE</v>
      </c>
    </row>
    <row r="1101" spans="1:11">
      <c r="A1101">
        <v>907</v>
      </c>
      <c r="B1101" t="s">
        <v>134</v>
      </c>
      <c r="C1101" s="1">
        <v>45305</v>
      </c>
      <c r="D1101" s="2" t="s">
        <v>25</v>
      </c>
      <c r="E1101" t="s">
        <v>34</v>
      </c>
      <c r="G1101" s="3">
        <v>10945</v>
      </c>
      <c r="H1101" t="s">
        <v>174</v>
      </c>
      <c r="I1101" s="3" t="str">
        <f t="shared" si="51"/>
        <v>2024-01</v>
      </c>
      <c r="J1101" s="1">
        <f t="shared" si="52"/>
        <v>45776</v>
      </c>
      <c r="K1101" t="str">
        <f t="shared" si="53"/>
        <v>ACTIVE</v>
      </c>
    </row>
    <row r="1102" spans="1:11">
      <c r="A1102">
        <v>564</v>
      </c>
      <c r="B1102" t="s">
        <v>58</v>
      </c>
      <c r="C1102" s="1">
        <v>45555</v>
      </c>
      <c r="D1102" s="2" t="s">
        <v>25</v>
      </c>
      <c r="E1102" t="s">
        <v>31</v>
      </c>
      <c r="G1102" s="3">
        <v>477</v>
      </c>
      <c r="H1102" t="s">
        <v>174</v>
      </c>
      <c r="I1102" s="3" t="str">
        <f t="shared" si="51"/>
        <v>2024-09</v>
      </c>
      <c r="J1102" s="1">
        <f t="shared" si="52"/>
        <v>45752</v>
      </c>
      <c r="K1102" t="str">
        <f t="shared" si="53"/>
        <v>ACTIVE</v>
      </c>
    </row>
    <row r="1103" spans="1:11">
      <c r="A1103">
        <v>389</v>
      </c>
      <c r="B1103" t="s">
        <v>123</v>
      </c>
      <c r="C1103" s="1">
        <v>45338</v>
      </c>
      <c r="D1103" s="2" t="s">
        <v>25</v>
      </c>
      <c r="E1103" t="s">
        <v>31</v>
      </c>
      <c r="G1103" s="3">
        <v>8425</v>
      </c>
      <c r="H1103" t="s">
        <v>174</v>
      </c>
      <c r="I1103" s="3" t="str">
        <f t="shared" si="51"/>
        <v>2024-02</v>
      </c>
      <c r="J1103" s="1">
        <f t="shared" si="52"/>
        <v>45772</v>
      </c>
      <c r="K1103" t="str">
        <f t="shared" si="53"/>
        <v>ACTIVE</v>
      </c>
    </row>
    <row r="1104" spans="1:11">
      <c r="A1104">
        <v>23</v>
      </c>
      <c r="B1104" t="s">
        <v>70</v>
      </c>
      <c r="C1104" s="1">
        <v>45691</v>
      </c>
      <c r="D1104" s="2" t="s">
        <v>28</v>
      </c>
      <c r="E1104" t="s">
        <v>31</v>
      </c>
      <c r="G1104" s="3">
        <v>809</v>
      </c>
      <c r="H1104" t="s">
        <v>175</v>
      </c>
      <c r="I1104" s="3" t="str">
        <f t="shared" si="51"/>
        <v>2025-02</v>
      </c>
      <c r="J1104" s="1">
        <f t="shared" si="52"/>
        <v>45829</v>
      </c>
      <c r="K1104" t="str">
        <f t="shared" si="53"/>
        <v>ACTIVE</v>
      </c>
    </row>
    <row r="1105" spans="1:11">
      <c r="A1105">
        <v>1110</v>
      </c>
      <c r="B1105" t="s">
        <v>59</v>
      </c>
      <c r="C1105" s="1">
        <v>45511</v>
      </c>
      <c r="D1105" s="2" t="s">
        <v>24</v>
      </c>
      <c r="E1105" t="s">
        <v>30</v>
      </c>
      <c r="G1105" s="3">
        <v>1704</v>
      </c>
      <c r="H1105" t="s">
        <v>175</v>
      </c>
      <c r="I1105" s="3" t="str">
        <f t="shared" si="51"/>
        <v>2024-08</v>
      </c>
      <c r="J1105" s="1">
        <f t="shared" si="52"/>
        <v>45829</v>
      </c>
      <c r="K1105" t="str">
        <f t="shared" si="53"/>
        <v>ACTIVE</v>
      </c>
    </row>
    <row r="1106" spans="1:11">
      <c r="A1106">
        <v>125</v>
      </c>
      <c r="B1106" t="s">
        <v>48</v>
      </c>
      <c r="C1106" s="1">
        <v>45464</v>
      </c>
      <c r="D1106" s="2" t="s">
        <v>23</v>
      </c>
      <c r="E1106" t="s">
        <v>30</v>
      </c>
      <c r="G1106" s="3">
        <v>1012</v>
      </c>
      <c r="H1106" t="s">
        <v>172</v>
      </c>
      <c r="I1106" s="3" t="str">
        <f t="shared" si="51"/>
        <v>2024-06</v>
      </c>
      <c r="J1106" s="1">
        <f t="shared" si="52"/>
        <v>45809</v>
      </c>
      <c r="K1106" t="str">
        <f t="shared" si="53"/>
        <v>ACTIVE</v>
      </c>
    </row>
    <row r="1107" spans="1:11">
      <c r="A1107">
        <v>1270</v>
      </c>
      <c r="B1107" t="s">
        <v>44</v>
      </c>
      <c r="C1107" s="1">
        <v>45705</v>
      </c>
      <c r="D1107" s="2" t="s">
        <v>24</v>
      </c>
      <c r="E1107" t="s">
        <v>34</v>
      </c>
      <c r="G1107" s="3">
        <v>337</v>
      </c>
      <c r="H1107" t="s">
        <v>175</v>
      </c>
      <c r="I1107" s="3" t="str">
        <f t="shared" si="51"/>
        <v>2025-02</v>
      </c>
      <c r="J1107" s="1">
        <f t="shared" si="52"/>
        <v>45814</v>
      </c>
      <c r="K1107" t="str">
        <f t="shared" si="53"/>
        <v>ACTIVE</v>
      </c>
    </row>
    <row r="1108" spans="1:11">
      <c r="A1108">
        <v>774</v>
      </c>
      <c r="B1108" t="s">
        <v>115</v>
      </c>
      <c r="C1108" s="1">
        <v>45731</v>
      </c>
      <c r="D1108" s="2" t="s">
        <v>27</v>
      </c>
      <c r="E1108" t="s">
        <v>34</v>
      </c>
      <c r="G1108" s="3">
        <v>2284</v>
      </c>
      <c r="H1108" t="s">
        <v>174</v>
      </c>
      <c r="I1108" s="3" t="str">
        <f t="shared" si="51"/>
        <v>2025-03</v>
      </c>
      <c r="J1108" s="1">
        <f t="shared" si="52"/>
        <v>45810</v>
      </c>
      <c r="K1108" t="str">
        <f t="shared" si="53"/>
        <v>ACTIVE</v>
      </c>
    </row>
    <row r="1109" spans="1:11">
      <c r="A1109">
        <v>881</v>
      </c>
      <c r="B1109" t="s">
        <v>62</v>
      </c>
      <c r="C1109" s="1">
        <v>45405</v>
      </c>
      <c r="D1109" s="2" t="s">
        <v>24</v>
      </c>
      <c r="E1109" t="s">
        <v>34</v>
      </c>
      <c r="G1109" s="3">
        <v>1437</v>
      </c>
      <c r="H1109" t="s">
        <v>174</v>
      </c>
      <c r="I1109" s="3" t="str">
        <f t="shared" si="51"/>
        <v>2024-04</v>
      </c>
      <c r="J1109" s="1">
        <f t="shared" si="52"/>
        <v>45815</v>
      </c>
      <c r="K1109" t="str">
        <f t="shared" si="53"/>
        <v>ACTIVE</v>
      </c>
    </row>
    <row r="1110" spans="1:11">
      <c r="A1110">
        <v>51</v>
      </c>
      <c r="B1110" t="s">
        <v>103</v>
      </c>
      <c r="C1110" s="1">
        <v>45721</v>
      </c>
      <c r="D1110" s="2" t="s">
        <v>23</v>
      </c>
      <c r="E1110" t="s">
        <v>35</v>
      </c>
      <c r="G1110" s="3">
        <v>1991</v>
      </c>
      <c r="H1110" t="s">
        <v>174</v>
      </c>
      <c r="I1110" s="3" t="str">
        <f t="shared" si="51"/>
        <v>2025-03</v>
      </c>
      <c r="J1110" s="1">
        <f t="shared" si="52"/>
        <v>45821</v>
      </c>
      <c r="K1110" t="str">
        <f t="shared" si="53"/>
        <v>ACTIVE</v>
      </c>
    </row>
    <row r="1111" spans="1:11">
      <c r="A1111">
        <v>1477</v>
      </c>
      <c r="B1111" t="s">
        <v>59</v>
      </c>
      <c r="C1111" s="1">
        <v>45421</v>
      </c>
      <c r="D1111" s="2" t="s">
        <v>23</v>
      </c>
      <c r="E1111" t="s">
        <v>33</v>
      </c>
      <c r="G1111" s="3">
        <v>602</v>
      </c>
      <c r="H1111" t="s">
        <v>175</v>
      </c>
      <c r="I1111" s="3" t="str">
        <f t="shared" si="51"/>
        <v>2024-05</v>
      </c>
      <c r="J1111" s="1">
        <f t="shared" si="52"/>
        <v>45829</v>
      </c>
      <c r="K1111" t="str">
        <f t="shared" si="53"/>
        <v>ACTIVE</v>
      </c>
    </row>
    <row r="1112" spans="1:11">
      <c r="A1112">
        <v>1318</v>
      </c>
      <c r="B1112" t="s">
        <v>115</v>
      </c>
      <c r="C1112" s="1">
        <v>45810</v>
      </c>
      <c r="D1112" s="2" t="s">
        <v>24</v>
      </c>
      <c r="E1112" t="s">
        <v>33</v>
      </c>
      <c r="G1112" s="3">
        <v>675</v>
      </c>
      <c r="H1112" t="s">
        <v>174</v>
      </c>
      <c r="I1112" s="3" t="str">
        <f t="shared" si="51"/>
        <v>2025-06</v>
      </c>
      <c r="J1112" s="1">
        <f t="shared" si="52"/>
        <v>45810</v>
      </c>
      <c r="K1112" t="str">
        <f t="shared" si="53"/>
        <v>ACTIVE</v>
      </c>
    </row>
    <row r="1113" spans="1:11">
      <c r="A1113">
        <v>1106</v>
      </c>
      <c r="B1113" t="s">
        <v>159</v>
      </c>
      <c r="C1113" s="1">
        <v>45421</v>
      </c>
      <c r="D1113" s="2" t="s">
        <v>23</v>
      </c>
      <c r="E1113" t="s">
        <v>35</v>
      </c>
      <c r="G1113" s="3">
        <v>699</v>
      </c>
      <c r="H1113" t="s">
        <v>175</v>
      </c>
      <c r="I1113" s="3" t="str">
        <f t="shared" si="51"/>
        <v>2024-05</v>
      </c>
      <c r="J1113" s="1">
        <f t="shared" si="52"/>
        <v>45713</v>
      </c>
      <c r="K1113" t="str">
        <f t="shared" si="53"/>
        <v>LAPSED</v>
      </c>
    </row>
    <row r="1114" spans="1:11">
      <c r="A1114">
        <v>704</v>
      </c>
      <c r="B1114" t="s">
        <v>99</v>
      </c>
      <c r="C1114" s="1">
        <v>45411</v>
      </c>
      <c r="D1114" s="2" t="s">
        <v>23</v>
      </c>
      <c r="E1114" t="s">
        <v>30</v>
      </c>
      <c r="G1114" s="3">
        <v>4897</v>
      </c>
      <c r="H1114" t="s">
        <v>173</v>
      </c>
      <c r="I1114" s="3" t="str">
        <f t="shared" si="51"/>
        <v>2024-04</v>
      </c>
      <c r="J1114" s="1">
        <f t="shared" si="52"/>
        <v>45828</v>
      </c>
      <c r="K1114" t="str">
        <f t="shared" si="53"/>
        <v>ACTIVE</v>
      </c>
    </row>
    <row r="1115" spans="1:11">
      <c r="A1115">
        <v>483</v>
      </c>
      <c r="B1115" t="s">
        <v>53</v>
      </c>
      <c r="C1115" s="1">
        <v>45383</v>
      </c>
      <c r="D1115" s="2" t="s">
        <v>28</v>
      </c>
      <c r="E1115" t="s">
        <v>32</v>
      </c>
      <c r="G1115" s="3">
        <v>4697</v>
      </c>
      <c r="H1115" t="s">
        <v>174</v>
      </c>
      <c r="I1115" s="3" t="str">
        <f t="shared" si="51"/>
        <v>2024-04</v>
      </c>
      <c r="J1115" s="1">
        <f t="shared" si="52"/>
        <v>45779</v>
      </c>
      <c r="K1115" t="str">
        <f t="shared" si="53"/>
        <v>ACTIVE</v>
      </c>
    </row>
    <row r="1116" spans="1:11">
      <c r="A1116">
        <v>1721</v>
      </c>
      <c r="B1116" t="s">
        <v>145</v>
      </c>
      <c r="C1116" s="1">
        <v>45532</v>
      </c>
      <c r="D1116" s="2" t="s">
        <v>23</v>
      </c>
      <c r="E1116" t="s">
        <v>31</v>
      </c>
      <c r="G1116" s="3">
        <v>5300</v>
      </c>
      <c r="H1116" t="s">
        <v>176</v>
      </c>
      <c r="I1116" s="3" t="str">
        <f t="shared" si="51"/>
        <v>2024-08</v>
      </c>
      <c r="J1116" s="1">
        <f t="shared" si="52"/>
        <v>45828</v>
      </c>
      <c r="K1116" t="str">
        <f t="shared" si="53"/>
        <v>ACTIVE</v>
      </c>
    </row>
    <row r="1117" spans="1:11">
      <c r="A1117">
        <v>67</v>
      </c>
      <c r="B1117" t="s">
        <v>105</v>
      </c>
      <c r="C1117" s="1">
        <v>45347</v>
      </c>
      <c r="D1117" s="2" t="s">
        <v>24</v>
      </c>
      <c r="E1117" t="s">
        <v>30</v>
      </c>
      <c r="G1117" s="3">
        <v>1583</v>
      </c>
      <c r="H1117" t="s">
        <v>173</v>
      </c>
      <c r="I1117" s="3" t="str">
        <f t="shared" si="51"/>
        <v>2024-02</v>
      </c>
      <c r="J1117" s="1">
        <f t="shared" si="52"/>
        <v>45816</v>
      </c>
      <c r="K1117" t="str">
        <f t="shared" si="53"/>
        <v>ACTIVE</v>
      </c>
    </row>
    <row r="1118" spans="1:11">
      <c r="A1118">
        <v>1553</v>
      </c>
      <c r="B1118" t="s">
        <v>116</v>
      </c>
      <c r="C1118" s="1">
        <v>45323</v>
      </c>
      <c r="D1118" s="2" t="s">
        <v>28</v>
      </c>
      <c r="E1118" t="s">
        <v>33</v>
      </c>
      <c r="G1118" s="3">
        <v>1848</v>
      </c>
      <c r="H1118" t="s">
        <v>172</v>
      </c>
      <c r="I1118" s="3" t="str">
        <f t="shared" si="51"/>
        <v>2024-02</v>
      </c>
      <c r="J1118" s="1">
        <f t="shared" si="52"/>
        <v>45829</v>
      </c>
      <c r="K1118" t="str">
        <f t="shared" si="53"/>
        <v>ACTIVE</v>
      </c>
    </row>
    <row r="1119" spans="1:11">
      <c r="A1119">
        <v>734</v>
      </c>
      <c r="B1119" t="s">
        <v>100</v>
      </c>
      <c r="C1119" s="1">
        <v>45779</v>
      </c>
      <c r="D1119" s="2" t="s">
        <v>25</v>
      </c>
      <c r="E1119" t="s">
        <v>34</v>
      </c>
      <c r="G1119" s="3">
        <v>8719</v>
      </c>
      <c r="H1119" t="s">
        <v>176</v>
      </c>
      <c r="I1119" s="3" t="str">
        <f t="shared" si="51"/>
        <v>2025-05</v>
      </c>
      <c r="J1119" s="1">
        <f t="shared" si="52"/>
        <v>45779</v>
      </c>
      <c r="K1119" t="str">
        <f t="shared" si="53"/>
        <v>ACTIVE</v>
      </c>
    </row>
    <row r="1120" spans="1:11">
      <c r="A1120">
        <v>1611</v>
      </c>
      <c r="B1120" t="s">
        <v>124</v>
      </c>
      <c r="C1120" s="1">
        <v>45469</v>
      </c>
      <c r="D1120" s="2" t="s">
        <v>23</v>
      </c>
      <c r="E1120" t="s">
        <v>34</v>
      </c>
      <c r="G1120" s="3">
        <v>1314</v>
      </c>
      <c r="H1120" t="s">
        <v>176</v>
      </c>
      <c r="I1120" s="3" t="str">
        <f t="shared" si="51"/>
        <v>2024-06</v>
      </c>
      <c r="J1120" s="1">
        <f t="shared" si="52"/>
        <v>45793</v>
      </c>
      <c r="K1120" t="str">
        <f t="shared" si="53"/>
        <v>ACTIVE</v>
      </c>
    </row>
    <row r="1121" spans="1:11">
      <c r="A1121">
        <v>802</v>
      </c>
      <c r="B1121" t="s">
        <v>116</v>
      </c>
      <c r="C1121" s="1">
        <v>45827</v>
      </c>
      <c r="D1121" s="2" t="s">
        <v>25</v>
      </c>
      <c r="E1121" t="s">
        <v>32</v>
      </c>
      <c r="G1121" s="3">
        <v>2444</v>
      </c>
      <c r="H1121" t="s">
        <v>175</v>
      </c>
      <c r="I1121" s="3" t="str">
        <f t="shared" si="51"/>
        <v>2025-06</v>
      </c>
      <c r="J1121" s="1">
        <f t="shared" si="52"/>
        <v>45829</v>
      </c>
      <c r="K1121" t="str">
        <f t="shared" si="53"/>
        <v>ACTIVE</v>
      </c>
    </row>
    <row r="1122" spans="1:11">
      <c r="A1122">
        <v>1533</v>
      </c>
      <c r="B1122" t="s">
        <v>95</v>
      </c>
      <c r="C1122" s="1">
        <v>45389</v>
      </c>
      <c r="D1122" s="2" t="s">
        <v>23</v>
      </c>
      <c r="E1122" t="s">
        <v>32</v>
      </c>
      <c r="G1122" s="3">
        <v>10881</v>
      </c>
      <c r="H1122" t="s">
        <v>175</v>
      </c>
      <c r="I1122" s="3" t="str">
        <f t="shared" si="51"/>
        <v>2024-04</v>
      </c>
      <c r="J1122" s="1">
        <f t="shared" si="52"/>
        <v>45797</v>
      </c>
      <c r="K1122" t="str">
        <f t="shared" si="53"/>
        <v>ACTIVE</v>
      </c>
    </row>
    <row r="1123" spans="1:11">
      <c r="A1123">
        <v>1328</v>
      </c>
      <c r="B1123" t="s">
        <v>114</v>
      </c>
      <c r="C1123" s="1">
        <v>45607</v>
      </c>
      <c r="D1123" s="2" t="s">
        <v>27</v>
      </c>
      <c r="E1123" t="s">
        <v>31</v>
      </c>
      <c r="G1123" s="3">
        <v>2684</v>
      </c>
      <c r="H1123" t="s">
        <v>173</v>
      </c>
      <c r="I1123" s="3" t="str">
        <f t="shared" si="51"/>
        <v>2024-11</v>
      </c>
      <c r="J1123" s="1">
        <f t="shared" si="52"/>
        <v>45815</v>
      </c>
      <c r="K1123" t="str">
        <f t="shared" si="53"/>
        <v>ACTIVE</v>
      </c>
    </row>
    <row r="1124" spans="1:11">
      <c r="A1124">
        <v>908</v>
      </c>
      <c r="B1124" t="s">
        <v>136</v>
      </c>
      <c r="C1124" s="1">
        <v>45746</v>
      </c>
      <c r="D1124" s="2" t="s">
        <v>27</v>
      </c>
      <c r="E1124" t="s">
        <v>31</v>
      </c>
      <c r="G1124" s="3">
        <v>4958</v>
      </c>
      <c r="H1124" t="s">
        <v>172</v>
      </c>
      <c r="I1124" s="3" t="str">
        <f t="shared" si="51"/>
        <v>2025-03</v>
      </c>
      <c r="J1124" s="1">
        <f t="shared" si="52"/>
        <v>45823</v>
      </c>
      <c r="K1124" t="str">
        <f t="shared" si="53"/>
        <v>ACTIVE</v>
      </c>
    </row>
    <row r="1125" spans="1:11">
      <c r="A1125">
        <v>32</v>
      </c>
      <c r="B1125" t="s">
        <v>106</v>
      </c>
      <c r="C1125" s="1">
        <v>45729</v>
      </c>
      <c r="D1125" s="2" t="s">
        <v>25</v>
      </c>
      <c r="E1125" t="s">
        <v>34</v>
      </c>
      <c r="G1125" s="3">
        <v>1178</v>
      </c>
      <c r="H1125" t="s">
        <v>172</v>
      </c>
      <c r="I1125" s="3" t="str">
        <f t="shared" si="51"/>
        <v>2025-03</v>
      </c>
      <c r="J1125" s="1">
        <f t="shared" si="52"/>
        <v>45760</v>
      </c>
      <c r="K1125" t="str">
        <f t="shared" si="53"/>
        <v>ACTIVE</v>
      </c>
    </row>
    <row r="1126" spans="1:11">
      <c r="A1126">
        <v>418</v>
      </c>
      <c r="B1126" t="s">
        <v>128</v>
      </c>
      <c r="C1126" s="1">
        <v>45413</v>
      </c>
      <c r="D1126" s="2" t="s">
        <v>27</v>
      </c>
      <c r="E1126" t="s">
        <v>32</v>
      </c>
      <c r="G1126" s="3">
        <v>1260</v>
      </c>
      <c r="H1126" t="s">
        <v>175</v>
      </c>
      <c r="I1126" s="3" t="str">
        <f t="shared" si="51"/>
        <v>2024-05</v>
      </c>
      <c r="J1126" s="1">
        <f t="shared" si="52"/>
        <v>45812</v>
      </c>
      <c r="K1126" t="str">
        <f t="shared" si="53"/>
        <v>ACTIVE</v>
      </c>
    </row>
    <row r="1127" spans="1:11">
      <c r="A1127">
        <v>633</v>
      </c>
      <c r="B1127" t="s">
        <v>55</v>
      </c>
      <c r="C1127" s="1">
        <v>45824</v>
      </c>
      <c r="D1127" s="2" t="s">
        <v>28</v>
      </c>
      <c r="E1127" t="s">
        <v>31</v>
      </c>
      <c r="G1127" s="3">
        <v>2557</v>
      </c>
      <c r="H1127" t="s">
        <v>176</v>
      </c>
      <c r="I1127" s="3" t="str">
        <f t="shared" si="51"/>
        <v>2025-06</v>
      </c>
      <c r="J1127" s="1">
        <f t="shared" si="52"/>
        <v>45824</v>
      </c>
      <c r="K1127" t="str">
        <f t="shared" si="53"/>
        <v>ACTIVE</v>
      </c>
    </row>
    <row r="1128" spans="1:11">
      <c r="A1128">
        <v>1409</v>
      </c>
      <c r="B1128" t="s">
        <v>42</v>
      </c>
      <c r="C1128" s="1">
        <v>45772</v>
      </c>
      <c r="D1128" s="2" t="s">
        <v>23</v>
      </c>
      <c r="E1128" t="s">
        <v>33</v>
      </c>
      <c r="G1128" s="3">
        <v>981</v>
      </c>
      <c r="H1128" t="s">
        <v>176</v>
      </c>
      <c r="I1128" s="3" t="str">
        <f t="shared" si="51"/>
        <v>2025-04</v>
      </c>
      <c r="J1128" s="1">
        <f t="shared" si="52"/>
        <v>45803</v>
      </c>
      <c r="K1128" t="str">
        <f t="shared" si="53"/>
        <v>ACTIVE</v>
      </c>
    </row>
    <row r="1129" spans="1:11">
      <c r="A1129">
        <v>1303</v>
      </c>
      <c r="B1129" t="s">
        <v>84</v>
      </c>
      <c r="C1129" s="1">
        <v>45776</v>
      </c>
      <c r="D1129" s="2" t="s">
        <v>28</v>
      </c>
      <c r="E1129" t="s">
        <v>33</v>
      </c>
      <c r="G1129" s="3">
        <v>517</v>
      </c>
      <c r="H1129" t="s">
        <v>174</v>
      </c>
      <c r="I1129" s="3" t="str">
        <f t="shared" si="51"/>
        <v>2025-04</v>
      </c>
      <c r="J1129" s="1">
        <f t="shared" si="52"/>
        <v>45827</v>
      </c>
      <c r="K1129" t="str">
        <f t="shared" si="53"/>
        <v>ACTIVE</v>
      </c>
    </row>
    <row r="1130" spans="1:11">
      <c r="A1130">
        <v>65</v>
      </c>
      <c r="B1130" t="s">
        <v>158</v>
      </c>
      <c r="C1130" s="1">
        <v>45415</v>
      </c>
      <c r="D1130" s="2" t="s">
        <v>27</v>
      </c>
      <c r="E1130" t="s">
        <v>31</v>
      </c>
      <c r="G1130" s="3">
        <v>1097</v>
      </c>
      <c r="H1130" t="s">
        <v>172</v>
      </c>
      <c r="I1130" s="3" t="str">
        <f t="shared" si="51"/>
        <v>2024-05</v>
      </c>
      <c r="J1130" s="1">
        <f t="shared" si="52"/>
        <v>45740</v>
      </c>
      <c r="K1130" t="str">
        <f t="shared" si="53"/>
        <v>LAPSED</v>
      </c>
    </row>
    <row r="1131" spans="1:11">
      <c r="A1131">
        <v>1570</v>
      </c>
      <c r="B1131" t="s">
        <v>76</v>
      </c>
      <c r="C1131" s="1">
        <v>45595</v>
      </c>
      <c r="D1131" s="2" t="s">
        <v>24</v>
      </c>
      <c r="E1131" t="s">
        <v>35</v>
      </c>
      <c r="G1131" s="3">
        <v>545</v>
      </c>
      <c r="H1131" t="s">
        <v>172</v>
      </c>
      <c r="I1131" s="3" t="str">
        <f t="shared" si="51"/>
        <v>2024-10</v>
      </c>
      <c r="J1131" s="1">
        <f t="shared" si="52"/>
        <v>45792</v>
      </c>
      <c r="K1131" t="str">
        <f t="shared" si="53"/>
        <v>ACTIVE</v>
      </c>
    </row>
    <row r="1132" spans="1:11">
      <c r="A1132">
        <v>78</v>
      </c>
      <c r="B1132" t="s">
        <v>136</v>
      </c>
      <c r="C1132" s="1">
        <v>45702</v>
      </c>
      <c r="D1132" s="2" t="s">
        <v>23</v>
      </c>
      <c r="E1132" t="s">
        <v>34</v>
      </c>
      <c r="G1132" s="3">
        <v>251</v>
      </c>
      <c r="H1132" t="s">
        <v>174</v>
      </c>
      <c r="I1132" s="3" t="str">
        <f t="shared" si="51"/>
        <v>2025-02</v>
      </c>
      <c r="J1132" s="1">
        <f t="shared" si="52"/>
        <v>45823</v>
      </c>
      <c r="K1132" t="str">
        <f t="shared" si="53"/>
        <v>ACTIVE</v>
      </c>
    </row>
    <row r="1133" spans="1:11">
      <c r="A1133">
        <v>492</v>
      </c>
      <c r="B1133" t="s">
        <v>106</v>
      </c>
      <c r="C1133" s="1">
        <v>45322</v>
      </c>
      <c r="D1133" s="2" t="s">
        <v>24</v>
      </c>
      <c r="E1133" t="s">
        <v>33</v>
      </c>
      <c r="G1133" s="3">
        <v>1405</v>
      </c>
      <c r="H1133" t="s">
        <v>173</v>
      </c>
      <c r="I1133" s="3" t="str">
        <f t="shared" si="51"/>
        <v>2024-01</v>
      </c>
      <c r="J1133" s="1">
        <f t="shared" si="52"/>
        <v>45760</v>
      </c>
      <c r="K1133" t="str">
        <f t="shared" si="53"/>
        <v>ACTIVE</v>
      </c>
    </row>
    <row r="1134" spans="1:11">
      <c r="A1134">
        <v>1280</v>
      </c>
      <c r="B1134" t="s">
        <v>44</v>
      </c>
      <c r="C1134" s="1">
        <v>45696</v>
      </c>
      <c r="D1134" s="2" t="s">
        <v>28</v>
      </c>
      <c r="E1134" t="s">
        <v>33</v>
      </c>
      <c r="G1134" s="3">
        <v>1656</v>
      </c>
      <c r="H1134" t="s">
        <v>176</v>
      </c>
      <c r="I1134" s="3" t="str">
        <f t="shared" si="51"/>
        <v>2025-02</v>
      </c>
      <c r="J1134" s="1">
        <f t="shared" si="52"/>
        <v>45814</v>
      </c>
      <c r="K1134" t="str">
        <f t="shared" si="53"/>
        <v>ACTIVE</v>
      </c>
    </row>
    <row r="1135" spans="1:11">
      <c r="A1135">
        <v>1666</v>
      </c>
      <c r="B1135" t="s">
        <v>108</v>
      </c>
      <c r="C1135" s="1">
        <v>45530</v>
      </c>
      <c r="D1135" s="2" t="s">
        <v>28</v>
      </c>
      <c r="E1135" t="s">
        <v>35</v>
      </c>
      <c r="G1135" s="3">
        <v>4875</v>
      </c>
      <c r="H1135" t="s">
        <v>176</v>
      </c>
      <c r="I1135" s="3" t="str">
        <f t="shared" si="51"/>
        <v>2024-08</v>
      </c>
      <c r="J1135" s="1">
        <f t="shared" si="52"/>
        <v>45826</v>
      </c>
      <c r="K1135" t="str">
        <f t="shared" si="53"/>
        <v>ACTIVE</v>
      </c>
    </row>
    <row r="1136" spans="1:11">
      <c r="A1136">
        <v>533</v>
      </c>
      <c r="B1136" t="s">
        <v>136</v>
      </c>
      <c r="C1136" s="1">
        <v>45387</v>
      </c>
      <c r="D1136" s="2" t="s">
        <v>28</v>
      </c>
      <c r="E1136" t="s">
        <v>34</v>
      </c>
      <c r="G1136" s="3">
        <v>277</v>
      </c>
      <c r="H1136" t="s">
        <v>173</v>
      </c>
      <c r="I1136" s="3" t="str">
        <f t="shared" si="51"/>
        <v>2024-04</v>
      </c>
      <c r="J1136" s="1">
        <f t="shared" si="52"/>
        <v>45823</v>
      </c>
      <c r="K1136" t="str">
        <f t="shared" si="53"/>
        <v>ACTIVE</v>
      </c>
    </row>
    <row r="1137" spans="1:11">
      <c r="A1137">
        <v>66</v>
      </c>
      <c r="B1137" t="s">
        <v>111</v>
      </c>
      <c r="C1137" s="1">
        <v>45829</v>
      </c>
      <c r="D1137" s="2" t="s">
        <v>24</v>
      </c>
      <c r="E1137" t="s">
        <v>34</v>
      </c>
      <c r="G1137" s="3">
        <v>1837</v>
      </c>
      <c r="H1137" t="s">
        <v>174</v>
      </c>
      <c r="I1137" s="3" t="str">
        <f t="shared" si="51"/>
        <v>2025-06</v>
      </c>
      <c r="J1137" s="1">
        <f t="shared" si="52"/>
        <v>45829</v>
      </c>
      <c r="K1137" t="str">
        <f t="shared" si="53"/>
        <v>ACTIVE</v>
      </c>
    </row>
    <row r="1138" spans="1:11">
      <c r="A1138">
        <v>1529</v>
      </c>
      <c r="B1138" t="s">
        <v>64</v>
      </c>
      <c r="C1138" s="1">
        <v>45536</v>
      </c>
      <c r="D1138" s="2" t="s">
        <v>27</v>
      </c>
      <c r="E1138" t="s">
        <v>33</v>
      </c>
      <c r="G1138" s="3">
        <v>4389</v>
      </c>
      <c r="H1138" t="s">
        <v>175</v>
      </c>
      <c r="I1138" s="3" t="str">
        <f t="shared" si="51"/>
        <v>2024-09</v>
      </c>
      <c r="J1138" s="1">
        <f t="shared" si="52"/>
        <v>45814</v>
      </c>
      <c r="K1138" t="str">
        <f t="shared" si="53"/>
        <v>ACTIVE</v>
      </c>
    </row>
    <row r="1139" spans="1:11">
      <c r="A1139">
        <v>297</v>
      </c>
      <c r="B1139" t="s">
        <v>43</v>
      </c>
      <c r="C1139" s="1">
        <v>45444</v>
      </c>
      <c r="D1139" s="2" t="s">
        <v>23</v>
      </c>
      <c r="E1139" t="s">
        <v>35</v>
      </c>
      <c r="G1139" s="3">
        <v>2118</v>
      </c>
      <c r="H1139" t="s">
        <v>173</v>
      </c>
      <c r="I1139" s="3" t="str">
        <f t="shared" si="51"/>
        <v>2024-06</v>
      </c>
      <c r="J1139" s="1">
        <f t="shared" si="52"/>
        <v>45818</v>
      </c>
      <c r="K1139" t="str">
        <f t="shared" si="53"/>
        <v>ACTIVE</v>
      </c>
    </row>
    <row r="1140" spans="1:11">
      <c r="A1140">
        <v>592</v>
      </c>
      <c r="B1140" t="s">
        <v>93</v>
      </c>
      <c r="C1140" s="1">
        <v>45392</v>
      </c>
      <c r="D1140" s="2" t="s">
        <v>28</v>
      </c>
      <c r="E1140" t="s">
        <v>33</v>
      </c>
      <c r="G1140" s="3">
        <v>1023</v>
      </c>
      <c r="H1140" t="s">
        <v>176</v>
      </c>
      <c r="I1140" s="3" t="str">
        <f t="shared" si="51"/>
        <v>2024-04</v>
      </c>
      <c r="J1140" s="1">
        <f t="shared" si="52"/>
        <v>45830</v>
      </c>
      <c r="K1140" t="str">
        <f t="shared" si="53"/>
        <v>ACTIVE</v>
      </c>
    </row>
    <row r="1141" spans="1:11">
      <c r="A1141">
        <v>768</v>
      </c>
      <c r="B1141" t="s">
        <v>122</v>
      </c>
      <c r="C1141" s="1">
        <v>45520</v>
      </c>
      <c r="D1141" s="2" t="s">
        <v>27</v>
      </c>
      <c r="E1141" t="s">
        <v>32</v>
      </c>
      <c r="G1141" s="3">
        <v>1791</v>
      </c>
      <c r="H1141" t="s">
        <v>174</v>
      </c>
      <c r="I1141" s="3" t="str">
        <f t="shared" si="51"/>
        <v>2024-08</v>
      </c>
      <c r="J1141" s="1">
        <f t="shared" si="52"/>
        <v>45793</v>
      </c>
      <c r="K1141" t="str">
        <f t="shared" si="53"/>
        <v>ACTIVE</v>
      </c>
    </row>
    <row r="1142" spans="1:11">
      <c r="A1142">
        <v>725</v>
      </c>
      <c r="B1142" t="s">
        <v>83</v>
      </c>
      <c r="C1142" s="1">
        <v>45371</v>
      </c>
      <c r="D1142" s="2" t="s">
        <v>23</v>
      </c>
      <c r="E1142" t="s">
        <v>32</v>
      </c>
      <c r="G1142" s="3">
        <v>10076</v>
      </c>
      <c r="H1142" t="s">
        <v>173</v>
      </c>
      <c r="I1142" s="3" t="str">
        <f t="shared" si="51"/>
        <v>2024-03</v>
      </c>
      <c r="J1142" s="1">
        <f t="shared" si="52"/>
        <v>45816</v>
      </c>
      <c r="K1142" t="str">
        <f t="shared" si="53"/>
        <v>ACTIVE</v>
      </c>
    </row>
    <row r="1143" spans="1:11">
      <c r="A1143">
        <v>627</v>
      </c>
      <c r="B1143" t="s">
        <v>122</v>
      </c>
      <c r="C1143" s="1">
        <v>45727</v>
      </c>
      <c r="D1143" s="2" t="s">
        <v>25</v>
      </c>
      <c r="E1143" t="s">
        <v>34</v>
      </c>
      <c r="G1143" s="3">
        <v>555</v>
      </c>
      <c r="H1143" t="s">
        <v>173</v>
      </c>
      <c r="I1143" s="3" t="str">
        <f t="shared" si="51"/>
        <v>2025-03</v>
      </c>
      <c r="J1143" s="1">
        <f t="shared" si="52"/>
        <v>45793</v>
      </c>
      <c r="K1143" t="str">
        <f t="shared" si="53"/>
        <v>ACTIVE</v>
      </c>
    </row>
    <row r="1144" spans="1:11">
      <c r="A1144">
        <v>1278</v>
      </c>
      <c r="B1144" t="s">
        <v>111</v>
      </c>
      <c r="C1144" s="1">
        <v>45437</v>
      </c>
      <c r="D1144" s="2" t="s">
        <v>27</v>
      </c>
      <c r="E1144" t="s">
        <v>35</v>
      </c>
      <c r="G1144" s="3">
        <v>2882</v>
      </c>
      <c r="H1144" t="s">
        <v>173</v>
      </c>
      <c r="I1144" s="3" t="str">
        <f t="shared" si="51"/>
        <v>2024-05</v>
      </c>
      <c r="J1144" s="1">
        <f t="shared" si="52"/>
        <v>45829</v>
      </c>
      <c r="K1144" t="str">
        <f t="shared" si="53"/>
        <v>ACTIVE</v>
      </c>
    </row>
    <row r="1145" spans="1:11">
      <c r="A1145">
        <v>1754</v>
      </c>
      <c r="B1145" t="s">
        <v>126</v>
      </c>
      <c r="C1145" s="1">
        <v>45608</v>
      </c>
      <c r="D1145" s="2" t="s">
        <v>25</v>
      </c>
      <c r="E1145" t="s">
        <v>30</v>
      </c>
      <c r="G1145" s="3">
        <v>1156</v>
      </c>
      <c r="H1145" t="s">
        <v>176</v>
      </c>
      <c r="I1145" s="3" t="str">
        <f t="shared" si="51"/>
        <v>2024-11</v>
      </c>
      <c r="J1145" s="1">
        <f t="shared" si="52"/>
        <v>45827</v>
      </c>
      <c r="K1145" t="str">
        <f t="shared" si="53"/>
        <v>ACTIVE</v>
      </c>
    </row>
    <row r="1146" spans="1:11">
      <c r="A1146">
        <v>1456</v>
      </c>
      <c r="B1146" t="s">
        <v>91</v>
      </c>
      <c r="C1146" s="1">
        <v>45294</v>
      </c>
      <c r="D1146" s="2" t="s">
        <v>25</v>
      </c>
      <c r="E1146" t="s">
        <v>34</v>
      </c>
      <c r="G1146" s="3">
        <v>2535</v>
      </c>
      <c r="H1146" t="s">
        <v>175</v>
      </c>
      <c r="I1146" s="3" t="str">
        <f t="shared" si="51"/>
        <v>2024-01</v>
      </c>
      <c r="J1146" s="1">
        <f t="shared" si="52"/>
        <v>45785</v>
      </c>
      <c r="K1146" t="str">
        <f t="shared" si="53"/>
        <v>ACTIVE</v>
      </c>
    </row>
    <row r="1147" spans="1:11">
      <c r="A1147">
        <v>252</v>
      </c>
      <c r="B1147" t="s">
        <v>55</v>
      </c>
      <c r="C1147" s="1">
        <v>45788</v>
      </c>
      <c r="D1147" s="2" t="s">
        <v>27</v>
      </c>
      <c r="E1147" t="s">
        <v>32</v>
      </c>
      <c r="G1147" s="3">
        <v>10022</v>
      </c>
      <c r="H1147" t="s">
        <v>173</v>
      </c>
      <c r="I1147" s="3" t="str">
        <f t="shared" si="51"/>
        <v>2025-05</v>
      </c>
      <c r="J1147" s="1">
        <f t="shared" si="52"/>
        <v>45824</v>
      </c>
      <c r="K1147" t="str">
        <f t="shared" si="53"/>
        <v>ACTIVE</v>
      </c>
    </row>
    <row r="1148" spans="1:11">
      <c r="A1148">
        <v>1657</v>
      </c>
      <c r="B1148" t="s">
        <v>135</v>
      </c>
      <c r="C1148" s="1">
        <v>45330</v>
      </c>
      <c r="D1148" s="2" t="s">
        <v>23</v>
      </c>
      <c r="E1148" t="s">
        <v>31</v>
      </c>
      <c r="G1148" s="3">
        <v>352</v>
      </c>
      <c r="H1148" t="s">
        <v>173</v>
      </c>
      <c r="I1148" s="3" t="str">
        <f t="shared" si="51"/>
        <v>2024-02</v>
      </c>
      <c r="J1148" s="1">
        <f t="shared" si="52"/>
        <v>45785</v>
      </c>
      <c r="K1148" t="str">
        <f t="shared" si="53"/>
        <v>ACTIVE</v>
      </c>
    </row>
    <row r="1149" spans="1:11">
      <c r="A1149">
        <v>1193</v>
      </c>
      <c r="B1149" t="s">
        <v>132</v>
      </c>
      <c r="C1149" s="1">
        <v>45339</v>
      </c>
      <c r="D1149" s="2" t="s">
        <v>28</v>
      </c>
      <c r="E1149" t="s">
        <v>30</v>
      </c>
      <c r="G1149" s="3">
        <v>270</v>
      </c>
      <c r="H1149" t="s">
        <v>175</v>
      </c>
      <c r="I1149" s="3" t="str">
        <f t="shared" si="51"/>
        <v>2024-02</v>
      </c>
      <c r="J1149" s="1">
        <f t="shared" si="52"/>
        <v>45822</v>
      </c>
      <c r="K1149" t="str">
        <f t="shared" si="53"/>
        <v>ACTIVE</v>
      </c>
    </row>
    <row r="1150" spans="1:11">
      <c r="A1150">
        <v>1714</v>
      </c>
      <c r="B1150" t="s">
        <v>76</v>
      </c>
      <c r="C1150" s="1">
        <v>45354</v>
      </c>
      <c r="D1150" s="2" t="s">
        <v>24</v>
      </c>
      <c r="E1150" t="s">
        <v>32</v>
      </c>
      <c r="G1150" s="3">
        <v>1703</v>
      </c>
      <c r="H1150" t="s">
        <v>176</v>
      </c>
      <c r="I1150" s="3" t="str">
        <f t="shared" si="51"/>
        <v>2024-03</v>
      </c>
      <c r="J1150" s="1">
        <f t="shared" si="52"/>
        <v>45792</v>
      </c>
      <c r="K1150" t="str">
        <f t="shared" si="53"/>
        <v>ACTIVE</v>
      </c>
    </row>
    <row r="1151" spans="1:11">
      <c r="A1151">
        <v>983</v>
      </c>
      <c r="B1151" t="s">
        <v>122</v>
      </c>
      <c r="C1151" s="1">
        <v>45502</v>
      </c>
      <c r="D1151" s="2" t="s">
        <v>25</v>
      </c>
      <c r="E1151" t="s">
        <v>34</v>
      </c>
      <c r="G1151" s="3">
        <v>247</v>
      </c>
      <c r="H1151" t="s">
        <v>176</v>
      </c>
      <c r="I1151" s="3" t="str">
        <f t="shared" si="51"/>
        <v>2024-07</v>
      </c>
      <c r="J1151" s="1">
        <f t="shared" si="52"/>
        <v>45793</v>
      </c>
      <c r="K1151" t="str">
        <f t="shared" si="53"/>
        <v>ACTIVE</v>
      </c>
    </row>
    <row r="1152" spans="1:11">
      <c r="A1152">
        <v>1600</v>
      </c>
      <c r="B1152" t="s">
        <v>113</v>
      </c>
      <c r="C1152" s="1">
        <v>45308</v>
      </c>
      <c r="D1152" s="2" t="s">
        <v>24</v>
      </c>
      <c r="E1152" t="s">
        <v>33</v>
      </c>
      <c r="G1152" s="3">
        <v>913</v>
      </c>
      <c r="H1152" t="s">
        <v>176</v>
      </c>
      <c r="I1152" s="3" t="str">
        <f t="shared" si="51"/>
        <v>2024-01</v>
      </c>
      <c r="J1152" s="1">
        <f t="shared" si="52"/>
        <v>45788</v>
      </c>
      <c r="K1152" t="str">
        <f t="shared" si="53"/>
        <v>ACTIVE</v>
      </c>
    </row>
    <row r="1153" spans="1:11">
      <c r="A1153">
        <v>707</v>
      </c>
      <c r="B1153" t="s">
        <v>134</v>
      </c>
      <c r="C1153" s="1">
        <v>45395</v>
      </c>
      <c r="D1153" s="2" t="s">
        <v>28</v>
      </c>
      <c r="E1153" t="s">
        <v>32</v>
      </c>
      <c r="G1153" s="3">
        <v>2235</v>
      </c>
      <c r="H1153" t="s">
        <v>175</v>
      </c>
      <c r="I1153" s="3" t="str">
        <f t="shared" si="51"/>
        <v>2024-04</v>
      </c>
      <c r="J1153" s="1">
        <f t="shared" si="52"/>
        <v>45776</v>
      </c>
      <c r="K1153" t="str">
        <f t="shared" si="53"/>
        <v>ACTIVE</v>
      </c>
    </row>
    <row r="1154" spans="1:11">
      <c r="A1154">
        <v>488</v>
      </c>
      <c r="B1154" t="s">
        <v>117</v>
      </c>
      <c r="C1154" s="1">
        <v>45768</v>
      </c>
      <c r="D1154" s="2" t="s">
        <v>25</v>
      </c>
      <c r="E1154" t="s">
        <v>34</v>
      </c>
      <c r="G1154" s="3">
        <v>798</v>
      </c>
      <c r="H1154" t="s">
        <v>174</v>
      </c>
      <c r="I1154" s="3" t="str">
        <f t="shared" si="51"/>
        <v>2025-04</v>
      </c>
      <c r="J1154" s="1">
        <f t="shared" si="52"/>
        <v>45790</v>
      </c>
      <c r="K1154" t="str">
        <f t="shared" si="53"/>
        <v>ACTIVE</v>
      </c>
    </row>
    <row r="1155" spans="1:11">
      <c r="A1155">
        <v>274</v>
      </c>
      <c r="B1155" t="s">
        <v>40</v>
      </c>
      <c r="C1155" s="1">
        <v>45361</v>
      </c>
      <c r="D1155" s="2" t="s">
        <v>24</v>
      </c>
      <c r="E1155" t="s">
        <v>33</v>
      </c>
      <c r="G1155" s="3">
        <v>585</v>
      </c>
      <c r="H1155" t="s">
        <v>173</v>
      </c>
      <c r="I1155" s="3" t="str">
        <f t="shared" ref="I1155:I1218" si="54">TEXT(C1155, "yyyy-mm")</f>
        <v>2024-03</v>
      </c>
      <c r="J1155" s="1">
        <f t="shared" ref="J1155:J1218" si="55">_xlfn.MAXIFS(C:C, B:B, B1155)</f>
        <v>45759</v>
      </c>
      <c r="K1155" t="str">
        <f t="shared" ref="K1155:K1218" si="56">IF($L$3-J1155&gt;90, "LAPSED","ACTIVE")</f>
        <v>ACTIVE</v>
      </c>
    </row>
    <row r="1156" spans="1:11">
      <c r="A1156">
        <v>1359</v>
      </c>
      <c r="B1156" t="s">
        <v>158</v>
      </c>
      <c r="C1156" s="1">
        <v>45580</v>
      </c>
      <c r="D1156" s="2" t="s">
        <v>28</v>
      </c>
      <c r="E1156" t="s">
        <v>33</v>
      </c>
      <c r="G1156" s="3">
        <v>2024</v>
      </c>
      <c r="H1156" t="s">
        <v>174</v>
      </c>
      <c r="I1156" s="3" t="str">
        <f t="shared" si="54"/>
        <v>2024-10</v>
      </c>
      <c r="J1156" s="1">
        <f t="shared" si="55"/>
        <v>45740</v>
      </c>
      <c r="K1156" t="str">
        <f t="shared" si="56"/>
        <v>LAPSED</v>
      </c>
    </row>
    <row r="1157" spans="1:11">
      <c r="A1157">
        <v>1510</v>
      </c>
      <c r="B1157" t="s">
        <v>113</v>
      </c>
      <c r="C1157" s="1">
        <v>45443</v>
      </c>
      <c r="D1157" s="2" t="s">
        <v>28</v>
      </c>
      <c r="E1157" t="s">
        <v>34</v>
      </c>
      <c r="G1157" s="3">
        <v>816</v>
      </c>
      <c r="H1157" t="s">
        <v>175</v>
      </c>
      <c r="I1157" s="3" t="str">
        <f t="shared" si="54"/>
        <v>2024-05</v>
      </c>
      <c r="J1157" s="1">
        <f t="shared" si="55"/>
        <v>45788</v>
      </c>
      <c r="K1157" t="str">
        <f t="shared" si="56"/>
        <v>ACTIVE</v>
      </c>
    </row>
    <row r="1158" spans="1:11">
      <c r="A1158">
        <v>964</v>
      </c>
      <c r="B1158" t="s">
        <v>80</v>
      </c>
      <c r="C1158" s="1">
        <v>45643</v>
      </c>
      <c r="D1158" s="2" t="s">
        <v>28</v>
      </c>
      <c r="E1158" t="s">
        <v>35</v>
      </c>
      <c r="G1158" s="3">
        <v>8020</v>
      </c>
      <c r="H1158" t="s">
        <v>175</v>
      </c>
      <c r="I1158" s="3" t="str">
        <f t="shared" si="54"/>
        <v>2024-12</v>
      </c>
      <c r="J1158" s="1">
        <f t="shared" si="55"/>
        <v>45788</v>
      </c>
      <c r="K1158" t="str">
        <f t="shared" si="56"/>
        <v>ACTIVE</v>
      </c>
    </row>
    <row r="1159" spans="1:11">
      <c r="A1159">
        <v>878</v>
      </c>
      <c r="B1159" t="s">
        <v>87</v>
      </c>
      <c r="C1159" s="1">
        <v>45482</v>
      </c>
      <c r="D1159" s="2" t="s">
        <v>24</v>
      </c>
      <c r="E1159" t="s">
        <v>34</v>
      </c>
      <c r="G1159" s="3">
        <v>972</v>
      </c>
      <c r="H1159" t="s">
        <v>172</v>
      </c>
      <c r="I1159" s="3" t="str">
        <f t="shared" si="54"/>
        <v>2024-07</v>
      </c>
      <c r="J1159" s="1">
        <f t="shared" si="55"/>
        <v>45821</v>
      </c>
      <c r="K1159" t="str">
        <f t="shared" si="56"/>
        <v>ACTIVE</v>
      </c>
    </row>
    <row r="1160" spans="1:11">
      <c r="A1160">
        <v>1272</v>
      </c>
      <c r="B1160" t="s">
        <v>114</v>
      </c>
      <c r="C1160" s="1">
        <v>45591</v>
      </c>
      <c r="D1160" s="2" t="s">
        <v>28</v>
      </c>
      <c r="E1160" t="s">
        <v>32</v>
      </c>
      <c r="G1160" s="3">
        <v>713</v>
      </c>
      <c r="H1160" t="s">
        <v>173</v>
      </c>
      <c r="I1160" s="3" t="str">
        <f t="shared" si="54"/>
        <v>2024-10</v>
      </c>
      <c r="J1160" s="1">
        <f t="shared" si="55"/>
        <v>45815</v>
      </c>
      <c r="K1160" t="str">
        <f t="shared" si="56"/>
        <v>ACTIVE</v>
      </c>
    </row>
    <row r="1161" spans="1:11">
      <c r="A1161">
        <v>1637</v>
      </c>
      <c r="B1161" t="s">
        <v>41</v>
      </c>
      <c r="C1161" s="1">
        <v>45423</v>
      </c>
      <c r="D1161" s="2" t="s">
        <v>23</v>
      </c>
      <c r="E1161" t="s">
        <v>33</v>
      </c>
      <c r="G1161" s="3">
        <v>5989</v>
      </c>
      <c r="H1161" t="s">
        <v>174</v>
      </c>
      <c r="I1161" s="3" t="str">
        <f t="shared" si="54"/>
        <v>2024-05</v>
      </c>
      <c r="J1161" s="1">
        <f t="shared" si="55"/>
        <v>45785</v>
      </c>
      <c r="K1161" t="str">
        <f t="shared" si="56"/>
        <v>ACTIVE</v>
      </c>
    </row>
    <row r="1162" spans="1:11">
      <c r="A1162">
        <v>412</v>
      </c>
      <c r="B1162" t="s">
        <v>143</v>
      </c>
      <c r="C1162" s="1">
        <v>45331</v>
      </c>
      <c r="D1162" s="2" t="s">
        <v>23</v>
      </c>
      <c r="E1162" t="s">
        <v>35</v>
      </c>
      <c r="G1162" s="3">
        <v>0</v>
      </c>
      <c r="H1162" t="s">
        <v>172</v>
      </c>
      <c r="I1162" s="3" t="str">
        <f t="shared" si="54"/>
        <v>2024-02</v>
      </c>
      <c r="J1162" s="1">
        <f t="shared" si="55"/>
        <v>45764</v>
      </c>
      <c r="K1162" t="str">
        <f t="shared" si="56"/>
        <v>ACTIVE</v>
      </c>
    </row>
    <row r="1163" spans="1:11">
      <c r="A1163">
        <v>668</v>
      </c>
      <c r="B1163" t="s">
        <v>58</v>
      </c>
      <c r="C1163" s="1">
        <v>45405</v>
      </c>
      <c r="D1163" s="2" t="s">
        <v>27</v>
      </c>
      <c r="E1163" t="s">
        <v>35</v>
      </c>
      <c r="G1163" s="3">
        <v>1708</v>
      </c>
      <c r="H1163" t="s">
        <v>173</v>
      </c>
      <c r="I1163" s="3" t="str">
        <f t="shared" si="54"/>
        <v>2024-04</v>
      </c>
      <c r="J1163" s="1">
        <f t="shared" si="55"/>
        <v>45752</v>
      </c>
      <c r="K1163" t="str">
        <f t="shared" si="56"/>
        <v>ACTIVE</v>
      </c>
    </row>
    <row r="1164" spans="1:11">
      <c r="A1164">
        <v>150</v>
      </c>
      <c r="B1164" t="s">
        <v>135</v>
      </c>
      <c r="C1164" s="1">
        <v>45478</v>
      </c>
      <c r="D1164" s="2" t="s">
        <v>27</v>
      </c>
      <c r="E1164" t="s">
        <v>34</v>
      </c>
      <c r="G1164" s="3">
        <v>244</v>
      </c>
      <c r="H1164" t="s">
        <v>172</v>
      </c>
      <c r="I1164" s="3" t="str">
        <f t="shared" si="54"/>
        <v>2024-07</v>
      </c>
      <c r="J1164" s="1">
        <f t="shared" si="55"/>
        <v>45785</v>
      </c>
      <c r="K1164" t="str">
        <f t="shared" si="56"/>
        <v>ACTIVE</v>
      </c>
    </row>
    <row r="1165" spans="1:11">
      <c r="A1165">
        <v>645</v>
      </c>
      <c r="B1165" t="s">
        <v>84</v>
      </c>
      <c r="C1165" s="1">
        <v>45641</v>
      </c>
      <c r="D1165" s="2" t="s">
        <v>25</v>
      </c>
      <c r="E1165" t="s">
        <v>32</v>
      </c>
      <c r="G1165" s="3">
        <v>5984</v>
      </c>
      <c r="H1165" t="s">
        <v>173</v>
      </c>
      <c r="I1165" s="3" t="str">
        <f t="shared" si="54"/>
        <v>2024-12</v>
      </c>
      <c r="J1165" s="1">
        <f t="shared" si="55"/>
        <v>45827</v>
      </c>
      <c r="K1165" t="str">
        <f t="shared" si="56"/>
        <v>ACTIVE</v>
      </c>
    </row>
    <row r="1166" spans="1:11">
      <c r="A1166">
        <v>1450</v>
      </c>
      <c r="B1166" t="s">
        <v>89</v>
      </c>
      <c r="C1166" s="1">
        <v>45548</v>
      </c>
      <c r="D1166" s="2" t="s">
        <v>25</v>
      </c>
      <c r="E1166" t="s">
        <v>32</v>
      </c>
      <c r="G1166" s="3">
        <v>4296</v>
      </c>
      <c r="H1166" t="s">
        <v>172</v>
      </c>
      <c r="I1166" s="3" t="str">
        <f t="shared" si="54"/>
        <v>2024-09</v>
      </c>
      <c r="J1166" s="1">
        <f t="shared" si="55"/>
        <v>45826</v>
      </c>
      <c r="K1166" t="str">
        <f t="shared" si="56"/>
        <v>ACTIVE</v>
      </c>
    </row>
    <row r="1167" spans="1:11">
      <c r="A1167">
        <v>219</v>
      </c>
      <c r="B1167" t="s">
        <v>100</v>
      </c>
      <c r="C1167" s="1">
        <v>45515</v>
      </c>
      <c r="D1167" s="2" t="s">
        <v>28</v>
      </c>
      <c r="E1167" t="s">
        <v>31</v>
      </c>
      <c r="G1167" s="3">
        <v>0</v>
      </c>
      <c r="H1167" t="s">
        <v>175</v>
      </c>
      <c r="I1167" s="3" t="str">
        <f t="shared" si="54"/>
        <v>2024-08</v>
      </c>
      <c r="J1167" s="1">
        <f t="shared" si="55"/>
        <v>45779</v>
      </c>
      <c r="K1167" t="str">
        <f t="shared" si="56"/>
        <v>ACTIVE</v>
      </c>
    </row>
    <row r="1168" spans="1:11">
      <c r="A1168">
        <v>240</v>
      </c>
      <c r="B1168" t="s">
        <v>104</v>
      </c>
      <c r="C1168" s="1">
        <v>45720</v>
      </c>
      <c r="D1168" s="2" t="s">
        <v>25</v>
      </c>
      <c r="E1168" t="s">
        <v>31</v>
      </c>
      <c r="G1168" s="3">
        <v>10375</v>
      </c>
      <c r="H1168" t="s">
        <v>176</v>
      </c>
      <c r="I1168" s="3" t="str">
        <f t="shared" si="54"/>
        <v>2025-03</v>
      </c>
      <c r="J1168" s="1">
        <f t="shared" si="55"/>
        <v>45743</v>
      </c>
      <c r="K1168" t="str">
        <f t="shared" si="56"/>
        <v>ACTIVE</v>
      </c>
    </row>
    <row r="1169" spans="1:11">
      <c r="A1169">
        <v>1132</v>
      </c>
      <c r="B1169" t="s">
        <v>76</v>
      </c>
      <c r="C1169" s="1">
        <v>45384</v>
      </c>
      <c r="D1169" s="2" t="s">
        <v>27</v>
      </c>
      <c r="E1169" t="s">
        <v>31</v>
      </c>
      <c r="G1169" s="3">
        <v>288</v>
      </c>
      <c r="H1169" t="s">
        <v>173</v>
      </c>
      <c r="I1169" s="3" t="str">
        <f t="shared" si="54"/>
        <v>2024-04</v>
      </c>
      <c r="J1169" s="1">
        <f t="shared" si="55"/>
        <v>45792</v>
      </c>
      <c r="K1169" t="str">
        <f t="shared" si="56"/>
        <v>ACTIVE</v>
      </c>
    </row>
    <row r="1170" spans="1:11">
      <c r="A1170">
        <v>793</v>
      </c>
      <c r="B1170" t="s">
        <v>47</v>
      </c>
      <c r="C1170" s="1">
        <v>45748</v>
      </c>
      <c r="D1170" s="2" t="s">
        <v>28</v>
      </c>
      <c r="E1170" t="s">
        <v>35</v>
      </c>
      <c r="G1170" s="3">
        <v>2021</v>
      </c>
      <c r="H1170" t="s">
        <v>175</v>
      </c>
      <c r="I1170" s="3" t="str">
        <f t="shared" si="54"/>
        <v>2025-04</v>
      </c>
      <c r="J1170" s="1">
        <f t="shared" si="55"/>
        <v>45792</v>
      </c>
      <c r="K1170" t="str">
        <f t="shared" si="56"/>
        <v>ACTIVE</v>
      </c>
    </row>
    <row r="1171" spans="1:11">
      <c r="A1171">
        <v>192</v>
      </c>
      <c r="B1171" t="s">
        <v>127</v>
      </c>
      <c r="C1171" s="1">
        <v>45306</v>
      </c>
      <c r="D1171" s="2" t="s">
        <v>24</v>
      </c>
      <c r="E1171" t="s">
        <v>31</v>
      </c>
      <c r="G1171" s="3">
        <v>1740</v>
      </c>
      <c r="H1171" t="s">
        <v>173</v>
      </c>
      <c r="I1171" s="3" t="str">
        <f t="shared" si="54"/>
        <v>2024-01</v>
      </c>
      <c r="J1171" s="1">
        <f t="shared" si="55"/>
        <v>45794</v>
      </c>
      <c r="K1171" t="str">
        <f t="shared" si="56"/>
        <v>ACTIVE</v>
      </c>
    </row>
    <row r="1172" spans="1:11">
      <c r="A1172">
        <v>334</v>
      </c>
      <c r="B1172" t="s">
        <v>156</v>
      </c>
      <c r="C1172" s="1">
        <v>45299</v>
      </c>
      <c r="D1172" s="2" t="s">
        <v>24</v>
      </c>
      <c r="E1172" t="s">
        <v>35</v>
      </c>
      <c r="G1172" s="3">
        <v>2298</v>
      </c>
      <c r="H1172" t="s">
        <v>176</v>
      </c>
      <c r="I1172" s="3" t="str">
        <f t="shared" si="54"/>
        <v>2024-01</v>
      </c>
      <c r="J1172" s="1">
        <f t="shared" si="55"/>
        <v>45738</v>
      </c>
      <c r="K1172" t="str">
        <f t="shared" si="56"/>
        <v>LAPSED</v>
      </c>
    </row>
    <row r="1173" spans="1:11">
      <c r="A1173">
        <v>963</v>
      </c>
      <c r="B1173" t="s">
        <v>115</v>
      </c>
      <c r="C1173" s="1">
        <v>45613</v>
      </c>
      <c r="D1173" s="2" t="s">
        <v>28</v>
      </c>
      <c r="E1173" t="s">
        <v>33</v>
      </c>
      <c r="G1173" s="3">
        <v>1379</v>
      </c>
      <c r="H1173" t="s">
        <v>172</v>
      </c>
      <c r="I1173" s="3" t="str">
        <f t="shared" si="54"/>
        <v>2024-11</v>
      </c>
      <c r="J1173" s="1">
        <f t="shared" si="55"/>
        <v>45810</v>
      </c>
      <c r="K1173" t="str">
        <f t="shared" si="56"/>
        <v>ACTIVE</v>
      </c>
    </row>
    <row r="1174" spans="1:11">
      <c r="A1174">
        <v>1199</v>
      </c>
      <c r="B1174" t="s">
        <v>41</v>
      </c>
      <c r="C1174" s="1">
        <v>45674</v>
      </c>
      <c r="D1174" s="2" t="s">
        <v>23</v>
      </c>
      <c r="E1174" t="s">
        <v>32</v>
      </c>
      <c r="G1174" s="3">
        <v>592</v>
      </c>
      <c r="H1174" t="s">
        <v>174</v>
      </c>
      <c r="I1174" s="3" t="str">
        <f t="shared" si="54"/>
        <v>2025-01</v>
      </c>
      <c r="J1174" s="1">
        <f t="shared" si="55"/>
        <v>45785</v>
      </c>
      <c r="K1174" t="str">
        <f t="shared" si="56"/>
        <v>ACTIVE</v>
      </c>
    </row>
    <row r="1175" spans="1:11">
      <c r="A1175">
        <v>1758</v>
      </c>
      <c r="B1175" t="s">
        <v>58</v>
      </c>
      <c r="C1175" s="1">
        <v>45302</v>
      </c>
      <c r="D1175" s="2" t="s">
        <v>28</v>
      </c>
      <c r="E1175" t="s">
        <v>30</v>
      </c>
      <c r="G1175" s="3">
        <v>416</v>
      </c>
      <c r="H1175" t="s">
        <v>176</v>
      </c>
      <c r="I1175" s="3" t="str">
        <f t="shared" si="54"/>
        <v>2024-01</v>
      </c>
      <c r="J1175" s="1">
        <f t="shared" si="55"/>
        <v>45752</v>
      </c>
      <c r="K1175" t="str">
        <f t="shared" si="56"/>
        <v>ACTIVE</v>
      </c>
    </row>
    <row r="1176" spans="1:11">
      <c r="A1176">
        <v>1493</v>
      </c>
      <c r="B1176" t="s">
        <v>99</v>
      </c>
      <c r="C1176" s="1">
        <v>45633</v>
      </c>
      <c r="D1176" s="2" t="s">
        <v>27</v>
      </c>
      <c r="E1176" t="s">
        <v>32</v>
      </c>
      <c r="G1176" s="3">
        <v>8066</v>
      </c>
      <c r="H1176" t="s">
        <v>176</v>
      </c>
      <c r="I1176" s="3" t="str">
        <f t="shared" si="54"/>
        <v>2024-12</v>
      </c>
      <c r="J1176" s="1">
        <f t="shared" si="55"/>
        <v>45828</v>
      </c>
      <c r="K1176" t="str">
        <f t="shared" si="56"/>
        <v>ACTIVE</v>
      </c>
    </row>
    <row r="1177" spans="1:11">
      <c r="A1177">
        <v>1594</v>
      </c>
      <c r="B1177" t="s">
        <v>102</v>
      </c>
      <c r="C1177" s="1">
        <v>45643</v>
      </c>
      <c r="D1177" s="2" t="s">
        <v>23</v>
      </c>
      <c r="E1177" t="s">
        <v>30</v>
      </c>
      <c r="G1177" s="3">
        <v>4204</v>
      </c>
      <c r="H1177" t="s">
        <v>175</v>
      </c>
      <c r="I1177" s="3" t="str">
        <f t="shared" si="54"/>
        <v>2024-12</v>
      </c>
      <c r="J1177" s="1">
        <f t="shared" si="55"/>
        <v>45793</v>
      </c>
      <c r="K1177" t="str">
        <f t="shared" si="56"/>
        <v>ACTIVE</v>
      </c>
    </row>
    <row r="1178" spans="1:11">
      <c r="A1178">
        <v>583</v>
      </c>
      <c r="B1178" t="s">
        <v>60</v>
      </c>
      <c r="C1178" s="1">
        <v>45801</v>
      </c>
      <c r="D1178" s="2" t="s">
        <v>27</v>
      </c>
      <c r="E1178" t="s">
        <v>30</v>
      </c>
      <c r="G1178" s="3">
        <v>411</v>
      </c>
      <c r="H1178" t="s">
        <v>174</v>
      </c>
      <c r="I1178" s="3" t="str">
        <f t="shared" si="54"/>
        <v>2025-05</v>
      </c>
      <c r="J1178" s="1">
        <f t="shared" si="55"/>
        <v>45801</v>
      </c>
      <c r="K1178" t="str">
        <f t="shared" si="56"/>
        <v>ACTIVE</v>
      </c>
    </row>
    <row r="1179" spans="1:11">
      <c r="A1179">
        <v>1719</v>
      </c>
      <c r="B1179" t="s">
        <v>85</v>
      </c>
      <c r="C1179" s="1">
        <v>45826</v>
      </c>
      <c r="D1179" s="2" t="s">
        <v>28</v>
      </c>
      <c r="E1179" t="s">
        <v>32</v>
      </c>
      <c r="G1179" s="3">
        <v>634</v>
      </c>
      <c r="H1179" t="s">
        <v>176</v>
      </c>
      <c r="I1179" s="3" t="str">
        <f t="shared" si="54"/>
        <v>2025-06</v>
      </c>
      <c r="J1179" s="1">
        <f t="shared" si="55"/>
        <v>45826</v>
      </c>
      <c r="K1179" t="str">
        <f t="shared" si="56"/>
        <v>ACTIVE</v>
      </c>
    </row>
    <row r="1180" spans="1:11">
      <c r="A1180">
        <v>1458</v>
      </c>
      <c r="B1180" t="s">
        <v>149</v>
      </c>
      <c r="C1180" s="1">
        <v>45532</v>
      </c>
      <c r="D1180" s="2" t="s">
        <v>28</v>
      </c>
      <c r="E1180" t="s">
        <v>35</v>
      </c>
      <c r="G1180" s="3">
        <v>4354</v>
      </c>
      <c r="H1180" t="s">
        <v>172</v>
      </c>
      <c r="I1180" s="3" t="str">
        <f t="shared" si="54"/>
        <v>2024-08</v>
      </c>
      <c r="J1180" s="1">
        <f t="shared" si="55"/>
        <v>45795</v>
      </c>
      <c r="K1180" t="str">
        <f t="shared" si="56"/>
        <v>ACTIVE</v>
      </c>
    </row>
    <row r="1181" spans="1:11">
      <c r="A1181">
        <v>840</v>
      </c>
      <c r="B1181" t="s">
        <v>116</v>
      </c>
      <c r="C1181" s="1">
        <v>45358</v>
      </c>
      <c r="D1181" s="2" t="s">
        <v>24</v>
      </c>
      <c r="E1181" t="s">
        <v>32</v>
      </c>
      <c r="G1181" s="3">
        <v>796</v>
      </c>
      <c r="H1181" t="s">
        <v>175</v>
      </c>
      <c r="I1181" s="3" t="str">
        <f t="shared" si="54"/>
        <v>2024-03</v>
      </c>
      <c r="J1181" s="1">
        <f t="shared" si="55"/>
        <v>45829</v>
      </c>
      <c r="K1181" t="str">
        <f t="shared" si="56"/>
        <v>ACTIVE</v>
      </c>
    </row>
    <row r="1182" spans="1:11">
      <c r="A1182">
        <v>628</v>
      </c>
      <c r="B1182" t="s">
        <v>96</v>
      </c>
      <c r="C1182" s="1">
        <v>45352</v>
      </c>
      <c r="D1182" s="2" t="s">
        <v>25</v>
      </c>
      <c r="E1182" t="s">
        <v>31</v>
      </c>
      <c r="G1182" s="3">
        <v>413</v>
      </c>
      <c r="H1182" t="s">
        <v>176</v>
      </c>
      <c r="I1182" s="3" t="str">
        <f t="shared" si="54"/>
        <v>2024-03</v>
      </c>
      <c r="J1182" s="1">
        <f t="shared" si="55"/>
        <v>45798</v>
      </c>
      <c r="K1182" t="str">
        <f t="shared" si="56"/>
        <v>ACTIVE</v>
      </c>
    </row>
    <row r="1183" spans="1:11">
      <c r="A1183">
        <v>324</v>
      </c>
      <c r="B1183" t="s">
        <v>43</v>
      </c>
      <c r="C1183" s="1">
        <v>45776</v>
      </c>
      <c r="D1183" s="2" t="s">
        <v>27</v>
      </c>
      <c r="E1183" t="s">
        <v>31</v>
      </c>
      <c r="G1183" s="3">
        <v>643</v>
      </c>
      <c r="H1183" t="s">
        <v>175</v>
      </c>
      <c r="I1183" s="3" t="str">
        <f t="shared" si="54"/>
        <v>2025-04</v>
      </c>
      <c r="J1183" s="1">
        <f t="shared" si="55"/>
        <v>45818</v>
      </c>
      <c r="K1183" t="str">
        <f t="shared" si="56"/>
        <v>ACTIVE</v>
      </c>
    </row>
    <row r="1184" spans="1:11">
      <c r="A1184">
        <v>1484</v>
      </c>
      <c r="B1184" t="s">
        <v>85</v>
      </c>
      <c r="C1184" s="1">
        <v>45503</v>
      </c>
      <c r="D1184" s="2" t="s">
        <v>24</v>
      </c>
      <c r="E1184" t="s">
        <v>33</v>
      </c>
      <c r="G1184" s="3">
        <v>1992</v>
      </c>
      <c r="H1184" t="s">
        <v>174</v>
      </c>
      <c r="I1184" s="3" t="str">
        <f t="shared" si="54"/>
        <v>2024-07</v>
      </c>
      <c r="J1184" s="1">
        <f t="shared" si="55"/>
        <v>45826</v>
      </c>
      <c r="K1184" t="str">
        <f t="shared" si="56"/>
        <v>ACTIVE</v>
      </c>
    </row>
    <row r="1185" spans="1:11">
      <c r="A1185">
        <v>1161</v>
      </c>
      <c r="B1185" t="s">
        <v>89</v>
      </c>
      <c r="C1185" s="1">
        <v>45720</v>
      </c>
      <c r="D1185" s="2" t="s">
        <v>28</v>
      </c>
      <c r="E1185" t="s">
        <v>33</v>
      </c>
      <c r="G1185" s="3">
        <v>524</v>
      </c>
      <c r="H1185" t="s">
        <v>172</v>
      </c>
      <c r="I1185" s="3" t="str">
        <f t="shared" si="54"/>
        <v>2025-03</v>
      </c>
      <c r="J1185" s="1">
        <f t="shared" si="55"/>
        <v>45826</v>
      </c>
      <c r="K1185" t="str">
        <f t="shared" si="56"/>
        <v>ACTIVE</v>
      </c>
    </row>
    <row r="1186" spans="1:11">
      <c r="A1186">
        <v>779</v>
      </c>
      <c r="B1186" t="s">
        <v>74</v>
      </c>
      <c r="C1186" s="1">
        <v>45378</v>
      </c>
      <c r="D1186" s="2" t="s">
        <v>28</v>
      </c>
      <c r="E1186" t="s">
        <v>35</v>
      </c>
      <c r="G1186" s="3">
        <v>4460</v>
      </c>
      <c r="H1186" t="s">
        <v>176</v>
      </c>
      <c r="I1186" s="3" t="str">
        <f t="shared" si="54"/>
        <v>2024-03</v>
      </c>
      <c r="J1186" s="1">
        <f t="shared" si="55"/>
        <v>45773</v>
      </c>
      <c r="K1186" t="str">
        <f t="shared" si="56"/>
        <v>ACTIVE</v>
      </c>
    </row>
    <row r="1187" spans="1:11">
      <c r="A1187">
        <v>1077</v>
      </c>
      <c r="B1187" t="s">
        <v>115</v>
      </c>
      <c r="C1187" s="1">
        <v>45328</v>
      </c>
      <c r="D1187" s="2" t="s">
        <v>25</v>
      </c>
      <c r="E1187" t="s">
        <v>33</v>
      </c>
      <c r="G1187" s="3">
        <v>1552</v>
      </c>
      <c r="H1187" t="s">
        <v>172</v>
      </c>
      <c r="I1187" s="3" t="str">
        <f t="shared" si="54"/>
        <v>2024-02</v>
      </c>
      <c r="J1187" s="1">
        <f t="shared" si="55"/>
        <v>45810</v>
      </c>
      <c r="K1187" t="str">
        <f t="shared" si="56"/>
        <v>ACTIVE</v>
      </c>
    </row>
    <row r="1188" spans="1:11">
      <c r="A1188">
        <v>940</v>
      </c>
      <c r="B1188" t="s">
        <v>148</v>
      </c>
      <c r="C1188" s="1">
        <v>45402</v>
      </c>
      <c r="D1188" s="2" t="s">
        <v>28</v>
      </c>
      <c r="E1188" t="s">
        <v>32</v>
      </c>
      <c r="G1188" s="3">
        <v>1921</v>
      </c>
      <c r="H1188" t="s">
        <v>176</v>
      </c>
      <c r="I1188" s="3" t="str">
        <f t="shared" si="54"/>
        <v>2024-04</v>
      </c>
      <c r="J1188" s="1">
        <f t="shared" si="55"/>
        <v>45766</v>
      </c>
      <c r="K1188" t="str">
        <f t="shared" si="56"/>
        <v>ACTIVE</v>
      </c>
    </row>
    <row r="1189" spans="1:11">
      <c r="A1189">
        <v>438</v>
      </c>
      <c r="B1189" t="s">
        <v>96</v>
      </c>
      <c r="C1189" s="1">
        <v>45552</v>
      </c>
      <c r="D1189" s="2" t="s">
        <v>26</v>
      </c>
      <c r="E1189" t="s">
        <v>32</v>
      </c>
      <c r="G1189" s="3">
        <v>4520</v>
      </c>
      <c r="H1189" t="s">
        <v>174</v>
      </c>
      <c r="I1189" s="3" t="str">
        <f t="shared" si="54"/>
        <v>2024-09</v>
      </c>
      <c r="J1189" s="1">
        <f t="shared" si="55"/>
        <v>45798</v>
      </c>
      <c r="K1189" t="str">
        <f t="shared" si="56"/>
        <v>ACTIVE</v>
      </c>
    </row>
    <row r="1190" spans="1:11">
      <c r="A1190">
        <v>120</v>
      </c>
      <c r="B1190" t="s">
        <v>102</v>
      </c>
      <c r="C1190" s="1">
        <v>45790</v>
      </c>
      <c r="D1190" s="2" t="s">
        <v>24</v>
      </c>
      <c r="E1190" t="s">
        <v>34</v>
      </c>
      <c r="G1190" s="3">
        <v>1916</v>
      </c>
      <c r="H1190" t="s">
        <v>175</v>
      </c>
      <c r="I1190" s="3" t="str">
        <f t="shared" si="54"/>
        <v>2025-05</v>
      </c>
      <c r="J1190" s="1">
        <f t="shared" si="55"/>
        <v>45793</v>
      </c>
      <c r="K1190" t="str">
        <f t="shared" si="56"/>
        <v>ACTIVE</v>
      </c>
    </row>
    <row r="1191" spans="1:11">
      <c r="A1191">
        <v>1232</v>
      </c>
      <c r="B1191" t="s">
        <v>116</v>
      </c>
      <c r="C1191" s="1">
        <v>45455</v>
      </c>
      <c r="D1191" s="2" t="s">
        <v>28</v>
      </c>
      <c r="E1191" t="s">
        <v>32</v>
      </c>
      <c r="G1191" s="3">
        <v>1799</v>
      </c>
      <c r="H1191" t="s">
        <v>174</v>
      </c>
      <c r="I1191" s="3" t="str">
        <f t="shared" si="54"/>
        <v>2024-06</v>
      </c>
      <c r="J1191" s="1">
        <f t="shared" si="55"/>
        <v>45829</v>
      </c>
      <c r="K1191" t="str">
        <f t="shared" si="56"/>
        <v>ACTIVE</v>
      </c>
    </row>
    <row r="1192" spans="1:11">
      <c r="A1192">
        <v>1410</v>
      </c>
      <c r="B1192" t="s">
        <v>147</v>
      </c>
      <c r="C1192" s="1">
        <v>45748</v>
      </c>
      <c r="D1192" s="2" t="s">
        <v>28</v>
      </c>
      <c r="E1192" t="s">
        <v>34</v>
      </c>
      <c r="G1192" s="3">
        <v>676</v>
      </c>
      <c r="H1192" t="s">
        <v>172</v>
      </c>
      <c r="I1192" s="3" t="str">
        <f t="shared" si="54"/>
        <v>2025-04</v>
      </c>
      <c r="J1192" s="1">
        <f t="shared" si="55"/>
        <v>45752</v>
      </c>
      <c r="K1192" t="str">
        <f t="shared" si="56"/>
        <v>ACTIVE</v>
      </c>
    </row>
    <row r="1193" spans="1:11">
      <c r="A1193">
        <v>1027</v>
      </c>
      <c r="B1193" t="s">
        <v>50</v>
      </c>
      <c r="C1193" s="1">
        <v>45488</v>
      </c>
      <c r="D1193" s="2" t="s">
        <v>23</v>
      </c>
      <c r="E1193" t="s">
        <v>34</v>
      </c>
      <c r="G1193" s="3">
        <v>881</v>
      </c>
      <c r="H1193" t="s">
        <v>172</v>
      </c>
      <c r="I1193" s="3" t="str">
        <f t="shared" si="54"/>
        <v>2024-07</v>
      </c>
      <c r="J1193" s="1">
        <f t="shared" si="55"/>
        <v>45831</v>
      </c>
      <c r="K1193" t="str">
        <f t="shared" si="56"/>
        <v>ACTIVE</v>
      </c>
    </row>
    <row r="1194" spans="1:11">
      <c r="A1194">
        <v>1250</v>
      </c>
      <c r="B1194" t="s">
        <v>155</v>
      </c>
      <c r="C1194" s="1">
        <v>45376</v>
      </c>
      <c r="D1194" s="2" t="s">
        <v>27</v>
      </c>
      <c r="E1194" t="s">
        <v>32</v>
      </c>
      <c r="G1194" s="3">
        <v>449</v>
      </c>
      <c r="H1194" t="s">
        <v>172</v>
      </c>
      <c r="I1194" s="3" t="str">
        <f t="shared" si="54"/>
        <v>2024-03</v>
      </c>
      <c r="J1194" s="1">
        <f t="shared" si="55"/>
        <v>45698</v>
      </c>
      <c r="K1194" t="str">
        <f t="shared" si="56"/>
        <v>LAPSED</v>
      </c>
    </row>
    <row r="1195" spans="1:11">
      <c r="A1195">
        <v>77</v>
      </c>
      <c r="B1195" t="s">
        <v>50</v>
      </c>
      <c r="C1195" s="1">
        <v>45795</v>
      </c>
      <c r="D1195" s="2" t="s">
        <v>28</v>
      </c>
      <c r="E1195" t="s">
        <v>31</v>
      </c>
      <c r="G1195" s="3">
        <v>700</v>
      </c>
      <c r="H1195" t="s">
        <v>176</v>
      </c>
      <c r="I1195" s="3" t="str">
        <f t="shared" si="54"/>
        <v>2025-05</v>
      </c>
      <c r="J1195" s="1">
        <f t="shared" si="55"/>
        <v>45831</v>
      </c>
      <c r="K1195" t="str">
        <f t="shared" si="56"/>
        <v>ACTIVE</v>
      </c>
    </row>
    <row r="1196" spans="1:11">
      <c r="A1196">
        <v>1054</v>
      </c>
      <c r="B1196" t="s">
        <v>104</v>
      </c>
      <c r="C1196" s="1">
        <v>45653</v>
      </c>
      <c r="D1196" s="2" t="s">
        <v>25</v>
      </c>
      <c r="E1196" t="s">
        <v>35</v>
      </c>
      <c r="G1196" s="3">
        <v>1880</v>
      </c>
      <c r="H1196" t="s">
        <v>176</v>
      </c>
      <c r="I1196" s="3" t="str">
        <f t="shared" si="54"/>
        <v>2024-12</v>
      </c>
      <c r="J1196" s="1">
        <f t="shared" si="55"/>
        <v>45743</v>
      </c>
      <c r="K1196" t="str">
        <f t="shared" si="56"/>
        <v>ACTIVE</v>
      </c>
    </row>
    <row r="1197" spans="1:11">
      <c r="A1197">
        <v>901</v>
      </c>
      <c r="B1197" t="s">
        <v>114</v>
      </c>
      <c r="C1197" s="1">
        <v>45350</v>
      </c>
      <c r="D1197" s="2" t="s">
        <v>25</v>
      </c>
      <c r="E1197" t="s">
        <v>31</v>
      </c>
      <c r="G1197" s="3">
        <v>2184</v>
      </c>
      <c r="H1197" t="s">
        <v>174</v>
      </c>
      <c r="I1197" s="3" t="str">
        <f t="shared" si="54"/>
        <v>2024-02</v>
      </c>
      <c r="J1197" s="1">
        <f t="shared" si="55"/>
        <v>45815</v>
      </c>
      <c r="K1197" t="str">
        <f t="shared" si="56"/>
        <v>ACTIVE</v>
      </c>
    </row>
    <row r="1198" spans="1:11">
      <c r="A1198">
        <v>372</v>
      </c>
      <c r="B1198" t="s">
        <v>125</v>
      </c>
      <c r="C1198" s="1">
        <v>45613</v>
      </c>
      <c r="D1198" s="2" t="s">
        <v>23</v>
      </c>
      <c r="E1198" t="s">
        <v>30</v>
      </c>
      <c r="G1198" s="3">
        <v>1761</v>
      </c>
      <c r="H1198" t="s">
        <v>175</v>
      </c>
      <c r="I1198" s="3" t="str">
        <f t="shared" si="54"/>
        <v>2024-11</v>
      </c>
      <c r="J1198" s="1">
        <f t="shared" si="55"/>
        <v>45784</v>
      </c>
      <c r="K1198" t="str">
        <f t="shared" si="56"/>
        <v>ACTIVE</v>
      </c>
    </row>
    <row r="1199" spans="1:11">
      <c r="A1199">
        <v>1680</v>
      </c>
      <c r="B1199" t="s">
        <v>129</v>
      </c>
      <c r="C1199" s="1">
        <v>45577</v>
      </c>
      <c r="D1199" s="2" t="s">
        <v>24</v>
      </c>
      <c r="E1199" t="s">
        <v>32</v>
      </c>
      <c r="G1199" s="3">
        <v>1357</v>
      </c>
      <c r="H1199" t="s">
        <v>175</v>
      </c>
      <c r="I1199" s="3" t="str">
        <f t="shared" si="54"/>
        <v>2024-10</v>
      </c>
      <c r="J1199" s="1">
        <f t="shared" si="55"/>
        <v>45812</v>
      </c>
      <c r="K1199" t="str">
        <f t="shared" si="56"/>
        <v>ACTIVE</v>
      </c>
    </row>
    <row r="1200" spans="1:11">
      <c r="A1200">
        <v>1305</v>
      </c>
      <c r="B1200" t="s">
        <v>53</v>
      </c>
      <c r="C1200" s="1">
        <v>45445</v>
      </c>
      <c r="D1200" s="2" t="s">
        <v>27</v>
      </c>
      <c r="E1200" t="s">
        <v>30</v>
      </c>
      <c r="G1200" s="3">
        <v>4585</v>
      </c>
      <c r="H1200" t="s">
        <v>176</v>
      </c>
      <c r="I1200" s="3" t="str">
        <f t="shared" si="54"/>
        <v>2024-06</v>
      </c>
      <c r="J1200" s="1">
        <f t="shared" si="55"/>
        <v>45779</v>
      </c>
      <c r="K1200" t="str">
        <f t="shared" si="56"/>
        <v>ACTIVE</v>
      </c>
    </row>
    <row r="1201" spans="1:11">
      <c r="A1201">
        <v>1781</v>
      </c>
      <c r="B1201" t="s">
        <v>47</v>
      </c>
      <c r="C1201" s="1">
        <v>45513</v>
      </c>
      <c r="D1201" s="2" t="s">
        <v>23</v>
      </c>
      <c r="E1201" t="s">
        <v>32</v>
      </c>
      <c r="G1201" s="3">
        <v>1505</v>
      </c>
      <c r="H1201" t="s">
        <v>175</v>
      </c>
      <c r="I1201" s="3" t="str">
        <f t="shared" si="54"/>
        <v>2024-08</v>
      </c>
      <c r="J1201" s="1">
        <f t="shared" si="55"/>
        <v>45792</v>
      </c>
      <c r="K1201" t="str">
        <f t="shared" si="56"/>
        <v>ACTIVE</v>
      </c>
    </row>
    <row r="1202" spans="1:11">
      <c r="A1202">
        <v>942</v>
      </c>
      <c r="B1202" t="s">
        <v>46</v>
      </c>
      <c r="C1202" s="1">
        <v>45681</v>
      </c>
      <c r="D1202" s="2" t="s">
        <v>24</v>
      </c>
      <c r="E1202" t="s">
        <v>32</v>
      </c>
      <c r="G1202" s="3">
        <v>266</v>
      </c>
      <c r="H1202" t="s">
        <v>172</v>
      </c>
      <c r="I1202" s="3" t="str">
        <f t="shared" si="54"/>
        <v>2025-01</v>
      </c>
      <c r="J1202" s="1">
        <f t="shared" si="55"/>
        <v>45815</v>
      </c>
      <c r="K1202" t="str">
        <f t="shared" si="56"/>
        <v>ACTIVE</v>
      </c>
    </row>
    <row r="1203" spans="1:11">
      <c r="A1203">
        <v>578</v>
      </c>
      <c r="B1203" t="s">
        <v>149</v>
      </c>
      <c r="C1203" s="1">
        <v>45541</v>
      </c>
      <c r="D1203" s="2" t="s">
        <v>23</v>
      </c>
      <c r="E1203" t="s">
        <v>34</v>
      </c>
      <c r="G1203" s="3">
        <v>1260</v>
      </c>
      <c r="H1203" t="s">
        <v>175</v>
      </c>
      <c r="I1203" s="3" t="str">
        <f t="shared" si="54"/>
        <v>2024-09</v>
      </c>
      <c r="J1203" s="1">
        <f t="shared" si="55"/>
        <v>45795</v>
      </c>
      <c r="K1203" t="str">
        <f t="shared" si="56"/>
        <v>ACTIVE</v>
      </c>
    </row>
    <row r="1204" spans="1:11">
      <c r="A1204">
        <v>820</v>
      </c>
      <c r="B1204" t="s">
        <v>88</v>
      </c>
      <c r="C1204" s="1">
        <v>45364</v>
      </c>
      <c r="D1204" s="2" t="s">
        <v>25</v>
      </c>
      <c r="E1204" t="s">
        <v>34</v>
      </c>
      <c r="G1204" s="3">
        <v>880</v>
      </c>
      <c r="H1204" t="s">
        <v>172</v>
      </c>
      <c r="I1204" s="3" t="str">
        <f t="shared" si="54"/>
        <v>2024-03</v>
      </c>
      <c r="J1204" s="1">
        <f t="shared" si="55"/>
        <v>45763</v>
      </c>
      <c r="K1204" t="str">
        <f t="shared" si="56"/>
        <v>ACTIVE</v>
      </c>
    </row>
    <row r="1205" spans="1:11">
      <c r="A1205">
        <v>1327</v>
      </c>
      <c r="B1205" t="s">
        <v>124</v>
      </c>
      <c r="C1205" s="1">
        <v>45623</v>
      </c>
      <c r="D1205" s="2" t="s">
        <v>26</v>
      </c>
      <c r="E1205" t="s">
        <v>35</v>
      </c>
      <c r="G1205" s="3">
        <v>2141</v>
      </c>
      <c r="H1205" t="s">
        <v>175</v>
      </c>
      <c r="I1205" s="3" t="str">
        <f t="shared" si="54"/>
        <v>2024-11</v>
      </c>
      <c r="J1205" s="1">
        <f t="shared" si="55"/>
        <v>45793</v>
      </c>
      <c r="K1205" t="str">
        <f t="shared" si="56"/>
        <v>ACTIVE</v>
      </c>
    </row>
    <row r="1206" spans="1:11">
      <c r="A1206">
        <v>1346</v>
      </c>
      <c r="B1206" t="s">
        <v>39</v>
      </c>
      <c r="C1206" s="1">
        <v>45795</v>
      </c>
      <c r="D1206" s="2" t="s">
        <v>24</v>
      </c>
      <c r="E1206" t="s">
        <v>30</v>
      </c>
      <c r="G1206" s="3">
        <v>1033</v>
      </c>
      <c r="H1206" t="s">
        <v>174</v>
      </c>
      <c r="I1206" s="3" t="str">
        <f t="shared" si="54"/>
        <v>2025-05</v>
      </c>
      <c r="J1206" s="1">
        <f t="shared" si="55"/>
        <v>45795</v>
      </c>
      <c r="K1206" t="str">
        <f t="shared" si="56"/>
        <v>ACTIVE</v>
      </c>
    </row>
    <row r="1207" spans="1:11">
      <c r="A1207">
        <v>1563</v>
      </c>
      <c r="B1207" t="s">
        <v>65</v>
      </c>
      <c r="C1207" s="1">
        <v>45669</v>
      </c>
      <c r="D1207" s="2" t="s">
        <v>24</v>
      </c>
      <c r="E1207" t="s">
        <v>31</v>
      </c>
      <c r="G1207" s="3">
        <v>579</v>
      </c>
      <c r="H1207" t="s">
        <v>173</v>
      </c>
      <c r="I1207" s="3" t="str">
        <f t="shared" si="54"/>
        <v>2025-01</v>
      </c>
      <c r="J1207" s="1">
        <f t="shared" si="55"/>
        <v>45813</v>
      </c>
      <c r="K1207" t="str">
        <f t="shared" si="56"/>
        <v>ACTIVE</v>
      </c>
    </row>
    <row r="1208" spans="1:11">
      <c r="A1208">
        <v>1442</v>
      </c>
      <c r="B1208" t="s">
        <v>137</v>
      </c>
      <c r="C1208" s="1">
        <v>45292</v>
      </c>
      <c r="D1208" s="2" t="s">
        <v>27</v>
      </c>
      <c r="E1208" t="s">
        <v>33</v>
      </c>
      <c r="G1208" s="3">
        <v>847</v>
      </c>
      <c r="H1208" t="s">
        <v>173</v>
      </c>
      <c r="I1208" s="3" t="str">
        <f t="shared" si="54"/>
        <v>2024-01</v>
      </c>
      <c r="J1208" s="1">
        <f t="shared" si="55"/>
        <v>45819</v>
      </c>
      <c r="K1208" t="str">
        <f t="shared" si="56"/>
        <v>ACTIVE</v>
      </c>
    </row>
    <row r="1209" spans="1:11">
      <c r="A1209">
        <v>887</v>
      </c>
      <c r="B1209" t="s">
        <v>62</v>
      </c>
      <c r="C1209" s="1">
        <v>45572</v>
      </c>
      <c r="D1209" s="2" t="s">
        <v>27</v>
      </c>
      <c r="E1209" t="s">
        <v>32</v>
      </c>
      <c r="G1209" s="3">
        <v>523</v>
      </c>
      <c r="H1209" t="s">
        <v>176</v>
      </c>
      <c r="I1209" s="3" t="str">
        <f t="shared" si="54"/>
        <v>2024-10</v>
      </c>
      <c r="J1209" s="1">
        <f t="shared" si="55"/>
        <v>45815</v>
      </c>
      <c r="K1209" t="str">
        <f t="shared" si="56"/>
        <v>ACTIVE</v>
      </c>
    </row>
    <row r="1210" spans="1:11">
      <c r="A1210">
        <v>969</v>
      </c>
      <c r="B1210" t="s">
        <v>90</v>
      </c>
      <c r="C1210" s="1">
        <v>45684</v>
      </c>
      <c r="D1210" s="2" t="s">
        <v>27</v>
      </c>
      <c r="E1210" t="s">
        <v>35</v>
      </c>
      <c r="G1210" s="3">
        <v>4748</v>
      </c>
      <c r="H1210" t="s">
        <v>176</v>
      </c>
      <c r="I1210" s="3" t="str">
        <f t="shared" si="54"/>
        <v>2025-01</v>
      </c>
      <c r="J1210" s="1">
        <f t="shared" si="55"/>
        <v>45788</v>
      </c>
      <c r="K1210" t="str">
        <f t="shared" si="56"/>
        <v>ACTIVE</v>
      </c>
    </row>
    <row r="1211" spans="1:11">
      <c r="A1211">
        <v>786</v>
      </c>
      <c r="B1211" t="s">
        <v>76</v>
      </c>
      <c r="C1211" s="1">
        <v>45423</v>
      </c>
      <c r="D1211" s="2" t="s">
        <v>25</v>
      </c>
      <c r="E1211" t="s">
        <v>32</v>
      </c>
      <c r="G1211" s="3">
        <v>4680</v>
      </c>
      <c r="H1211" t="s">
        <v>173</v>
      </c>
      <c r="I1211" s="3" t="str">
        <f t="shared" si="54"/>
        <v>2024-05</v>
      </c>
      <c r="J1211" s="1">
        <f t="shared" si="55"/>
        <v>45792</v>
      </c>
      <c r="K1211" t="str">
        <f t="shared" si="56"/>
        <v>ACTIVE</v>
      </c>
    </row>
    <row r="1212" spans="1:11">
      <c r="A1212">
        <v>1562</v>
      </c>
      <c r="B1212" t="s">
        <v>94</v>
      </c>
      <c r="C1212" s="1">
        <v>45347</v>
      </c>
      <c r="D1212" s="2" t="s">
        <v>28</v>
      </c>
      <c r="E1212" t="s">
        <v>33</v>
      </c>
      <c r="G1212" s="3">
        <v>8784</v>
      </c>
      <c r="H1212" t="s">
        <v>175</v>
      </c>
      <c r="I1212" s="3" t="str">
        <f t="shared" si="54"/>
        <v>2024-02</v>
      </c>
      <c r="J1212" s="1">
        <f t="shared" si="55"/>
        <v>45824</v>
      </c>
      <c r="K1212" t="str">
        <f t="shared" si="56"/>
        <v>ACTIVE</v>
      </c>
    </row>
    <row r="1213" spans="1:11">
      <c r="A1213">
        <v>1486</v>
      </c>
      <c r="B1213" t="s">
        <v>96</v>
      </c>
      <c r="C1213" s="1">
        <v>45306</v>
      </c>
      <c r="D1213" s="2" t="s">
        <v>23</v>
      </c>
      <c r="E1213" t="s">
        <v>34</v>
      </c>
      <c r="G1213" s="3">
        <v>282</v>
      </c>
      <c r="H1213" t="s">
        <v>172</v>
      </c>
      <c r="I1213" s="3" t="str">
        <f t="shared" si="54"/>
        <v>2024-01</v>
      </c>
      <c r="J1213" s="1">
        <f t="shared" si="55"/>
        <v>45798</v>
      </c>
      <c r="K1213" t="str">
        <f t="shared" si="56"/>
        <v>ACTIVE</v>
      </c>
    </row>
    <row r="1214" spans="1:11">
      <c r="A1214">
        <v>302</v>
      </c>
      <c r="B1214" t="s">
        <v>124</v>
      </c>
      <c r="C1214" s="1">
        <v>45320</v>
      </c>
      <c r="D1214" s="2" t="s">
        <v>24</v>
      </c>
      <c r="E1214" t="s">
        <v>35</v>
      </c>
      <c r="G1214" s="3">
        <v>1538</v>
      </c>
      <c r="H1214" t="s">
        <v>172</v>
      </c>
      <c r="I1214" s="3" t="str">
        <f t="shared" si="54"/>
        <v>2024-01</v>
      </c>
      <c r="J1214" s="1">
        <f t="shared" si="55"/>
        <v>45793</v>
      </c>
      <c r="K1214" t="str">
        <f t="shared" si="56"/>
        <v>ACTIVE</v>
      </c>
    </row>
    <row r="1215" spans="1:11">
      <c r="A1215">
        <v>690</v>
      </c>
      <c r="B1215" t="s">
        <v>156</v>
      </c>
      <c r="C1215" s="1">
        <v>45668</v>
      </c>
      <c r="D1215" s="2" t="s">
        <v>27</v>
      </c>
      <c r="E1215" t="s">
        <v>32</v>
      </c>
      <c r="G1215" s="3">
        <v>346</v>
      </c>
      <c r="H1215" t="s">
        <v>173</v>
      </c>
      <c r="I1215" s="3" t="str">
        <f t="shared" si="54"/>
        <v>2025-01</v>
      </c>
      <c r="J1215" s="1">
        <f t="shared" si="55"/>
        <v>45738</v>
      </c>
      <c r="K1215" t="str">
        <f t="shared" si="56"/>
        <v>LAPSED</v>
      </c>
    </row>
    <row r="1216" spans="1:11">
      <c r="A1216">
        <v>813</v>
      </c>
      <c r="B1216" t="s">
        <v>157</v>
      </c>
      <c r="C1216" s="1">
        <v>45519</v>
      </c>
      <c r="D1216" s="2" t="s">
        <v>28</v>
      </c>
      <c r="E1216" t="s">
        <v>35</v>
      </c>
      <c r="G1216" s="3">
        <v>4367</v>
      </c>
      <c r="H1216" t="s">
        <v>176</v>
      </c>
      <c r="I1216" s="3" t="str">
        <f t="shared" si="54"/>
        <v>2024-08</v>
      </c>
      <c r="J1216" s="1">
        <f t="shared" si="55"/>
        <v>45729</v>
      </c>
      <c r="K1216" t="str">
        <f t="shared" si="56"/>
        <v>LAPSED</v>
      </c>
    </row>
    <row r="1217" spans="1:11">
      <c r="A1217">
        <v>1062</v>
      </c>
      <c r="B1217" t="s">
        <v>149</v>
      </c>
      <c r="C1217" s="1">
        <v>45420</v>
      </c>
      <c r="D1217" s="2" t="s">
        <v>23</v>
      </c>
      <c r="E1217" t="s">
        <v>33</v>
      </c>
      <c r="G1217" s="3">
        <v>802</v>
      </c>
      <c r="H1217" t="s">
        <v>172</v>
      </c>
      <c r="I1217" s="3" t="str">
        <f t="shared" si="54"/>
        <v>2024-05</v>
      </c>
      <c r="J1217" s="1">
        <f t="shared" si="55"/>
        <v>45795</v>
      </c>
      <c r="K1217" t="str">
        <f t="shared" si="56"/>
        <v>ACTIVE</v>
      </c>
    </row>
    <row r="1218" spans="1:11">
      <c r="A1218">
        <v>237</v>
      </c>
      <c r="B1218" t="s">
        <v>82</v>
      </c>
      <c r="C1218" s="1">
        <v>45694</v>
      </c>
      <c r="D1218" s="2" t="s">
        <v>25</v>
      </c>
      <c r="E1218" t="s">
        <v>35</v>
      </c>
      <c r="G1218" s="3">
        <v>2074</v>
      </c>
      <c r="H1218" t="s">
        <v>175</v>
      </c>
      <c r="I1218" s="3" t="str">
        <f t="shared" si="54"/>
        <v>2025-02</v>
      </c>
      <c r="J1218" s="1">
        <f t="shared" si="55"/>
        <v>45781</v>
      </c>
      <c r="K1218" t="str">
        <f t="shared" si="56"/>
        <v>ACTIVE</v>
      </c>
    </row>
    <row r="1219" spans="1:11">
      <c r="A1219">
        <v>1116</v>
      </c>
      <c r="B1219" t="s">
        <v>92</v>
      </c>
      <c r="C1219" s="1">
        <v>45349</v>
      </c>
      <c r="D1219" s="2" t="s">
        <v>26</v>
      </c>
      <c r="E1219" t="s">
        <v>31</v>
      </c>
      <c r="G1219" s="3">
        <v>1143</v>
      </c>
      <c r="H1219" t="s">
        <v>174</v>
      </c>
      <c r="I1219" s="3" t="str">
        <f t="shared" ref="I1219:I1282" si="57">TEXT(C1219, "yyyy-mm")</f>
        <v>2024-02</v>
      </c>
      <c r="J1219" s="1">
        <f t="shared" ref="J1219:J1282" si="58">_xlfn.MAXIFS(C:C, B:B, B1219)</f>
        <v>45746</v>
      </c>
      <c r="K1219" t="str">
        <f t="shared" ref="K1219:K1282" si="59">IF($L$3-J1219&gt;90, "LAPSED","ACTIVE")</f>
        <v>ACTIVE</v>
      </c>
    </row>
    <row r="1220" spans="1:11">
      <c r="A1220">
        <v>1230</v>
      </c>
      <c r="B1220" t="s">
        <v>89</v>
      </c>
      <c r="C1220" s="1">
        <v>45826</v>
      </c>
      <c r="D1220" s="2" t="s">
        <v>28</v>
      </c>
      <c r="E1220" t="s">
        <v>32</v>
      </c>
      <c r="G1220" s="3">
        <v>4272</v>
      </c>
      <c r="H1220" t="s">
        <v>174</v>
      </c>
      <c r="I1220" s="3" t="str">
        <f t="shared" si="57"/>
        <v>2025-06</v>
      </c>
      <c r="J1220" s="1">
        <f t="shared" si="58"/>
        <v>45826</v>
      </c>
      <c r="K1220" t="str">
        <f t="shared" si="59"/>
        <v>ACTIVE</v>
      </c>
    </row>
    <row r="1221" spans="1:11">
      <c r="A1221">
        <v>500</v>
      </c>
      <c r="B1221" t="s">
        <v>122</v>
      </c>
      <c r="C1221" s="1">
        <v>45793</v>
      </c>
      <c r="D1221" s="2" t="s">
        <v>24</v>
      </c>
      <c r="E1221" t="s">
        <v>32</v>
      </c>
      <c r="G1221" s="3">
        <v>1942</v>
      </c>
      <c r="H1221" t="s">
        <v>176</v>
      </c>
      <c r="I1221" s="3" t="str">
        <f t="shared" si="57"/>
        <v>2025-05</v>
      </c>
      <c r="J1221" s="1">
        <f t="shared" si="58"/>
        <v>45793</v>
      </c>
      <c r="K1221" t="str">
        <f t="shared" si="59"/>
        <v>ACTIVE</v>
      </c>
    </row>
    <row r="1222" spans="1:11">
      <c r="A1222">
        <v>1498</v>
      </c>
      <c r="B1222" t="s">
        <v>100</v>
      </c>
      <c r="C1222" s="1">
        <v>45382</v>
      </c>
      <c r="D1222" s="2" t="s">
        <v>23</v>
      </c>
      <c r="E1222" t="s">
        <v>33</v>
      </c>
      <c r="G1222" s="3">
        <v>2000</v>
      </c>
      <c r="H1222" t="s">
        <v>174</v>
      </c>
      <c r="I1222" s="3" t="str">
        <f t="shared" si="57"/>
        <v>2024-03</v>
      </c>
      <c r="J1222" s="1">
        <f t="shared" si="58"/>
        <v>45779</v>
      </c>
      <c r="K1222" t="str">
        <f t="shared" si="59"/>
        <v>ACTIVE</v>
      </c>
    </row>
    <row r="1223" spans="1:11">
      <c r="A1223">
        <v>1080</v>
      </c>
      <c r="B1223" t="s">
        <v>138</v>
      </c>
      <c r="C1223" s="1">
        <v>45599</v>
      </c>
      <c r="D1223" s="2" t="s">
        <v>27</v>
      </c>
      <c r="E1223" t="s">
        <v>31</v>
      </c>
      <c r="G1223" s="3">
        <v>299</v>
      </c>
      <c r="H1223" t="s">
        <v>173</v>
      </c>
      <c r="I1223" s="3" t="str">
        <f t="shared" si="57"/>
        <v>2024-11</v>
      </c>
      <c r="J1223" s="1">
        <f t="shared" si="58"/>
        <v>45798</v>
      </c>
      <c r="K1223" t="str">
        <f t="shared" si="59"/>
        <v>ACTIVE</v>
      </c>
    </row>
    <row r="1224" spans="1:11">
      <c r="A1224">
        <v>795</v>
      </c>
      <c r="B1224" t="s">
        <v>147</v>
      </c>
      <c r="C1224" s="1">
        <v>45685</v>
      </c>
      <c r="D1224" s="2" t="s">
        <v>27</v>
      </c>
      <c r="E1224" t="s">
        <v>30</v>
      </c>
      <c r="G1224" s="3">
        <v>957</v>
      </c>
      <c r="H1224" t="s">
        <v>176</v>
      </c>
      <c r="I1224" s="3" t="str">
        <f t="shared" si="57"/>
        <v>2025-01</v>
      </c>
      <c r="J1224" s="1">
        <f t="shared" si="58"/>
        <v>45752</v>
      </c>
      <c r="K1224" t="str">
        <f t="shared" si="59"/>
        <v>ACTIVE</v>
      </c>
    </row>
    <row r="1225" spans="1:11">
      <c r="A1225">
        <v>1404</v>
      </c>
      <c r="B1225" t="s">
        <v>51</v>
      </c>
      <c r="C1225" s="1">
        <v>45419</v>
      </c>
      <c r="D1225" s="2" t="s">
        <v>27</v>
      </c>
      <c r="E1225" t="s">
        <v>32</v>
      </c>
      <c r="G1225" s="3">
        <v>1794</v>
      </c>
      <c r="H1225" t="s">
        <v>175</v>
      </c>
      <c r="I1225" s="3" t="str">
        <f t="shared" si="57"/>
        <v>2024-05</v>
      </c>
      <c r="J1225" s="1">
        <f t="shared" si="58"/>
        <v>45775</v>
      </c>
      <c r="K1225" t="str">
        <f t="shared" si="59"/>
        <v>ACTIVE</v>
      </c>
    </row>
    <row r="1226" spans="1:11">
      <c r="A1226">
        <v>991</v>
      </c>
      <c r="B1226" t="s">
        <v>86</v>
      </c>
      <c r="C1226" s="1">
        <v>45693</v>
      </c>
      <c r="D1226" s="2" t="s">
        <v>25</v>
      </c>
      <c r="E1226" t="s">
        <v>33</v>
      </c>
      <c r="G1226" s="3">
        <v>2495</v>
      </c>
      <c r="H1226" t="s">
        <v>172</v>
      </c>
      <c r="I1226" s="3" t="str">
        <f t="shared" si="57"/>
        <v>2025-02</v>
      </c>
      <c r="J1226" s="1">
        <f t="shared" si="58"/>
        <v>45819</v>
      </c>
      <c r="K1226" t="str">
        <f t="shared" si="59"/>
        <v>ACTIVE</v>
      </c>
    </row>
    <row r="1227" spans="1:11">
      <c r="A1227">
        <v>1243</v>
      </c>
      <c r="B1227" t="s">
        <v>81</v>
      </c>
      <c r="C1227" s="1">
        <v>45551</v>
      </c>
      <c r="D1227" s="2" t="s">
        <v>24</v>
      </c>
      <c r="E1227" t="s">
        <v>31</v>
      </c>
      <c r="G1227" s="3">
        <v>1821</v>
      </c>
      <c r="H1227" t="s">
        <v>176</v>
      </c>
      <c r="I1227" s="3" t="str">
        <f t="shared" si="57"/>
        <v>2024-09</v>
      </c>
      <c r="J1227" s="1">
        <f t="shared" si="58"/>
        <v>45787</v>
      </c>
      <c r="K1227" t="str">
        <f t="shared" si="59"/>
        <v>ACTIVE</v>
      </c>
    </row>
    <row r="1228" spans="1:11">
      <c r="A1228">
        <v>935</v>
      </c>
      <c r="B1228" t="s">
        <v>48</v>
      </c>
      <c r="C1228" s="1">
        <v>45383</v>
      </c>
      <c r="D1228" s="2" t="s">
        <v>27</v>
      </c>
      <c r="E1228" t="s">
        <v>30</v>
      </c>
      <c r="G1228" s="3">
        <v>271</v>
      </c>
      <c r="H1228" t="s">
        <v>173</v>
      </c>
      <c r="I1228" s="3" t="str">
        <f t="shared" si="57"/>
        <v>2024-04</v>
      </c>
      <c r="J1228" s="1">
        <f t="shared" si="58"/>
        <v>45809</v>
      </c>
      <c r="K1228" t="str">
        <f t="shared" si="59"/>
        <v>ACTIVE</v>
      </c>
    </row>
    <row r="1229" spans="1:11">
      <c r="A1229">
        <v>388</v>
      </c>
      <c r="B1229" t="s">
        <v>91</v>
      </c>
      <c r="C1229" s="1">
        <v>45706</v>
      </c>
      <c r="D1229" s="2" t="s">
        <v>24</v>
      </c>
      <c r="E1229" t="s">
        <v>34</v>
      </c>
      <c r="G1229" s="3">
        <v>802</v>
      </c>
      <c r="H1229" t="s">
        <v>175</v>
      </c>
      <c r="I1229" s="3" t="str">
        <f t="shared" si="57"/>
        <v>2025-02</v>
      </c>
      <c r="J1229" s="1">
        <f t="shared" si="58"/>
        <v>45785</v>
      </c>
      <c r="K1229" t="str">
        <f t="shared" si="59"/>
        <v>ACTIVE</v>
      </c>
    </row>
    <row r="1230" spans="1:11">
      <c r="A1230">
        <v>391</v>
      </c>
      <c r="B1230" t="s">
        <v>120</v>
      </c>
      <c r="C1230" s="1">
        <v>45597</v>
      </c>
      <c r="D1230" s="2" t="s">
        <v>24</v>
      </c>
      <c r="E1230" t="s">
        <v>34</v>
      </c>
      <c r="G1230" s="3">
        <v>11499</v>
      </c>
      <c r="H1230" t="s">
        <v>172</v>
      </c>
      <c r="I1230" s="3" t="str">
        <f t="shared" si="57"/>
        <v>2024-11</v>
      </c>
      <c r="J1230" s="1">
        <f t="shared" si="58"/>
        <v>45817</v>
      </c>
      <c r="K1230" t="str">
        <f t="shared" si="59"/>
        <v>ACTIVE</v>
      </c>
    </row>
    <row r="1231" spans="1:11">
      <c r="A1231">
        <v>744</v>
      </c>
      <c r="B1231" t="s">
        <v>44</v>
      </c>
      <c r="C1231" s="1">
        <v>45580</v>
      </c>
      <c r="D1231" s="2" t="s">
        <v>27</v>
      </c>
      <c r="E1231" t="s">
        <v>30</v>
      </c>
      <c r="G1231" s="3">
        <v>10252</v>
      </c>
      <c r="H1231" t="s">
        <v>174</v>
      </c>
      <c r="I1231" s="3" t="str">
        <f t="shared" si="57"/>
        <v>2024-10</v>
      </c>
      <c r="J1231" s="1">
        <f t="shared" si="58"/>
        <v>45814</v>
      </c>
      <c r="K1231" t="str">
        <f t="shared" si="59"/>
        <v>ACTIVE</v>
      </c>
    </row>
    <row r="1232" spans="1:11">
      <c r="A1232">
        <v>353</v>
      </c>
      <c r="B1232" t="s">
        <v>132</v>
      </c>
      <c r="C1232" s="1">
        <v>45384</v>
      </c>
      <c r="D1232" s="2" t="s">
        <v>23</v>
      </c>
      <c r="E1232" t="s">
        <v>34</v>
      </c>
      <c r="G1232" s="3">
        <v>1162</v>
      </c>
      <c r="H1232" t="s">
        <v>172</v>
      </c>
      <c r="I1232" s="3" t="str">
        <f t="shared" si="57"/>
        <v>2024-04</v>
      </c>
      <c r="J1232" s="1">
        <f t="shared" si="58"/>
        <v>45822</v>
      </c>
      <c r="K1232" t="str">
        <f t="shared" si="59"/>
        <v>ACTIVE</v>
      </c>
    </row>
    <row r="1233" spans="1:11">
      <c r="A1233">
        <v>1218</v>
      </c>
      <c r="B1233" t="s">
        <v>112</v>
      </c>
      <c r="C1233" s="1">
        <v>45666</v>
      </c>
      <c r="D1233" s="2" t="s">
        <v>25</v>
      </c>
      <c r="E1233" t="s">
        <v>32</v>
      </c>
      <c r="G1233" s="3">
        <v>330</v>
      </c>
      <c r="H1233" t="s">
        <v>175</v>
      </c>
      <c r="I1233" s="3" t="str">
        <f t="shared" si="57"/>
        <v>2025-01</v>
      </c>
      <c r="J1233" s="1">
        <f t="shared" si="58"/>
        <v>45815</v>
      </c>
      <c r="K1233" t="str">
        <f t="shared" si="59"/>
        <v>ACTIVE</v>
      </c>
    </row>
    <row r="1234" spans="1:11">
      <c r="A1234">
        <v>236</v>
      </c>
      <c r="B1234" t="s">
        <v>60</v>
      </c>
      <c r="C1234" s="1">
        <v>45613</v>
      </c>
      <c r="D1234" s="2" t="s">
        <v>28</v>
      </c>
      <c r="E1234" t="s">
        <v>31</v>
      </c>
      <c r="G1234" s="3">
        <v>2735</v>
      </c>
      <c r="H1234" t="s">
        <v>173</v>
      </c>
      <c r="I1234" s="3" t="str">
        <f t="shared" si="57"/>
        <v>2024-11</v>
      </c>
      <c r="J1234" s="1">
        <f t="shared" si="58"/>
        <v>45801</v>
      </c>
      <c r="K1234" t="str">
        <f t="shared" si="59"/>
        <v>ACTIVE</v>
      </c>
    </row>
    <row r="1235" spans="1:11">
      <c r="A1235">
        <v>1569</v>
      </c>
      <c r="B1235" t="s">
        <v>153</v>
      </c>
      <c r="C1235" s="1">
        <v>45617</v>
      </c>
      <c r="D1235" s="2" t="s">
        <v>28</v>
      </c>
      <c r="E1235" t="s">
        <v>32</v>
      </c>
      <c r="G1235" s="3">
        <v>10294</v>
      </c>
      <c r="H1235" t="s">
        <v>174</v>
      </c>
      <c r="I1235" s="3" t="str">
        <f t="shared" si="57"/>
        <v>2024-11</v>
      </c>
      <c r="J1235" s="1">
        <f t="shared" si="58"/>
        <v>45690</v>
      </c>
      <c r="K1235" t="str">
        <f t="shared" si="59"/>
        <v>LAPSED</v>
      </c>
    </row>
    <row r="1236" spans="1:11">
      <c r="A1236">
        <v>481</v>
      </c>
      <c r="B1236" t="s">
        <v>105</v>
      </c>
      <c r="C1236" s="1">
        <v>45342</v>
      </c>
      <c r="D1236" s="2" t="s">
        <v>28</v>
      </c>
      <c r="E1236" t="s">
        <v>31</v>
      </c>
      <c r="G1236" s="3">
        <v>959</v>
      </c>
      <c r="H1236" t="s">
        <v>173</v>
      </c>
      <c r="I1236" s="3" t="str">
        <f t="shared" si="57"/>
        <v>2024-02</v>
      </c>
      <c r="J1236" s="1">
        <f t="shared" si="58"/>
        <v>45816</v>
      </c>
      <c r="K1236" t="str">
        <f t="shared" si="59"/>
        <v>ACTIVE</v>
      </c>
    </row>
    <row r="1237" spans="1:11">
      <c r="A1237">
        <v>568</v>
      </c>
      <c r="B1237" t="s">
        <v>97</v>
      </c>
      <c r="C1237" s="1">
        <v>45794</v>
      </c>
      <c r="D1237" s="2" t="s">
        <v>28</v>
      </c>
      <c r="E1237" t="s">
        <v>32</v>
      </c>
      <c r="G1237" s="3">
        <v>1016</v>
      </c>
      <c r="H1237" t="s">
        <v>176</v>
      </c>
      <c r="I1237" s="3" t="str">
        <f t="shared" si="57"/>
        <v>2025-05</v>
      </c>
      <c r="J1237" s="1">
        <f t="shared" si="58"/>
        <v>45794</v>
      </c>
      <c r="K1237" t="str">
        <f t="shared" si="59"/>
        <v>ACTIVE</v>
      </c>
    </row>
    <row r="1238" spans="1:11">
      <c r="A1238">
        <v>1141</v>
      </c>
      <c r="B1238" t="s">
        <v>90</v>
      </c>
      <c r="C1238" s="1">
        <v>45703</v>
      </c>
      <c r="D1238" s="2" t="s">
        <v>25</v>
      </c>
      <c r="E1238" t="s">
        <v>31</v>
      </c>
      <c r="G1238" s="3">
        <v>678</v>
      </c>
      <c r="H1238" t="s">
        <v>176</v>
      </c>
      <c r="I1238" s="3" t="str">
        <f t="shared" si="57"/>
        <v>2025-02</v>
      </c>
      <c r="J1238" s="1">
        <f t="shared" si="58"/>
        <v>45788</v>
      </c>
      <c r="K1238" t="str">
        <f t="shared" si="59"/>
        <v>ACTIVE</v>
      </c>
    </row>
    <row r="1239" spans="1:11">
      <c r="A1239">
        <v>1523</v>
      </c>
      <c r="B1239" t="s">
        <v>41</v>
      </c>
      <c r="C1239" s="1">
        <v>45454</v>
      </c>
      <c r="D1239" s="2" t="s">
        <v>27</v>
      </c>
      <c r="E1239" t="s">
        <v>32</v>
      </c>
      <c r="G1239" s="3">
        <v>1421</v>
      </c>
      <c r="H1239" t="s">
        <v>175</v>
      </c>
      <c r="I1239" s="3" t="str">
        <f t="shared" si="57"/>
        <v>2024-06</v>
      </c>
      <c r="J1239" s="1">
        <f t="shared" si="58"/>
        <v>45785</v>
      </c>
      <c r="K1239" t="str">
        <f t="shared" si="59"/>
        <v>ACTIVE</v>
      </c>
    </row>
    <row r="1240" spans="1:11">
      <c r="A1240">
        <v>1681</v>
      </c>
      <c r="B1240" t="s">
        <v>72</v>
      </c>
      <c r="C1240" s="1">
        <v>45588</v>
      </c>
      <c r="D1240" s="2" t="s">
        <v>25</v>
      </c>
      <c r="E1240" t="s">
        <v>35</v>
      </c>
      <c r="G1240" s="3">
        <v>721</v>
      </c>
      <c r="H1240" t="s">
        <v>176</v>
      </c>
      <c r="I1240" s="3" t="str">
        <f t="shared" si="57"/>
        <v>2024-10</v>
      </c>
      <c r="J1240" s="1">
        <f t="shared" si="58"/>
        <v>45815</v>
      </c>
      <c r="K1240" t="str">
        <f t="shared" si="59"/>
        <v>ACTIVE</v>
      </c>
    </row>
    <row r="1241" spans="1:11">
      <c r="A1241">
        <v>1413</v>
      </c>
      <c r="B1241" t="s">
        <v>72</v>
      </c>
      <c r="C1241" s="1">
        <v>45738</v>
      </c>
      <c r="D1241" s="2" t="s">
        <v>27</v>
      </c>
      <c r="E1241" t="s">
        <v>33</v>
      </c>
      <c r="G1241" s="3">
        <v>693</v>
      </c>
      <c r="H1241" t="s">
        <v>175</v>
      </c>
      <c r="I1241" s="3" t="str">
        <f t="shared" si="57"/>
        <v>2025-03</v>
      </c>
      <c r="J1241" s="1">
        <f t="shared" si="58"/>
        <v>45815</v>
      </c>
      <c r="K1241" t="str">
        <f t="shared" si="59"/>
        <v>ACTIVE</v>
      </c>
    </row>
    <row r="1242" spans="1:11">
      <c r="A1242">
        <v>121</v>
      </c>
      <c r="B1242" t="s">
        <v>74</v>
      </c>
      <c r="C1242" s="1">
        <v>45553</v>
      </c>
      <c r="D1242" s="2" t="s">
        <v>24</v>
      </c>
      <c r="E1242" t="s">
        <v>34</v>
      </c>
      <c r="G1242" s="3">
        <v>499</v>
      </c>
      <c r="H1242" t="s">
        <v>173</v>
      </c>
      <c r="I1242" s="3" t="str">
        <f t="shared" si="57"/>
        <v>2024-09</v>
      </c>
      <c r="J1242" s="1">
        <f t="shared" si="58"/>
        <v>45773</v>
      </c>
      <c r="K1242" t="str">
        <f t="shared" si="59"/>
        <v>ACTIVE</v>
      </c>
    </row>
    <row r="1243" spans="1:11">
      <c r="A1243">
        <v>1559</v>
      </c>
      <c r="B1243" t="s">
        <v>140</v>
      </c>
      <c r="C1243" s="1">
        <v>45333</v>
      </c>
      <c r="D1243" s="2" t="s">
        <v>25</v>
      </c>
      <c r="E1243" t="s">
        <v>33</v>
      </c>
      <c r="G1243" s="3">
        <v>330</v>
      </c>
      <c r="H1243" t="s">
        <v>176</v>
      </c>
      <c r="I1243" s="3" t="str">
        <f t="shared" si="57"/>
        <v>2024-02</v>
      </c>
      <c r="J1243" s="1">
        <f t="shared" si="58"/>
        <v>45812</v>
      </c>
      <c r="K1243" t="str">
        <f t="shared" si="59"/>
        <v>ACTIVE</v>
      </c>
    </row>
    <row r="1244" spans="1:11">
      <c r="A1244">
        <v>1025</v>
      </c>
      <c r="B1244" t="s">
        <v>92</v>
      </c>
      <c r="C1244" s="1">
        <v>45366</v>
      </c>
      <c r="D1244" s="2" t="s">
        <v>24</v>
      </c>
      <c r="E1244" t="s">
        <v>35</v>
      </c>
      <c r="G1244" s="3">
        <v>585</v>
      </c>
      <c r="H1244" t="s">
        <v>174</v>
      </c>
      <c r="I1244" s="3" t="str">
        <f t="shared" si="57"/>
        <v>2024-03</v>
      </c>
      <c r="J1244" s="1">
        <f t="shared" si="58"/>
        <v>45746</v>
      </c>
      <c r="K1244" t="str">
        <f t="shared" si="59"/>
        <v>ACTIVE</v>
      </c>
    </row>
    <row r="1245" spans="1:11">
      <c r="A1245">
        <v>1087</v>
      </c>
      <c r="B1245" t="s">
        <v>141</v>
      </c>
      <c r="C1245" s="1">
        <v>45697</v>
      </c>
      <c r="D1245" s="2" t="s">
        <v>26</v>
      </c>
      <c r="E1245" t="s">
        <v>31</v>
      </c>
      <c r="G1245" s="3">
        <v>1746</v>
      </c>
      <c r="H1245" t="s">
        <v>174</v>
      </c>
      <c r="I1245" s="3" t="str">
        <f t="shared" si="57"/>
        <v>2025-02</v>
      </c>
      <c r="J1245" s="1">
        <f t="shared" si="58"/>
        <v>45773</v>
      </c>
      <c r="K1245" t="str">
        <f t="shared" si="59"/>
        <v>ACTIVE</v>
      </c>
    </row>
    <row r="1246" spans="1:11">
      <c r="A1246">
        <v>927</v>
      </c>
      <c r="B1246" t="s">
        <v>129</v>
      </c>
      <c r="C1246" s="1">
        <v>45303</v>
      </c>
      <c r="D1246" s="2" t="s">
        <v>24</v>
      </c>
      <c r="E1246" t="s">
        <v>33</v>
      </c>
      <c r="G1246" s="3">
        <v>8807</v>
      </c>
      <c r="H1246" t="s">
        <v>176</v>
      </c>
      <c r="I1246" s="3" t="str">
        <f t="shared" si="57"/>
        <v>2024-01</v>
      </c>
      <c r="J1246" s="1">
        <f t="shared" si="58"/>
        <v>45812</v>
      </c>
      <c r="K1246" t="str">
        <f t="shared" si="59"/>
        <v>ACTIVE</v>
      </c>
    </row>
    <row r="1247" spans="1:11">
      <c r="A1247">
        <v>516</v>
      </c>
      <c r="B1247" t="s">
        <v>99</v>
      </c>
      <c r="C1247" s="1">
        <v>45801</v>
      </c>
      <c r="D1247" s="2" t="s">
        <v>27</v>
      </c>
      <c r="E1247" t="s">
        <v>35</v>
      </c>
      <c r="G1247" s="3">
        <v>2167</v>
      </c>
      <c r="H1247" t="s">
        <v>172</v>
      </c>
      <c r="I1247" s="3" t="str">
        <f t="shared" si="57"/>
        <v>2025-05</v>
      </c>
      <c r="J1247" s="1">
        <f t="shared" si="58"/>
        <v>45828</v>
      </c>
      <c r="K1247" t="str">
        <f t="shared" si="59"/>
        <v>ACTIVE</v>
      </c>
    </row>
    <row r="1248" spans="1:11">
      <c r="A1248">
        <v>224</v>
      </c>
      <c r="B1248" t="s">
        <v>107</v>
      </c>
      <c r="C1248" s="1">
        <v>45631</v>
      </c>
      <c r="D1248" s="2" t="s">
        <v>25</v>
      </c>
      <c r="E1248" t="s">
        <v>35</v>
      </c>
      <c r="G1248" s="3">
        <v>446</v>
      </c>
      <c r="H1248" t="s">
        <v>175</v>
      </c>
      <c r="I1248" s="3" t="str">
        <f t="shared" si="57"/>
        <v>2024-12</v>
      </c>
      <c r="J1248" s="1">
        <f t="shared" si="58"/>
        <v>45831</v>
      </c>
      <c r="K1248" t="str">
        <f t="shared" si="59"/>
        <v>ACTIVE</v>
      </c>
    </row>
    <row r="1249" spans="1:11">
      <c r="A1249">
        <v>1335</v>
      </c>
      <c r="B1249" t="s">
        <v>137</v>
      </c>
      <c r="C1249" s="1">
        <v>45496</v>
      </c>
      <c r="D1249" s="2" t="s">
        <v>27</v>
      </c>
      <c r="E1249" t="s">
        <v>35</v>
      </c>
      <c r="G1249" s="3">
        <v>918</v>
      </c>
      <c r="H1249" t="s">
        <v>176</v>
      </c>
      <c r="I1249" s="3" t="str">
        <f t="shared" si="57"/>
        <v>2024-07</v>
      </c>
      <c r="J1249" s="1">
        <f t="shared" si="58"/>
        <v>45819</v>
      </c>
      <c r="K1249" t="str">
        <f t="shared" si="59"/>
        <v>ACTIVE</v>
      </c>
    </row>
    <row r="1250" spans="1:11">
      <c r="A1250">
        <v>614</v>
      </c>
      <c r="B1250" t="s">
        <v>126</v>
      </c>
      <c r="C1250" s="1">
        <v>45726</v>
      </c>
      <c r="D1250" s="2" t="s">
        <v>28</v>
      </c>
      <c r="E1250" t="s">
        <v>33</v>
      </c>
      <c r="G1250" s="3">
        <v>857</v>
      </c>
      <c r="H1250" t="s">
        <v>174</v>
      </c>
      <c r="I1250" s="3" t="str">
        <f t="shared" si="57"/>
        <v>2025-03</v>
      </c>
      <c r="J1250" s="1">
        <f t="shared" si="58"/>
        <v>45827</v>
      </c>
      <c r="K1250" t="str">
        <f t="shared" si="59"/>
        <v>ACTIVE</v>
      </c>
    </row>
    <row r="1251" spans="1:11">
      <c r="A1251">
        <v>844</v>
      </c>
      <c r="B1251" t="s">
        <v>99</v>
      </c>
      <c r="C1251" s="1">
        <v>45516</v>
      </c>
      <c r="D1251" s="2" t="s">
        <v>28</v>
      </c>
      <c r="E1251" t="s">
        <v>33</v>
      </c>
      <c r="G1251" s="3">
        <v>2146</v>
      </c>
      <c r="H1251" t="s">
        <v>176</v>
      </c>
      <c r="I1251" s="3" t="str">
        <f t="shared" si="57"/>
        <v>2024-08</v>
      </c>
      <c r="J1251" s="1">
        <f t="shared" si="58"/>
        <v>45828</v>
      </c>
      <c r="K1251" t="str">
        <f t="shared" si="59"/>
        <v>ACTIVE</v>
      </c>
    </row>
    <row r="1252" spans="1:11">
      <c r="A1252">
        <v>1246</v>
      </c>
      <c r="B1252" t="s">
        <v>115</v>
      </c>
      <c r="C1252" s="1">
        <v>45801</v>
      </c>
      <c r="D1252" s="2" t="s">
        <v>27</v>
      </c>
      <c r="E1252" t="s">
        <v>32</v>
      </c>
      <c r="G1252" s="3">
        <v>1812</v>
      </c>
      <c r="H1252" t="s">
        <v>173</v>
      </c>
      <c r="I1252" s="3" t="str">
        <f t="shared" si="57"/>
        <v>2025-05</v>
      </c>
      <c r="J1252" s="1">
        <f t="shared" si="58"/>
        <v>45810</v>
      </c>
      <c r="K1252" t="str">
        <f t="shared" si="59"/>
        <v>ACTIVE</v>
      </c>
    </row>
    <row r="1253" spans="1:11">
      <c r="A1253">
        <v>53</v>
      </c>
      <c r="B1253" t="s">
        <v>55</v>
      </c>
      <c r="C1253" s="1">
        <v>45730</v>
      </c>
      <c r="D1253" s="2" t="s">
        <v>28</v>
      </c>
      <c r="E1253" t="s">
        <v>33</v>
      </c>
      <c r="G1253" s="3">
        <v>452</v>
      </c>
      <c r="H1253" t="s">
        <v>174</v>
      </c>
      <c r="I1253" s="3" t="str">
        <f t="shared" si="57"/>
        <v>2025-03</v>
      </c>
      <c r="J1253" s="1">
        <f t="shared" si="58"/>
        <v>45824</v>
      </c>
      <c r="K1253" t="str">
        <f t="shared" si="59"/>
        <v>ACTIVE</v>
      </c>
    </row>
    <row r="1254" spans="1:11">
      <c r="A1254">
        <v>1663</v>
      </c>
      <c r="B1254" t="s">
        <v>67</v>
      </c>
      <c r="C1254" s="1">
        <v>45377</v>
      </c>
      <c r="D1254" s="2" t="s">
        <v>24</v>
      </c>
      <c r="E1254" t="s">
        <v>30</v>
      </c>
      <c r="G1254" s="3">
        <v>10382</v>
      </c>
      <c r="H1254" t="s">
        <v>175</v>
      </c>
      <c r="I1254" s="3" t="str">
        <f t="shared" si="57"/>
        <v>2024-03</v>
      </c>
      <c r="J1254" s="1">
        <f t="shared" si="58"/>
        <v>45794</v>
      </c>
      <c r="K1254" t="str">
        <f t="shared" si="59"/>
        <v>ACTIVE</v>
      </c>
    </row>
    <row r="1255" spans="1:11">
      <c r="A1255">
        <v>486</v>
      </c>
      <c r="B1255" t="s">
        <v>78</v>
      </c>
      <c r="C1255" s="1">
        <v>45315</v>
      </c>
      <c r="D1255" s="2" t="s">
        <v>27</v>
      </c>
      <c r="E1255" t="s">
        <v>30</v>
      </c>
      <c r="G1255" s="3">
        <v>8848</v>
      </c>
      <c r="H1255" t="s">
        <v>175</v>
      </c>
      <c r="I1255" s="3" t="str">
        <f t="shared" si="57"/>
        <v>2024-01</v>
      </c>
      <c r="J1255" s="1">
        <f t="shared" si="58"/>
        <v>45821</v>
      </c>
      <c r="K1255" t="str">
        <f t="shared" si="59"/>
        <v>ACTIVE</v>
      </c>
    </row>
    <row r="1256" spans="1:11">
      <c r="A1256">
        <v>1725</v>
      </c>
      <c r="B1256" t="s">
        <v>75</v>
      </c>
      <c r="C1256" s="1">
        <v>45671</v>
      </c>
      <c r="D1256" s="2" t="s">
        <v>25</v>
      </c>
      <c r="E1256" t="s">
        <v>30</v>
      </c>
      <c r="G1256" s="3">
        <v>1082</v>
      </c>
      <c r="H1256" t="s">
        <v>172</v>
      </c>
      <c r="I1256" s="3" t="str">
        <f t="shared" si="57"/>
        <v>2025-01</v>
      </c>
      <c r="J1256" s="1">
        <f t="shared" si="58"/>
        <v>45772</v>
      </c>
      <c r="K1256" t="str">
        <f t="shared" si="59"/>
        <v>ACTIVE</v>
      </c>
    </row>
    <row r="1257" spans="1:11">
      <c r="A1257">
        <v>819</v>
      </c>
      <c r="B1257" t="s">
        <v>39</v>
      </c>
      <c r="C1257" s="1">
        <v>45486</v>
      </c>
      <c r="D1257" s="2" t="s">
        <v>25</v>
      </c>
      <c r="E1257" t="s">
        <v>35</v>
      </c>
      <c r="G1257" s="3">
        <v>4983</v>
      </c>
      <c r="H1257" t="s">
        <v>173</v>
      </c>
      <c r="I1257" s="3" t="str">
        <f t="shared" si="57"/>
        <v>2024-07</v>
      </c>
      <c r="J1257" s="1">
        <f t="shared" si="58"/>
        <v>45795</v>
      </c>
      <c r="K1257" t="str">
        <f t="shared" si="59"/>
        <v>ACTIVE</v>
      </c>
    </row>
    <row r="1258" spans="1:11">
      <c r="A1258">
        <v>156</v>
      </c>
      <c r="B1258" t="s">
        <v>139</v>
      </c>
      <c r="C1258" s="1">
        <v>45438</v>
      </c>
      <c r="D1258" s="2" t="s">
        <v>23</v>
      </c>
      <c r="E1258" t="s">
        <v>30</v>
      </c>
      <c r="G1258" s="3">
        <v>244</v>
      </c>
      <c r="H1258" t="s">
        <v>176</v>
      </c>
      <c r="I1258" s="3" t="str">
        <f t="shared" si="57"/>
        <v>2024-05</v>
      </c>
      <c r="J1258" s="1">
        <f t="shared" si="58"/>
        <v>45830</v>
      </c>
      <c r="K1258" t="str">
        <f t="shared" si="59"/>
        <v>ACTIVE</v>
      </c>
    </row>
    <row r="1259" spans="1:11">
      <c r="A1259">
        <v>601</v>
      </c>
      <c r="B1259" t="s">
        <v>52</v>
      </c>
      <c r="C1259" s="1">
        <v>45370</v>
      </c>
      <c r="D1259" s="2" t="s">
        <v>27</v>
      </c>
      <c r="E1259" t="s">
        <v>31</v>
      </c>
      <c r="G1259" s="3">
        <v>1079</v>
      </c>
      <c r="H1259" t="s">
        <v>173</v>
      </c>
      <c r="I1259" s="3" t="str">
        <f t="shared" si="57"/>
        <v>2024-03</v>
      </c>
      <c r="J1259" s="1">
        <f t="shared" si="58"/>
        <v>45811</v>
      </c>
      <c r="K1259" t="str">
        <f t="shared" si="59"/>
        <v>ACTIVE</v>
      </c>
    </row>
    <row r="1260" spans="1:11">
      <c r="A1260">
        <v>1448</v>
      </c>
      <c r="B1260" t="s">
        <v>86</v>
      </c>
      <c r="C1260" s="1">
        <v>45452</v>
      </c>
      <c r="D1260" s="2" t="s">
        <v>27</v>
      </c>
      <c r="E1260" t="s">
        <v>31</v>
      </c>
      <c r="G1260" s="3">
        <v>820</v>
      </c>
      <c r="H1260" t="s">
        <v>174</v>
      </c>
      <c r="I1260" s="3" t="str">
        <f t="shared" si="57"/>
        <v>2024-06</v>
      </c>
      <c r="J1260" s="1">
        <f t="shared" si="58"/>
        <v>45819</v>
      </c>
      <c r="K1260" t="str">
        <f t="shared" si="59"/>
        <v>ACTIVE</v>
      </c>
    </row>
    <row r="1261" spans="1:11">
      <c r="A1261">
        <v>249</v>
      </c>
      <c r="B1261" t="s">
        <v>148</v>
      </c>
      <c r="C1261" s="1">
        <v>45596</v>
      </c>
      <c r="D1261" s="2" t="s">
        <v>23</v>
      </c>
      <c r="E1261" t="s">
        <v>35</v>
      </c>
      <c r="G1261" s="3">
        <v>1069</v>
      </c>
      <c r="H1261" t="s">
        <v>174</v>
      </c>
      <c r="I1261" s="3" t="str">
        <f t="shared" si="57"/>
        <v>2024-10</v>
      </c>
      <c r="J1261" s="1">
        <f t="shared" si="58"/>
        <v>45766</v>
      </c>
      <c r="K1261" t="str">
        <f t="shared" si="59"/>
        <v>ACTIVE</v>
      </c>
    </row>
    <row r="1262" spans="1:11">
      <c r="A1262">
        <v>762</v>
      </c>
      <c r="B1262" t="s">
        <v>78</v>
      </c>
      <c r="C1262" s="1">
        <v>45821</v>
      </c>
      <c r="D1262" s="2" t="s">
        <v>23</v>
      </c>
      <c r="E1262" t="s">
        <v>33</v>
      </c>
      <c r="G1262" s="3">
        <v>841</v>
      </c>
      <c r="H1262" t="s">
        <v>175</v>
      </c>
      <c r="I1262" s="3" t="str">
        <f t="shared" si="57"/>
        <v>2025-06</v>
      </c>
      <c r="J1262" s="1">
        <f t="shared" si="58"/>
        <v>45821</v>
      </c>
      <c r="K1262" t="str">
        <f t="shared" si="59"/>
        <v>ACTIVE</v>
      </c>
    </row>
    <row r="1263" spans="1:11">
      <c r="A1263">
        <v>1649</v>
      </c>
      <c r="B1263" t="s">
        <v>63</v>
      </c>
      <c r="C1263" s="1">
        <v>45378</v>
      </c>
      <c r="D1263" s="2" t="s">
        <v>23</v>
      </c>
      <c r="E1263" t="s">
        <v>34</v>
      </c>
      <c r="G1263" s="3">
        <v>736</v>
      </c>
      <c r="H1263" t="s">
        <v>172</v>
      </c>
      <c r="I1263" s="3" t="str">
        <f t="shared" si="57"/>
        <v>2024-03</v>
      </c>
      <c r="J1263" s="1">
        <f t="shared" si="58"/>
        <v>45805</v>
      </c>
      <c r="K1263" t="str">
        <f t="shared" si="59"/>
        <v>ACTIVE</v>
      </c>
    </row>
    <row r="1264" spans="1:11">
      <c r="A1264">
        <v>1131</v>
      </c>
      <c r="B1264" t="s">
        <v>144</v>
      </c>
      <c r="C1264" s="1">
        <v>45599</v>
      </c>
      <c r="D1264" s="2" t="s">
        <v>23</v>
      </c>
      <c r="E1264" t="s">
        <v>30</v>
      </c>
      <c r="G1264" s="3">
        <v>8794</v>
      </c>
      <c r="H1264" t="s">
        <v>175</v>
      </c>
      <c r="I1264" s="3" t="str">
        <f t="shared" si="57"/>
        <v>2024-11</v>
      </c>
      <c r="J1264" s="1">
        <f t="shared" si="58"/>
        <v>45751</v>
      </c>
      <c r="K1264" t="str">
        <f t="shared" si="59"/>
        <v>ACTIVE</v>
      </c>
    </row>
    <row r="1265" spans="1:11">
      <c r="A1265">
        <v>543</v>
      </c>
      <c r="B1265" t="s">
        <v>141</v>
      </c>
      <c r="C1265" s="1">
        <v>45404</v>
      </c>
      <c r="D1265" s="2" t="s">
        <v>24</v>
      </c>
      <c r="E1265" t="s">
        <v>34</v>
      </c>
      <c r="G1265" s="3">
        <v>1945</v>
      </c>
      <c r="H1265" t="s">
        <v>175</v>
      </c>
      <c r="I1265" s="3" t="str">
        <f t="shared" si="57"/>
        <v>2024-04</v>
      </c>
      <c r="J1265" s="1">
        <f t="shared" si="58"/>
        <v>45773</v>
      </c>
      <c r="K1265" t="str">
        <f t="shared" si="59"/>
        <v>ACTIVE</v>
      </c>
    </row>
    <row r="1266" spans="1:11">
      <c r="A1266">
        <v>794</v>
      </c>
      <c r="B1266" t="s">
        <v>116</v>
      </c>
      <c r="C1266" s="1">
        <v>45586</v>
      </c>
      <c r="D1266" s="2" t="s">
        <v>28</v>
      </c>
      <c r="E1266" t="s">
        <v>31</v>
      </c>
      <c r="G1266" s="3">
        <v>2391</v>
      </c>
      <c r="H1266" t="s">
        <v>172</v>
      </c>
      <c r="I1266" s="3" t="str">
        <f t="shared" si="57"/>
        <v>2024-10</v>
      </c>
      <c r="J1266" s="1">
        <f t="shared" si="58"/>
        <v>45829</v>
      </c>
      <c r="K1266" t="str">
        <f t="shared" si="59"/>
        <v>ACTIVE</v>
      </c>
    </row>
    <row r="1267" spans="1:11">
      <c r="A1267">
        <v>1142</v>
      </c>
      <c r="B1267" t="s">
        <v>125</v>
      </c>
      <c r="C1267" s="1">
        <v>45776</v>
      </c>
      <c r="D1267" s="2" t="s">
        <v>24</v>
      </c>
      <c r="E1267" t="s">
        <v>35</v>
      </c>
      <c r="G1267" s="3">
        <v>4223</v>
      </c>
      <c r="H1267" t="s">
        <v>172</v>
      </c>
      <c r="I1267" s="3" t="str">
        <f t="shared" si="57"/>
        <v>2025-04</v>
      </c>
      <c r="J1267" s="1">
        <f t="shared" si="58"/>
        <v>45784</v>
      </c>
      <c r="K1267" t="str">
        <f t="shared" si="59"/>
        <v>ACTIVE</v>
      </c>
    </row>
    <row r="1268" spans="1:11">
      <c r="A1268">
        <v>1316</v>
      </c>
      <c r="B1268" t="s">
        <v>61</v>
      </c>
      <c r="C1268" s="1">
        <v>45745</v>
      </c>
      <c r="D1268" s="2" t="s">
        <v>23</v>
      </c>
      <c r="E1268" t="s">
        <v>34</v>
      </c>
      <c r="G1268" s="3">
        <v>870</v>
      </c>
      <c r="H1268" t="s">
        <v>172</v>
      </c>
      <c r="I1268" s="3" t="str">
        <f t="shared" si="57"/>
        <v>2025-03</v>
      </c>
      <c r="J1268" s="1">
        <f t="shared" si="58"/>
        <v>45815</v>
      </c>
      <c r="K1268" t="str">
        <f t="shared" si="59"/>
        <v>ACTIVE</v>
      </c>
    </row>
    <row r="1269" spans="1:11">
      <c r="A1269">
        <v>629</v>
      </c>
      <c r="B1269" t="s">
        <v>61</v>
      </c>
      <c r="C1269" s="1">
        <v>45496</v>
      </c>
      <c r="D1269" s="2" t="s">
        <v>24</v>
      </c>
      <c r="E1269" t="s">
        <v>34</v>
      </c>
      <c r="G1269" s="3">
        <v>858</v>
      </c>
      <c r="H1269" t="s">
        <v>174</v>
      </c>
      <c r="I1269" s="3" t="str">
        <f t="shared" si="57"/>
        <v>2024-07</v>
      </c>
      <c r="J1269" s="1">
        <f t="shared" si="58"/>
        <v>45815</v>
      </c>
      <c r="K1269" t="str">
        <f t="shared" si="59"/>
        <v>ACTIVE</v>
      </c>
    </row>
    <row r="1270" spans="1:11">
      <c r="A1270">
        <v>151</v>
      </c>
      <c r="B1270" t="s">
        <v>86</v>
      </c>
      <c r="C1270" s="1">
        <v>45819</v>
      </c>
      <c r="D1270" s="2" t="s">
        <v>23</v>
      </c>
      <c r="E1270" t="s">
        <v>32</v>
      </c>
      <c r="G1270" s="3">
        <v>2037</v>
      </c>
      <c r="H1270" t="s">
        <v>172</v>
      </c>
      <c r="I1270" s="3" t="str">
        <f t="shared" si="57"/>
        <v>2025-06</v>
      </c>
      <c r="J1270" s="1">
        <f t="shared" si="58"/>
        <v>45819</v>
      </c>
      <c r="K1270" t="str">
        <f t="shared" si="59"/>
        <v>ACTIVE</v>
      </c>
    </row>
    <row r="1271" spans="1:11">
      <c r="A1271">
        <v>1483</v>
      </c>
      <c r="B1271" t="s">
        <v>142</v>
      </c>
      <c r="C1271" s="1">
        <v>45418</v>
      </c>
      <c r="D1271" s="2" t="s">
        <v>24</v>
      </c>
      <c r="E1271" t="s">
        <v>31</v>
      </c>
      <c r="G1271" s="3">
        <v>714</v>
      </c>
      <c r="H1271" t="s">
        <v>175</v>
      </c>
      <c r="I1271" s="3" t="str">
        <f t="shared" si="57"/>
        <v>2024-05</v>
      </c>
      <c r="J1271" s="1">
        <f t="shared" si="58"/>
        <v>45803</v>
      </c>
      <c r="K1271" t="str">
        <f t="shared" si="59"/>
        <v>ACTIVE</v>
      </c>
    </row>
    <row r="1272" spans="1:11">
      <c r="A1272">
        <v>292</v>
      </c>
      <c r="B1272" t="s">
        <v>56</v>
      </c>
      <c r="C1272" s="1">
        <v>45627</v>
      </c>
      <c r="D1272" s="2" t="s">
        <v>25</v>
      </c>
      <c r="E1272" t="s">
        <v>30</v>
      </c>
      <c r="G1272" s="3">
        <v>2375</v>
      </c>
      <c r="H1272" t="s">
        <v>173</v>
      </c>
      <c r="I1272" s="3" t="str">
        <f t="shared" si="57"/>
        <v>2024-12</v>
      </c>
      <c r="J1272" s="1">
        <f t="shared" si="58"/>
        <v>45805</v>
      </c>
      <c r="K1272" t="str">
        <f t="shared" si="59"/>
        <v>ACTIVE</v>
      </c>
    </row>
    <row r="1273" spans="1:11">
      <c r="A1273">
        <v>382</v>
      </c>
      <c r="B1273" t="s">
        <v>82</v>
      </c>
      <c r="C1273" s="1">
        <v>45631</v>
      </c>
      <c r="D1273" s="2" t="s">
        <v>24</v>
      </c>
      <c r="E1273" t="s">
        <v>33</v>
      </c>
      <c r="G1273" s="3">
        <v>0</v>
      </c>
      <c r="H1273" t="s">
        <v>175</v>
      </c>
      <c r="I1273" s="3" t="str">
        <f t="shared" si="57"/>
        <v>2024-12</v>
      </c>
      <c r="J1273" s="1">
        <f t="shared" si="58"/>
        <v>45781</v>
      </c>
      <c r="K1273" t="str">
        <f t="shared" si="59"/>
        <v>ACTIVE</v>
      </c>
    </row>
    <row r="1274" spans="1:11">
      <c r="A1274">
        <v>687</v>
      </c>
      <c r="B1274" t="s">
        <v>154</v>
      </c>
      <c r="C1274" s="1">
        <v>45424</v>
      </c>
      <c r="D1274" s="2" t="s">
        <v>25</v>
      </c>
      <c r="E1274" t="s">
        <v>30</v>
      </c>
      <c r="G1274" s="3">
        <v>2323</v>
      </c>
      <c r="H1274" t="s">
        <v>176</v>
      </c>
      <c r="I1274" s="3" t="str">
        <f t="shared" si="57"/>
        <v>2024-05</v>
      </c>
      <c r="J1274" s="1">
        <f t="shared" si="58"/>
        <v>45725</v>
      </c>
      <c r="K1274" t="str">
        <f t="shared" si="59"/>
        <v>LAPSED</v>
      </c>
    </row>
    <row r="1275" spans="1:11">
      <c r="A1275">
        <v>1225</v>
      </c>
      <c r="B1275" t="s">
        <v>90</v>
      </c>
      <c r="C1275" s="1">
        <v>45666</v>
      </c>
      <c r="D1275" s="2" t="s">
        <v>25</v>
      </c>
      <c r="E1275" t="s">
        <v>35</v>
      </c>
      <c r="G1275" s="3">
        <v>1257</v>
      </c>
      <c r="H1275" t="s">
        <v>173</v>
      </c>
      <c r="I1275" s="3" t="str">
        <f t="shared" si="57"/>
        <v>2025-01</v>
      </c>
      <c r="J1275" s="1">
        <f t="shared" si="58"/>
        <v>45788</v>
      </c>
      <c r="K1275" t="str">
        <f t="shared" si="59"/>
        <v>ACTIVE</v>
      </c>
    </row>
    <row r="1276" spans="1:11">
      <c r="A1276">
        <v>898</v>
      </c>
      <c r="B1276" t="s">
        <v>70</v>
      </c>
      <c r="C1276" s="1">
        <v>45829</v>
      </c>
      <c r="D1276" s="2" t="s">
        <v>24</v>
      </c>
      <c r="E1276" t="s">
        <v>33</v>
      </c>
      <c r="G1276" s="3">
        <v>2708</v>
      </c>
      <c r="H1276" t="s">
        <v>175</v>
      </c>
      <c r="I1276" s="3" t="str">
        <f t="shared" si="57"/>
        <v>2025-06</v>
      </c>
      <c r="J1276" s="1">
        <f t="shared" si="58"/>
        <v>45829</v>
      </c>
      <c r="K1276" t="str">
        <f t="shared" si="59"/>
        <v>ACTIVE</v>
      </c>
    </row>
    <row r="1277" spans="1:11">
      <c r="A1277">
        <v>855</v>
      </c>
      <c r="B1277" t="s">
        <v>75</v>
      </c>
      <c r="C1277" s="1">
        <v>45736</v>
      </c>
      <c r="D1277" s="2" t="s">
        <v>23</v>
      </c>
      <c r="E1277" t="s">
        <v>33</v>
      </c>
      <c r="G1277" s="3">
        <v>0</v>
      </c>
      <c r="H1277" t="s">
        <v>175</v>
      </c>
      <c r="I1277" s="3" t="str">
        <f t="shared" si="57"/>
        <v>2025-03</v>
      </c>
      <c r="J1277" s="1">
        <f t="shared" si="58"/>
        <v>45772</v>
      </c>
      <c r="K1277" t="str">
        <f t="shared" si="59"/>
        <v>ACTIVE</v>
      </c>
    </row>
    <row r="1278" spans="1:11">
      <c r="A1278">
        <v>1072</v>
      </c>
      <c r="B1278" t="s">
        <v>149</v>
      </c>
      <c r="C1278" s="1">
        <v>45400</v>
      </c>
      <c r="D1278" s="2" t="s">
        <v>27</v>
      </c>
      <c r="E1278" t="s">
        <v>30</v>
      </c>
      <c r="G1278" s="3">
        <v>2141</v>
      </c>
      <c r="H1278" t="s">
        <v>172</v>
      </c>
      <c r="I1278" s="3" t="str">
        <f t="shared" si="57"/>
        <v>2024-04</v>
      </c>
      <c r="J1278" s="1">
        <f t="shared" si="58"/>
        <v>45795</v>
      </c>
      <c r="K1278" t="str">
        <f t="shared" si="59"/>
        <v>ACTIVE</v>
      </c>
    </row>
    <row r="1279" spans="1:11">
      <c r="A1279">
        <v>1800</v>
      </c>
      <c r="B1279" t="s">
        <v>94</v>
      </c>
      <c r="C1279" s="1">
        <v>45580</v>
      </c>
      <c r="D1279" s="2" t="s">
        <v>27</v>
      </c>
      <c r="E1279" t="s">
        <v>31</v>
      </c>
      <c r="G1279" s="3">
        <v>473</v>
      </c>
      <c r="H1279" t="s">
        <v>172</v>
      </c>
      <c r="I1279" s="3" t="str">
        <f t="shared" si="57"/>
        <v>2024-10</v>
      </c>
      <c r="J1279" s="1">
        <f t="shared" si="58"/>
        <v>45824</v>
      </c>
      <c r="K1279" t="str">
        <f t="shared" si="59"/>
        <v>ACTIVE</v>
      </c>
    </row>
    <row r="1280" spans="1:11">
      <c r="A1280">
        <v>1376</v>
      </c>
      <c r="B1280" t="s">
        <v>69</v>
      </c>
      <c r="C1280" s="1">
        <v>45341</v>
      </c>
      <c r="D1280" s="2" t="s">
        <v>23</v>
      </c>
      <c r="E1280" t="s">
        <v>34</v>
      </c>
      <c r="G1280" s="3">
        <v>9964</v>
      </c>
      <c r="H1280" t="s">
        <v>173</v>
      </c>
      <c r="I1280" s="3" t="str">
        <f t="shared" si="57"/>
        <v>2024-02</v>
      </c>
      <c r="J1280" s="1">
        <f t="shared" si="58"/>
        <v>45829</v>
      </c>
      <c r="K1280" t="str">
        <f t="shared" si="59"/>
        <v>ACTIVE</v>
      </c>
    </row>
    <row r="1281" spans="1:11">
      <c r="A1281">
        <v>1528</v>
      </c>
      <c r="B1281" t="s">
        <v>95</v>
      </c>
      <c r="C1281" s="1">
        <v>45429</v>
      </c>
      <c r="D1281" s="2" t="s">
        <v>23</v>
      </c>
      <c r="E1281" t="s">
        <v>30</v>
      </c>
      <c r="G1281" s="3">
        <v>535</v>
      </c>
      <c r="H1281" t="s">
        <v>174</v>
      </c>
      <c r="I1281" s="3" t="str">
        <f t="shared" si="57"/>
        <v>2024-05</v>
      </c>
      <c r="J1281" s="1">
        <f t="shared" si="58"/>
        <v>45797</v>
      </c>
      <c r="K1281" t="str">
        <f t="shared" si="59"/>
        <v>ACTIVE</v>
      </c>
    </row>
    <row r="1282" spans="1:11">
      <c r="A1282">
        <v>892</v>
      </c>
      <c r="B1282" t="s">
        <v>50</v>
      </c>
      <c r="C1282" s="1">
        <v>45685</v>
      </c>
      <c r="D1282" s="2" t="s">
        <v>25</v>
      </c>
      <c r="E1282" t="s">
        <v>33</v>
      </c>
      <c r="G1282" s="3">
        <v>816</v>
      </c>
      <c r="H1282" t="s">
        <v>172</v>
      </c>
      <c r="I1282" s="3" t="str">
        <f t="shared" si="57"/>
        <v>2025-01</v>
      </c>
      <c r="J1282" s="1">
        <f t="shared" si="58"/>
        <v>45831</v>
      </c>
      <c r="K1282" t="str">
        <f t="shared" si="59"/>
        <v>ACTIVE</v>
      </c>
    </row>
    <row r="1283" spans="1:11">
      <c r="A1283">
        <v>1323</v>
      </c>
      <c r="B1283" t="s">
        <v>93</v>
      </c>
      <c r="C1283" s="1">
        <v>45767</v>
      </c>
      <c r="D1283" s="2" t="s">
        <v>27</v>
      </c>
      <c r="E1283" t="s">
        <v>33</v>
      </c>
      <c r="G1283" s="3">
        <v>726</v>
      </c>
      <c r="H1283" t="s">
        <v>176</v>
      </c>
      <c r="I1283" s="3" t="str">
        <f t="shared" ref="I1283:I1346" si="60">TEXT(C1283, "yyyy-mm")</f>
        <v>2025-04</v>
      </c>
      <c r="J1283" s="1">
        <f t="shared" ref="J1283:J1346" si="61">_xlfn.MAXIFS(C:C, B:B, B1283)</f>
        <v>45830</v>
      </c>
      <c r="K1283" t="str">
        <f t="shared" ref="K1283:K1346" si="62">IF($L$3-J1283&gt;90, "LAPSED","ACTIVE")</f>
        <v>ACTIVE</v>
      </c>
    </row>
    <row r="1284" spans="1:11">
      <c r="A1284">
        <v>616</v>
      </c>
      <c r="B1284" t="s">
        <v>74</v>
      </c>
      <c r="C1284" s="1">
        <v>45682</v>
      </c>
      <c r="D1284" s="2" t="s">
        <v>23</v>
      </c>
      <c r="E1284" t="s">
        <v>32</v>
      </c>
      <c r="G1284" s="3">
        <v>565</v>
      </c>
      <c r="H1284" t="s">
        <v>174</v>
      </c>
      <c r="I1284" s="3" t="str">
        <f t="shared" si="60"/>
        <v>2025-01</v>
      </c>
      <c r="J1284" s="1">
        <f t="shared" si="61"/>
        <v>45773</v>
      </c>
      <c r="K1284" t="str">
        <f t="shared" si="62"/>
        <v>ACTIVE</v>
      </c>
    </row>
    <row r="1285" spans="1:11">
      <c r="A1285">
        <v>155</v>
      </c>
      <c r="B1285" t="s">
        <v>112</v>
      </c>
      <c r="C1285" s="1">
        <v>45653</v>
      </c>
      <c r="D1285" s="2" t="s">
        <v>28</v>
      </c>
      <c r="E1285" t="s">
        <v>31</v>
      </c>
      <c r="G1285" s="3">
        <v>415</v>
      </c>
      <c r="H1285" t="s">
        <v>173</v>
      </c>
      <c r="I1285" s="3" t="str">
        <f t="shared" si="60"/>
        <v>2024-12</v>
      </c>
      <c r="J1285" s="1">
        <f t="shared" si="61"/>
        <v>45815</v>
      </c>
      <c r="K1285" t="str">
        <f t="shared" si="62"/>
        <v>ACTIVE</v>
      </c>
    </row>
    <row r="1286" spans="1:11">
      <c r="A1286">
        <v>1194</v>
      </c>
      <c r="B1286" t="s">
        <v>92</v>
      </c>
      <c r="C1286" s="1">
        <v>45670</v>
      </c>
      <c r="D1286" s="2" t="s">
        <v>24</v>
      </c>
      <c r="E1286" t="s">
        <v>34</v>
      </c>
      <c r="G1286" s="3">
        <v>256</v>
      </c>
      <c r="H1286" t="s">
        <v>176</v>
      </c>
      <c r="I1286" s="3" t="str">
        <f t="shared" si="60"/>
        <v>2025-01</v>
      </c>
      <c r="J1286" s="1">
        <f t="shared" si="61"/>
        <v>45746</v>
      </c>
      <c r="K1286" t="str">
        <f t="shared" si="62"/>
        <v>ACTIVE</v>
      </c>
    </row>
    <row r="1287" spans="1:11">
      <c r="A1287">
        <v>1755</v>
      </c>
      <c r="B1287" t="s">
        <v>51</v>
      </c>
      <c r="C1287" s="1">
        <v>45689</v>
      </c>
      <c r="D1287" s="2" t="s">
        <v>23</v>
      </c>
      <c r="E1287" t="s">
        <v>30</v>
      </c>
      <c r="G1287" s="3">
        <v>428</v>
      </c>
      <c r="H1287" t="s">
        <v>174</v>
      </c>
      <c r="I1287" s="3" t="str">
        <f t="shared" si="60"/>
        <v>2025-02</v>
      </c>
      <c r="J1287" s="1">
        <f t="shared" si="61"/>
        <v>45775</v>
      </c>
      <c r="K1287" t="str">
        <f t="shared" si="62"/>
        <v>ACTIVE</v>
      </c>
    </row>
    <row r="1288" spans="1:11">
      <c r="A1288">
        <v>1798</v>
      </c>
      <c r="B1288" t="s">
        <v>103</v>
      </c>
      <c r="C1288" s="1">
        <v>45332</v>
      </c>
      <c r="D1288" s="2" t="s">
        <v>28</v>
      </c>
      <c r="E1288" t="s">
        <v>35</v>
      </c>
      <c r="G1288" s="3">
        <v>1096</v>
      </c>
      <c r="H1288" t="s">
        <v>173</v>
      </c>
      <c r="I1288" s="3" t="str">
        <f t="shared" si="60"/>
        <v>2024-02</v>
      </c>
      <c r="J1288" s="1">
        <f t="shared" si="61"/>
        <v>45821</v>
      </c>
      <c r="K1288" t="str">
        <f t="shared" si="62"/>
        <v>ACTIVE</v>
      </c>
    </row>
    <row r="1289" spans="1:11">
      <c r="A1289">
        <v>323</v>
      </c>
      <c r="B1289" t="s">
        <v>149</v>
      </c>
      <c r="C1289" s="1">
        <v>45394</v>
      </c>
      <c r="D1289" s="2" t="s">
        <v>25</v>
      </c>
      <c r="E1289" t="s">
        <v>35</v>
      </c>
      <c r="G1289" s="3">
        <v>1114</v>
      </c>
      <c r="H1289" t="s">
        <v>175</v>
      </c>
      <c r="I1289" s="3" t="str">
        <f t="shared" si="60"/>
        <v>2024-04</v>
      </c>
      <c r="J1289" s="1">
        <f t="shared" si="61"/>
        <v>45795</v>
      </c>
      <c r="K1289" t="str">
        <f t="shared" si="62"/>
        <v>ACTIVE</v>
      </c>
    </row>
    <row r="1290" spans="1:11">
      <c r="A1290">
        <v>1397</v>
      </c>
      <c r="B1290" t="s">
        <v>103</v>
      </c>
      <c r="C1290" s="1">
        <v>45762</v>
      </c>
      <c r="D1290" s="2" t="s">
        <v>24</v>
      </c>
      <c r="E1290" t="s">
        <v>33</v>
      </c>
      <c r="G1290" s="3">
        <v>2606</v>
      </c>
      <c r="H1290" t="s">
        <v>174</v>
      </c>
      <c r="I1290" s="3" t="str">
        <f t="shared" si="60"/>
        <v>2025-04</v>
      </c>
      <c r="J1290" s="1">
        <f t="shared" si="61"/>
        <v>45821</v>
      </c>
      <c r="K1290" t="str">
        <f t="shared" si="62"/>
        <v>ACTIVE</v>
      </c>
    </row>
    <row r="1291" spans="1:11">
      <c r="A1291">
        <v>1283</v>
      </c>
      <c r="B1291" t="s">
        <v>49</v>
      </c>
      <c r="C1291" s="1">
        <v>45480</v>
      </c>
      <c r="D1291" s="2" t="s">
        <v>25</v>
      </c>
      <c r="E1291" t="s">
        <v>33</v>
      </c>
      <c r="G1291" s="3">
        <v>785</v>
      </c>
      <c r="H1291" t="s">
        <v>173</v>
      </c>
      <c r="I1291" s="3" t="str">
        <f t="shared" si="60"/>
        <v>2024-07</v>
      </c>
      <c r="J1291" s="1">
        <f t="shared" si="61"/>
        <v>45812</v>
      </c>
      <c r="K1291" t="str">
        <f t="shared" si="62"/>
        <v>ACTIVE</v>
      </c>
    </row>
    <row r="1292" spans="1:11">
      <c r="A1292">
        <v>83</v>
      </c>
      <c r="B1292" t="s">
        <v>128</v>
      </c>
      <c r="C1292" s="1">
        <v>45812</v>
      </c>
      <c r="D1292" s="2" t="s">
        <v>26</v>
      </c>
      <c r="E1292" t="s">
        <v>34</v>
      </c>
      <c r="G1292" s="3">
        <v>2773</v>
      </c>
      <c r="H1292" t="s">
        <v>173</v>
      </c>
      <c r="I1292" s="3" t="str">
        <f t="shared" si="60"/>
        <v>2025-06</v>
      </c>
      <c r="J1292" s="1">
        <f t="shared" si="61"/>
        <v>45812</v>
      </c>
      <c r="K1292" t="str">
        <f t="shared" si="62"/>
        <v>ACTIVE</v>
      </c>
    </row>
    <row r="1293" spans="1:11">
      <c r="A1293">
        <v>513</v>
      </c>
      <c r="B1293" t="s">
        <v>74</v>
      </c>
      <c r="C1293" s="1">
        <v>45358</v>
      </c>
      <c r="D1293" s="2" t="s">
        <v>28</v>
      </c>
      <c r="E1293" t="s">
        <v>33</v>
      </c>
      <c r="G1293" s="3">
        <v>1078</v>
      </c>
      <c r="H1293" t="s">
        <v>174</v>
      </c>
      <c r="I1293" s="3" t="str">
        <f t="shared" si="60"/>
        <v>2024-03</v>
      </c>
      <c r="J1293" s="1">
        <f t="shared" si="61"/>
        <v>45773</v>
      </c>
      <c r="K1293" t="str">
        <f t="shared" si="62"/>
        <v>ACTIVE</v>
      </c>
    </row>
    <row r="1294" spans="1:11">
      <c r="A1294">
        <v>1375</v>
      </c>
      <c r="B1294" t="s">
        <v>40</v>
      </c>
      <c r="C1294" s="1">
        <v>45389</v>
      </c>
      <c r="D1294" s="2" t="s">
        <v>27</v>
      </c>
      <c r="E1294" t="s">
        <v>35</v>
      </c>
      <c r="G1294" s="3">
        <v>587</v>
      </c>
      <c r="H1294" t="s">
        <v>173</v>
      </c>
      <c r="I1294" s="3" t="str">
        <f t="shared" si="60"/>
        <v>2024-04</v>
      </c>
      <c r="J1294" s="1">
        <f t="shared" si="61"/>
        <v>45759</v>
      </c>
      <c r="K1294" t="str">
        <f t="shared" si="62"/>
        <v>ACTIVE</v>
      </c>
    </row>
    <row r="1295" spans="1:11">
      <c r="A1295">
        <v>930</v>
      </c>
      <c r="B1295" t="s">
        <v>42</v>
      </c>
      <c r="C1295" s="1">
        <v>45445</v>
      </c>
      <c r="D1295" s="2" t="s">
        <v>23</v>
      </c>
      <c r="E1295" t="s">
        <v>32</v>
      </c>
      <c r="G1295" s="3">
        <v>310</v>
      </c>
      <c r="H1295" t="s">
        <v>176</v>
      </c>
      <c r="I1295" s="3" t="str">
        <f t="shared" si="60"/>
        <v>2024-06</v>
      </c>
      <c r="J1295" s="1">
        <f t="shared" si="61"/>
        <v>45803</v>
      </c>
      <c r="K1295" t="str">
        <f t="shared" si="62"/>
        <v>ACTIVE</v>
      </c>
    </row>
    <row r="1296" spans="1:11">
      <c r="A1296">
        <v>1474</v>
      </c>
      <c r="B1296" t="s">
        <v>51</v>
      </c>
      <c r="C1296" s="1">
        <v>45596</v>
      </c>
      <c r="D1296" s="2" t="s">
        <v>28</v>
      </c>
      <c r="E1296" t="s">
        <v>34</v>
      </c>
      <c r="G1296" s="3">
        <v>2919</v>
      </c>
      <c r="H1296" t="s">
        <v>173</v>
      </c>
      <c r="I1296" s="3" t="str">
        <f t="shared" si="60"/>
        <v>2024-10</v>
      </c>
      <c r="J1296" s="1">
        <f t="shared" si="61"/>
        <v>45775</v>
      </c>
      <c r="K1296" t="str">
        <f t="shared" si="62"/>
        <v>ACTIVE</v>
      </c>
    </row>
    <row r="1297" spans="1:11">
      <c r="A1297">
        <v>11</v>
      </c>
      <c r="B1297" t="s">
        <v>84</v>
      </c>
      <c r="C1297" s="1">
        <v>45686</v>
      </c>
      <c r="D1297" s="2" t="s">
        <v>23</v>
      </c>
      <c r="E1297" t="s">
        <v>32</v>
      </c>
      <c r="G1297" s="3">
        <v>9006</v>
      </c>
      <c r="H1297" t="s">
        <v>175</v>
      </c>
      <c r="I1297" s="3" t="str">
        <f t="shared" si="60"/>
        <v>2025-01</v>
      </c>
      <c r="J1297" s="1">
        <f t="shared" si="61"/>
        <v>45827</v>
      </c>
      <c r="K1297" t="str">
        <f t="shared" si="62"/>
        <v>ACTIVE</v>
      </c>
    </row>
    <row r="1298" spans="1:11">
      <c r="A1298">
        <v>832</v>
      </c>
      <c r="B1298" t="s">
        <v>112</v>
      </c>
      <c r="C1298" s="1">
        <v>45679</v>
      </c>
      <c r="D1298" s="2" t="s">
        <v>25</v>
      </c>
      <c r="E1298" t="s">
        <v>31</v>
      </c>
      <c r="G1298" s="3">
        <v>5613</v>
      </c>
      <c r="H1298" t="s">
        <v>176</v>
      </c>
      <c r="I1298" s="3" t="str">
        <f t="shared" si="60"/>
        <v>2025-01</v>
      </c>
      <c r="J1298" s="1">
        <f t="shared" si="61"/>
        <v>45815</v>
      </c>
      <c r="K1298" t="str">
        <f t="shared" si="62"/>
        <v>ACTIVE</v>
      </c>
    </row>
    <row r="1299" spans="1:11">
      <c r="A1299">
        <v>33</v>
      </c>
      <c r="B1299" t="s">
        <v>44</v>
      </c>
      <c r="C1299" s="1">
        <v>45422</v>
      </c>
      <c r="D1299" s="2" t="s">
        <v>24</v>
      </c>
      <c r="E1299" t="s">
        <v>31</v>
      </c>
      <c r="G1299" s="3">
        <v>580</v>
      </c>
      <c r="H1299" t="s">
        <v>172</v>
      </c>
      <c r="I1299" s="3" t="str">
        <f t="shared" si="60"/>
        <v>2024-05</v>
      </c>
      <c r="J1299" s="1">
        <f t="shared" si="61"/>
        <v>45814</v>
      </c>
      <c r="K1299" t="str">
        <f t="shared" si="62"/>
        <v>ACTIVE</v>
      </c>
    </row>
    <row r="1300" spans="1:11">
      <c r="A1300">
        <v>1367</v>
      </c>
      <c r="B1300" t="s">
        <v>101</v>
      </c>
      <c r="C1300" s="1">
        <v>45696</v>
      </c>
      <c r="D1300" s="2" t="s">
        <v>28</v>
      </c>
      <c r="E1300" t="s">
        <v>33</v>
      </c>
      <c r="G1300" s="3">
        <v>5500</v>
      </c>
      <c r="H1300" t="s">
        <v>176</v>
      </c>
      <c r="I1300" s="3" t="str">
        <f t="shared" si="60"/>
        <v>2025-02</v>
      </c>
      <c r="J1300" s="1">
        <f t="shared" si="61"/>
        <v>45823</v>
      </c>
      <c r="K1300" t="str">
        <f t="shared" si="62"/>
        <v>ACTIVE</v>
      </c>
    </row>
    <row r="1301" spans="1:11">
      <c r="A1301">
        <v>414</v>
      </c>
      <c r="B1301" t="s">
        <v>90</v>
      </c>
      <c r="C1301" s="1">
        <v>45392</v>
      </c>
      <c r="D1301" s="2" t="s">
        <v>27</v>
      </c>
      <c r="E1301" t="s">
        <v>31</v>
      </c>
      <c r="G1301" s="3">
        <v>332</v>
      </c>
      <c r="H1301" t="s">
        <v>176</v>
      </c>
      <c r="I1301" s="3" t="str">
        <f t="shared" si="60"/>
        <v>2024-04</v>
      </c>
      <c r="J1301" s="1">
        <f t="shared" si="61"/>
        <v>45788</v>
      </c>
      <c r="K1301" t="str">
        <f t="shared" si="62"/>
        <v>ACTIVE</v>
      </c>
    </row>
    <row r="1302" spans="1:11">
      <c r="A1302">
        <v>581</v>
      </c>
      <c r="B1302" t="s">
        <v>39</v>
      </c>
      <c r="C1302" s="1">
        <v>45720</v>
      </c>
      <c r="D1302" s="2" t="s">
        <v>23</v>
      </c>
      <c r="E1302" t="s">
        <v>33</v>
      </c>
      <c r="G1302" s="3">
        <v>1694</v>
      </c>
      <c r="H1302" t="s">
        <v>175</v>
      </c>
      <c r="I1302" s="3" t="str">
        <f t="shared" si="60"/>
        <v>2025-03</v>
      </c>
      <c r="J1302" s="1">
        <f t="shared" si="61"/>
        <v>45795</v>
      </c>
      <c r="K1302" t="str">
        <f t="shared" si="62"/>
        <v>ACTIVE</v>
      </c>
    </row>
    <row r="1303" spans="1:11">
      <c r="A1303">
        <v>1398</v>
      </c>
      <c r="B1303" t="s">
        <v>62</v>
      </c>
      <c r="C1303" s="1">
        <v>45360</v>
      </c>
      <c r="D1303" s="2" t="s">
        <v>24</v>
      </c>
      <c r="E1303" t="s">
        <v>32</v>
      </c>
      <c r="G1303" s="3">
        <v>352</v>
      </c>
      <c r="H1303" t="s">
        <v>175</v>
      </c>
      <c r="I1303" s="3" t="str">
        <f t="shared" si="60"/>
        <v>2024-03</v>
      </c>
      <c r="J1303" s="1">
        <f t="shared" si="61"/>
        <v>45815</v>
      </c>
      <c r="K1303" t="str">
        <f t="shared" si="62"/>
        <v>ACTIVE</v>
      </c>
    </row>
    <row r="1304" spans="1:11">
      <c r="A1304">
        <v>1716</v>
      </c>
      <c r="B1304" t="s">
        <v>110</v>
      </c>
      <c r="C1304" s="1">
        <v>45523</v>
      </c>
      <c r="D1304" s="2" t="s">
        <v>28</v>
      </c>
      <c r="E1304" t="s">
        <v>33</v>
      </c>
      <c r="G1304" s="3">
        <v>8942</v>
      </c>
      <c r="H1304" t="s">
        <v>175</v>
      </c>
      <c r="I1304" s="3" t="str">
        <f t="shared" si="60"/>
        <v>2024-08</v>
      </c>
      <c r="J1304" s="1">
        <f t="shared" si="61"/>
        <v>45816</v>
      </c>
      <c r="K1304" t="str">
        <f t="shared" si="62"/>
        <v>ACTIVE</v>
      </c>
    </row>
    <row r="1305" spans="1:11">
      <c r="A1305">
        <v>615</v>
      </c>
      <c r="B1305" t="s">
        <v>50</v>
      </c>
      <c r="C1305" s="1">
        <v>45676</v>
      </c>
      <c r="D1305" s="2" t="s">
        <v>25</v>
      </c>
      <c r="E1305" t="s">
        <v>32</v>
      </c>
      <c r="G1305" s="3">
        <v>2415</v>
      </c>
      <c r="H1305" t="s">
        <v>175</v>
      </c>
      <c r="I1305" s="3" t="str">
        <f t="shared" si="60"/>
        <v>2025-01</v>
      </c>
      <c r="J1305" s="1">
        <f t="shared" si="61"/>
        <v>45831</v>
      </c>
      <c r="K1305" t="str">
        <f t="shared" si="62"/>
        <v>ACTIVE</v>
      </c>
    </row>
    <row r="1306" spans="1:11">
      <c r="A1306">
        <v>1046</v>
      </c>
      <c r="B1306" t="s">
        <v>149</v>
      </c>
      <c r="C1306" s="1">
        <v>45636</v>
      </c>
      <c r="D1306" s="2" t="s">
        <v>24</v>
      </c>
      <c r="E1306" t="s">
        <v>35</v>
      </c>
      <c r="G1306" s="3">
        <v>2206</v>
      </c>
      <c r="H1306" t="s">
        <v>174</v>
      </c>
      <c r="I1306" s="3" t="str">
        <f t="shared" si="60"/>
        <v>2024-12</v>
      </c>
      <c r="J1306" s="1">
        <f t="shared" si="61"/>
        <v>45795</v>
      </c>
      <c r="K1306" t="str">
        <f t="shared" si="62"/>
        <v>ACTIVE</v>
      </c>
    </row>
    <row r="1307" spans="1:11">
      <c r="A1307">
        <v>1015</v>
      </c>
      <c r="B1307" t="s">
        <v>160</v>
      </c>
      <c r="C1307" s="1">
        <v>45317</v>
      </c>
      <c r="D1307" s="2" t="s">
        <v>23</v>
      </c>
      <c r="E1307" t="s">
        <v>32</v>
      </c>
      <c r="G1307" s="3">
        <v>617</v>
      </c>
      <c r="H1307" t="s">
        <v>176</v>
      </c>
      <c r="I1307" s="3" t="str">
        <f t="shared" si="60"/>
        <v>2024-01</v>
      </c>
      <c r="J1307" s="1">
        <f t="shared" si="61"/>
        <v>45734</v>
      </c>
      <c r="K1307" t="str">
        <f t="shared" si="62"/>
        <v>LAPSED</v>
      </c>
    </row>
    <row r="1308" spans="1:11">
      <c r="A1308">
        <v>90</v>
      </c>
      <c r="B1308" t="s">
        <v>68</v>
      </c>
      <c r="C1308" s="1">
        <v>45441</v>
      </c>
      <c r="D1308" s="2" t="s">
        <v>23</v>
      </c>
      <c r="E1308" t="s">
        <v>32</v>
      </c>
      <c r="G1308" s="3">
        <v>1302</v>
      </c>
      <c r="H1308" t="s">
        <v>176</v>
      </c>
      <c r="I1308" s="3" t="str">
        <f t="shared" si="60"/>
        <v>2024-05</v>
      </c>
      <c r="J1308" s="1">
        <f t="shared" si="61"/>
        <v>45776</v>
      </c>
      <c r="K1308" t="str">
        <f t="shared" si="62"/>
        <v>ACTIVE</v>
      </c>
    </row>
    <row r="1309" spans="1:11">
      <c r="A1309">
        <v>1792</v>
      </c>
      <c r="B1309" t="s">
        <v>54</v>
      </c>
      <c r="C1309" s="1">
        <v>45499</v>
      </c>
      <c r="D1309" s="2" t="s">
        <v>28</v>
      </c>
      <c r="E1309" t="s">
        <v>32</v>
      </c>
      <c r="G1309" s="3">
        <v>500</v>
      </c>
      <c r="H1309" t="s">
        <v>174</v>
      </c>
      <c r="I1309" s="3" t="str">
        <f t="shared" si="60"/>
        <v>2024-07</v>
      </c>
      <c r="J1309" s="1">
        <f t="shared" si="61"/>
        <v>45825</v>
      </c>
      <c r="K1309" t="str">
        <f t="shared" si="62"/>
        <v>ACTIVE</v>
      </c>
    </row>
    <row r="1310" spans="1:11">
      <c r="A1310">
        <v>602</v>
      </c>
      <c r="B1310" t="s">
        <v>121</v>
      </c>
      <c r="C1310" s="1">
        <v>45718</v>
      </c>
      <c r="D1310" s="2" t="s">
        <v>23</v>
      </c>
      <c r="E1310" t="s">
        <v>33</v>
      </c>
      <c r="G1310" s="3">
        <v>282</v>
      </c>
      <c r="H1310" t="s">
        <v>173</v>
      </c>
      <c r="I1310" s="3" t="str">
        <f t="shared" si="60"/>
        <v>2025-03</v>
      </c>
      <c r="J1310" s="1">
        <f t="shared" si="61"/>
        <v>45798</v>
      </c>
      <c r="K1310" t="str">
        <f t="shared" si="62"/>
        <v>ACTIVE</v>
      </c>
    </row>
    <row r="1311" spans="1:11">
      <c r="A1311">
        <v>1238</v>
      </c>
      <c r="B1311" t="s">
        <v>89</v>
      </c>
      <c r="C1311" s="1">
        <v>45628</v>
      </c>
      <c r="D1311" s="2" t="s">
        <v>24</v>
      </c>
      <c r="E1311" t="s">
        <v>31</v>
      </c>
      <c r="G1311" s="3">
        <v>805</v>
      </c>
      <c r="H1311" t="s">
        <v>173</v>
      </c>
      <c r="I1311" s="3" t="str">
        <f t="shared" si="60"/>
        <v>2024-12</v>
      </c>
      <c r="J1311" s="1">
        <f t="shared" si="61"/>
        <v>45826</v>
      </c>
      <c r="K1311" t="str">
        <f t="shared" si="62"/>
        <v>ACTIVE</v>
      </c>
    </row>
    <row r="1312" spans="1:11">
      <c r="A1312">
        <v>134</v>
      </c>
      <c r="B1312" t="s">
        <v>76</v>
      </c>
      <c r="C1312" s="1">
        <v>45650</v>
      </c>
      <c r="D1312" s="2" t="s">
        <v>28</v>
      </c>
      <c r="E1312" t="s">
        <v>33</v>
      </c>
      <c r="G1312" s="3">
        <v>924</v>
      </c>
      <c r="H1312" t="s">
        <v>173</v>
      </c>
      <c r="I1312" s="3" t="str">
        <f t="shared" si="60"/>
        <v>2024-12</v>
      </c>
      <c r="J1312" s="1">
        <f t="shared" si="61"/>
        <v>45792</v>
      </c>
      <c r="K1312" t="str">
        <f t="shared" si="62"/>
        <v>ACTIVE</v>
      </c>
    </row>
    <row r="1313" spans="1:11">
      <c r="A1313">
        <v>556</v>
      </c>
      <c r="B1313" t="s">
        <v>108</v>
      </c>
      <c r="C1313" s="1">
        <v>45507</v>
      </c>
      <c r="D1313" s="2" t="s">
        <v>24</v>
      </c>
      <c r="E1313" t="s">
        <v>34</v>
      </c>
      <c r="G1313" s="3">
        <v>2755</v>
      </c>
      <c r="H1313" t="s">
        <v>176</v>
      </c>
      <c r="I1313" s="3" t="str">
        <f t="shared" si="60"/>
        <v>2024-08</v>
      </c>
      <c r="J1313" s="1">
        <f t="shared" si="61"/>
        <v>45826</v>
      </c>
      <c r="K1313" t="str">
        <f t="shared" si="62"/>
        <v>ACTIVE</v>
      </c>
    </row>
    <row r="1314" spans="1:11">
      <c r="A1314">
        <v>1032</v>
      </c>
      <c r="B1314" t="s">
        <v>104</v>
      </c>
      <c r="C1314" s="1">
        <v>45350</v>
      </c>
      <c r="D1314" s="2" t="s">
        <v>25</v>
      </c>
      <c r="E1314" t="s">
        <v>35</v>
      </c>
      <c r="G1314" s="3">
        <v>352</v>
      </c>
      <c r="H1314" t="s">
        <v>174</v>
      </c>
      <c r="I1314" s="3" t="str">
        <f t="shared" si="60"/>
        <v>2024-02</v>
      </c>
      <c r="J1314" s="1">
        <f t="shared" si="61"/>
        <v>45743</v>
      </c>
      <c r="K1314" t="str">
        <f t="shared" si="62"/>
        <v>ACTIVE</v>
      </c>
    </row>
    <row r="1315" spans="1:11">
      <c r="A1315">
        <v>1414</v>
      </c>
      <c r="B1315" t="s">
        <v>73</v>
      </c>
      <c r="C1315" s="1">
        <v>45472</v>
      </c>
      <c r="D1315" s="2" t="s">
        <v>23</v>
      </c>
      <c r="E1315" t="s">
        <v>32</v>
      </c>
      <c r="G1315" s="3">
        <v>868</v>
      </c>
      <c r="H1315" t="s">
        <v>172</v>
      </c>
      <c r="I1315" s="3" t="str">
        <f t="shared" si="60"/>
        <v>2024-06</v>
      </c>
      <c r="J1315" s="1">
        <f t="shared" si="61"/>
        <v>45800</v>
      </c>
      <c r="K1315" t="str">
        <f t="shared" si="62"/>
        <v>ACTIVE</v>
      </c>
    </row>
    <row r="1316" spans="1:11">
      <c r="A1316">
        <v>321</v>
      </c>
      <c r="B1316" t="s">
        <v>160</v>
      </c>
      <c r="C1316" s="1">
        <v>45443</v>
      </c>
      <c r="D1316" s="2" t="s">
        <v>23</v>
      </c>
      <c r="E1316" t="s">
        <v>31</v>
      </c>
      <c r="G1316" s="3">
        <v>5822</v>
      </c>
      <c r="H1316" t="s">
        <v>176</v>
      </c>
      <c r="I1316" s="3" t="str">
        <f t="shared" si="60"/>
        <v>2024-05</v>
      </c>
      <c r="J1316" s="1">
        <f t="shared" si="61"/>
        <v>45734</v>
      </c>
      <c r="K1316" t="str">
        <f t="shared" si="62"/>
        <v>LAPSED</v>
      </c>
    </row>
    <row r="1317" spans="1:11">
      <c r="A1317">
        <v>1599</v>
      </c>
      <c r="B1317" t="s">
        <v>113</v>
      </c>
      <c r="C1317" s="1">
        <v>45666</v>
      </c>
      <c r="D1317" s="2" t="s">
        <v>27</v>
      </c>
      <c r="E1317" t="s">
        <v>32</v>
      </c>
      <c r="G1317" s="3">
        <v>327</v>
      </c>
      <c r="H1317" t="s">
        <v>175</v>
      </c>
      <c r="I1317" s="3" t="str">
        <f t="shared" si="60"/>
        <v>2025-01</v>
      </c>
      <c r="J1317" s="1">
        <f t="shared" si="61"/>
        <v>45788</v>
      </c>
      <c r="K1317" t="str">
        <f t="shared" si="62"/>
        <v>ACTIVE</v>
      </c>
    </row>
    <row r="1318" spans="1:11">
      <c r="A1318">
        <v>1212</v>
      </c>
      <c r="B1318" t="s">
        <v>107</v>
      </c>
      <c r="C1318" s="1">
        <v>45473</v>
      </c>
      <c r="D1318" s="2" t="s">
        <v>25</v>
      </c>
      <c r="E1318" t="s">
        <v>33</v>
      </c>
      <c r="G1318" s="3">
        <v>8623</v>
      </c>
      <c r="H1318" t="s">
        <v>173</v>
      </c>
      <c r="I1318" s="3" t="str">
        <f t="shared" si="60"/>
        <v>2024-06</v>
      </c>
      <c r="J1318" s="1">
        <f t="shared" si="61"/>
        <v>45831</v>
      </c>
      <c r="K1318" t="str">
        <f t="shared" si="62"/>
        <v>ACTIVE</v>
      </c>
    </row>
    <row r="1319" spans="1:11">
      <c r="A1319">
        <v>1568</v>
      </c>
      <c r="B1319" t="s">
        <v>120</v>
      </c>
      <c r="C1319" s="1">
        <v>45460</v>
      </c>
      <c r="D1319" s="2" t="s">
        <v>25</v>
      </c>
      <c r="E1319" t="s">
        <v>34</v>
      </c>
      <c r="G1319" s="3">
        <v>1200</v>
      </c>
      <c r="H1319" t="s">
        <v>176</v>
      </c>
      <c r="I1319" s="3" t="str">
        <f t="shared" si="60"/>
        <v>2024-06</v>
      </c>
      <c r="J1319" s="1">
        <f t="shared" si="61"/>
        <v>45817</v>
      </c>
      <c r="K1319" t="str">
        <f t="shared" si="62"/>
        <v>ACTIVE</v>
      </c>
    </row>
    <row r="1320" spans="1:11">
      <c r="A1320">
        <v>635</v>
      </c>
      <c r="B1320" t="s">
        <v>60</v>
      </c>
      <c r="C1320" s="1">
        <v>45668</v>
      </c>
      <c r="D1320" s="2" t="s">
        <v>25</v>
      </c>
      <c r="E1320" t="s">
        <v>30</v>
      </c>
      <c r="G1320" s="3">
        <v>321</v>
      </c>
      <c r="H1320" t="s">
        <v>173</v>
      </c>
      <c r="I1320" s="3" t="str">
        <f t="shared" si="60"/>
        <v>2025-01</v>
      </c>
      <c r="J1320" s="1">
        <f t="shared" si="61"/>
        <v>45801</v>
      </c>
      <c r="K1320" t="str">
        <f t="shared" si="62"/>
        <v>ACTIVE</v>
      </c>
    </row>
    <row r="1321" spans="1:11">
      <c r="A1321">
        <v>553</v>
      </c>
      <c r="B1321" t="s">
        <v>48</v>
      </c>
      <c r="C1321" s="1">
        <v>45809</v>
      </c>
      <c r="D1321" s="2" t="s">
        <v>24</v>
      </c>
      <c r="E1321" t="s">
        <v>31</v>
      </c>
      <c r="G1321" s="3">
        <v>1569</v>
      </c>
      <c r="H1321" t="s">
        <v>174</v>
      </c>
      <c r="I1321" s="3" t="str">
        <f t="shared" si="60"/>
        <v>2025-06</v>
      </c>
      <c r="J1321" s="1">
        <f t="shared" si="61"/>
        <v>45809</v>
      </c>
      <c r="K1321" t="str">
        <f t="shared" si="62"/>
        <v>ACTIVE</v>
      </c>
    </row>
    <row r="1322" spans="1:11">
      <c r="A1322">
        <v>1056</v>
      </c>
      <c r="B1322" t="s">
        <v>96</v>
      </c>
      <c r="C1322" s="1">
        <v>45675</v>
      </c>
      <c r="D1322" s="2" t="s">
        <v>24</v>
      </c>
      <c r="E1322" t="s">
        <v>35</v>
      </c>
      <c r="G1322" s="3">
        <v>432</v>
      </c>
      <c r="H1322" t="s">
        <v>176</v>
      </c>
      <c r="I1322" s="3" t="str">
        <f t="shared" si="60"/>
        <v>2025-01</v>
      </c>
      <c r="J1322" s="1">
        <f t="shared" si="61"/>
        <v>45798</v>
      </c>
      <c r="K1322" t="str">
        <f t="shared" si="62"/>
        <v>ACTIVE</v>
      </c>
    </row>
    <row r="1323" spans="1:11">
      <c r="A1323">
        <v>1407</v>
      </c>
      <c r="B1323" t="s">
        <v>155</v>
      </c>
      <c r="C1323" s="1">
        <v>45642</v>
      </c>
      <c r="D1323" s="2" t="s">
        <v>25</v>
      </c>
      <c r="E1323" t="s">
        <v>32</v>
      </c>
      <c r="G1323" s="3">
        <v>10463</v>
      </c>
      <c r="H1323" t="s">
        <v>173</v>
      </c>
      <c r="I1323" s="3" t="str">
        <f t="shared" si="60"/>
        <v>2024-12</v>
      </c>
      <c r="J1323" s="1">
        <f t="shared" si="61"/>
        <v>45698</v>
      </c>
      <c r="K1323" t="str">
        <f t="shared" si="62"/>
        <v>LAPSED</v>
      </c>
    </row>
    <row r="1324" spans="1:11">
      <c r="A1324">
        <v>797</v>
      </c>
      <c r="B1324" t="s">
        <v>100</v>
      </c>
      <c r="C1324" s="1">
        <v>45399</v>
      </c>
      <c r="D1324" s="2" t="s">
        <v>24</v>
      </c>
      <c r="E1324" t="s">
        <v>32</v>
      </c>
      <c r="G1324" s="3">
        <v>260</v>
      </c>
      <c r="H1324" t="s">
        <v>172</v>
      </c>
      <c r="I1324" s="3" t="str">
        <f t="shared" si="60"/>
        <v>2024-04</v>
      </c>
      <c r="J1324" s="1">
        <f t="shared" si="61"/>
        <v>45779</v>
      </c>
      <c r="K1324" t="str">
        <f t="shared" si="62"/>
        <v>ACTIVE</v>
      </c>
    </row>
    <row r="1325" spans="1:11">
      <c r="A1325">
        <v>1509</v>
      </c>
      <c r="B1325" t="s">
        <v>137</v>
      </c>
      <c r="C1325" s="1">
        <v>45431</v>
      </c>
      <c r="D1325" s="2" t="s">
        <v>27</v>
      </c>
      <c r="E1325" t="s">
        <v>34</v>
      </c>
      <c r="G1325" s="3">
        <v>747</v>
      </c>
      <c r="H1325" t="s">
        <v>172</v>
      </c>
      <c r="I1325" s="3" t="str">
        <f t="shared" si="60"/>
        <v>2024-05</v>
      </c>
      <c r="J1325" s="1">
        <f t="shared" si="61"/>
        <v>45819</v>
      </c>
      <c r="K1325" t="str">
        <f t="shared" si="62"/>
        <v>ACTIVE</v>
      </c>
    </row>
    <row r="1326" spans="1:11">
      <c r="A1326">
        <v>1265</v>
      </c>
      <c r="B1326" t="s">
        <v>159</v>
      </c>
      <c r="C1326" s="1">
        <v>45320</v>
      </c>
      <c r="D1326" s="2" t="s">
        <v>23</v>
      </c>
      <c r="E1326" t="s">
        <v>35</v>
      </c>
      <c r="G1326" s="3">
        <v>5719</v>
      </c>
      <c r="H1326" t="s">
        <v>172</v>
      </c>
      <c r="I1326" s="3" t="str">
        <f t="shared" si="60"/>
        <v>2024-01</v>
      </c>
      <c r="J1326" s="1">
        <f t="shared" si="61"/>
        <v>45713</v>
      </c>
      <c r="K1326" t="str">
        <f t="shared" si="62"/>
        <v>LAPSED</v>
      </c>
    </row>
    <row r="1327" spans="1:11">
      <c r="A1327">
        <v>1546</v>
      </c>
      <c r="B1327" t="s">
        <v>88</v>
      </c>
      <c r="C1327" s="1">
        <v>45431</v>
      </c>
      <c r="D1327" s="2" t="s">
        <v>25</v>
      </c>
      <c r="E1327" t="s">
        <v>33</v>
      </c>
      <c r="G1327" s="3">
        <v>2116</v>
      </c>
      <c r="H1327" t="s">
        <v>175</v>
      </c>
      <c r="I1327" s="3" t="str">
        <f t="shared" si="60"/>
        <v>2024-05</v>
      </c>
      <c r="J1327" s="1">
        <f t="shared" si="61"/>
        <v>45763</v>
      </c>
      <c r="K1327" t="str">
        <f t="shared" si="62"/>
        <v>ACTIVE</v>
      </c>
    </row>
    <row r="1328" spans="1:11">
      <c r="A1328">
        <v>175</v>
      </c>
      <c r="B1328" t="s">
        <v>153</v>
      </c>
      <c r="C1328" s="1">
        <v>45413</v>
      </c>
      <c r="D1328" s="2" t="s">
        <v>25</v>
      </c>
      <c r="E1328" t="s">
        <v>32</v>
      </c>
      <c r="G1328" s="3">
        <v>5590</v>
      </c>
      <c r="H1328" t="s">
        <v>174</v>
      </c>
      <c r="I1328" s="3" t="str">
        <f t="shared" si="60"/>
        <v>2024-05</v>
      </c>
      <c r="J1328" s="1">
        <f t="shared" si="61"/>
        <v>45690</v>
      </c>
      <c r="K1328" t="str">
        <f t="shared" si="62"/>
        <v>LAPSED</v>
      </c>
    </row>
    <row r="1329" spans="1:11">
      <c r="A1329">
        <v>767</v>
      </c>
      <c r="B1329" t="s">
        <v>112</v>
      </c>
      <c r="C1329" s="1">
        <v>45635</v>
      </c>
      <c r="D1329" s="2" t="s">
        <v>24</v>
      </c>
      <c r="E1329" t="s">
        <v>32</v>
      </c>
      <c r="G1329" s="3">
        <v>4325</v>
      </c>
      <c r="H1329" t="s">
        <v>173</v>
      </c>
      <c r="I1329" s="3" t="str">
        <f t="shared" si="60"/>
        <v>2024-12</v>
      </c>
      <c r="J1329" s="1">
        <f t="shared" si="61"/>
        <v>45815</v>
      </c>
      <c r="K1329" t="str">
        <f t="shared" si="62"/>
        <v>ACTIVE</v>
      </c>
    </row>
    <row r="1330" spans="1:11">
      <c r="A1330">
        <v>246</v>
      </c>
      <c r="B1330" t="s">
        <v>86</v>
      </c>
      <c r="C1330" s="1">
        <v>45734</v>
      </c>
      <c r="D1330" s="2" t="s">
        <v>25</v>
      </c>
      <c r="E1330" t="s">
        <v>30</v>
      </c>
      <c r="G1330" s="3">
        <v>1960</v>
      </c>
      <c r="H1330" t="s">
        <v>173</v>
      </c>
      <c r="I1330" s="3" t="str">
        <f t="shared" si="60"/>
        <v>2025-03</v>
      </c>
      <c r="J1330" s="1">
        <f t="shared" si="61"/>
        <v>45819</v>
      </c>
      <c r="K1330" t="str">
        <f t="shared" si="62"/>
        <v>ACTIVE</v>
      </c>
    </row>
    <row r="1331" spans="1:11">
      <c r="A1331">
        <v>1081</v>
      </c>
      <c r="B1331" t="s">
        <v>89</v>
      </c>
      <c r="C1331" s="1">
        <v>45586</v>
      </c>
      <c r="D1331" s="2" t="s">
        <v>28</v>
      </c>
      <c r="E1331" t="s">
        <v>31</v>
      </c>
      <c r="G1331" s="3">
        <v>2130</v>
      </c>
      <c r="H1331" t="s">
        <v>176</v>
      </c>
      <c r="I1331" s="3" t="str">
        <f t="shared" si="60"/>
        <v>2024-10</v>
      </c>
      <c r="J1331" s="1">
        <f t="shared" si="61"/>
        <v>45826</v>
      </c>
      <c r="K1331" t="str">
        <f t="shared" si="62"/>
        <v>ACTIVE</v>
      </c>
    </row>
    <row r="1332" spans="1:11">
      <c r="A1332">
        <v>1567</v>
      </c>
      <c r="B1332" t="s">
        <v>81</v>
      </c>
      <c r="C1332" s="1">
        <v>45613</v>
      </c>
      <c r="D1332" s="2" t="s">
        <v>26</v>
      </c>
      <c r="E1332" t="s">
        <v>33</v>
      </c>
      <c r="G1332" s="3">
        <v>5832</v>
      </c>
      <c r="H1332" t="s">
        <v>173</v>
      </c>
      <c r="I1332" s="3" t="str">
        <f t="shared" si="60"/>
        <v>2024-11</v>
      </c>
      <c r="J1332" s="1">
        <f t="shared" si="61"/>
        <v>45787</v>
      </c>
      <c r="K1332" t="str">
        <f t="shared" si="62"/>
        <v>ACTIVE</v>
      </c>
    </row>
    <row r="1333" spans="1:11">
      <c r="A1333">
        <v>146</v>
      </c>
      <c r="B1333" t="s">
        <v>111</v>
      </c>
      <c r="C1333" s="1">
        <v>45803</v>
      </c>
      <c r="D1333" s="2" t="s">
        <v>23</v>
      </c>
      <c r="E1333" t="s">
        <v>34</v>
      </c>
      <c r="G1333" s="3">
        <v>10300</v>
      </c>
      <c r="H1333" t="s">
        <v>172</v>
      </c>
      <c r="I1333" s="3" t="str">
        <f t="shared" si="60"/>
        <v>2025-05</v>
      </c>
      <c r="J1333" s="1">
        <f t="shared" si="61"/>
        <v>45829</v>
      </c>
      <c r="K1333" t="str">
        <f t="shared" si="62"/>
        <v>ACTIVE</v>
      </c>
    </row>
    <row r="1334" spans="1:11">
      <c r="A1334">
        <v>91</v>
      </c>
      <c r="B1334" t="s">
        <v>66</v>
      </c>
      <c r="C1334" s="1">
        <v>45438</v>
      </c>
      <c r="D1334" s="2" t="s">
        <v>28</v>
      </c>
      <c r="E1334" t="s">
        <v>30</v>
      </c>
      <c r="G1334" s="3">
        <v>2460</v>
      </c>
      <c r="H1334" t="s">
        <v>176</v>
      </c>
      <c r="I1334" s="3" t="str">
        <f t="shared" si="60"/>
        <v>2024-05</v>
      </c>
      <c r="J1334" s="1">
        <f t="shared" si="61"/>
        <v>45802</v>
      </c>
      <c r="K1334" t="str">
        <f t="shared" si="62"/>
        <v>ACTIVE</v>
      </c>
    </row>
    <row r="1335" spans="1:11">
      <c r="A1335">
        <v>683</v>
      </c>
      <c r="B1335" t="s">
        <v>142</v>
      </c>
      <c r="C1335" s="1">
        <v>45500</v>
      </c>
      <c r="D1335" s="2" t="s">
        <v>24</v>
      </c>
      <c r="E1335" t="s">
        <v>33</v>
      </c>
      <c r="G1335" s="3">
        <v>1650</v>
      </c>
      <c r="H1335" t="s">
        <v>174</v>
      </c>
      <c r="I1335" s="3" t="str">
        <f t="shared" si="60"/>
        <v>2024-07</v>
      </c>
      <c r="J1335" s="1">
        <f t="shared" si="61"/>
        <v>45803</v>
      </c>
      <c r="K1335" t="str">
        <f t="shared" si="62"/>
        <v>ACTIVE</v>
      </c>
    </row>
    <row r="1336" spans="1:11">
      <c r="A1336">
        <v>311</v>
      </c>
      <c r="B1336" t="s">
        <v>133</v>
      </c>
      <c r="C1336" s="1">
        <v>45782</v>
      </c>
      <c r="D1336" s="2" t="s">
        <v>23</v>
      </c>
      <c r="E1336" t="s">
        <v>30</v>
      </c>
      <c r="G1336" s="3">
        <v>1730</v>
      </c>
      <c r="H1336" t="s">
        <v>176</v>
      </c>
      <c r="I1336" s="3" t="str">
        <f t="shared" si="60"/>
        <v>2025-05</v>
      </c>
      <c r="J1336" s="1">
        <f t="shared" si="61"/>
        <v>45788</v>
      </c>
      <c r="K1336" t="str">
        <f t="shared" si="62"/>
        <v>ACTIVE</v>
      </c>
    </row>
    <row r="1337" spans="1:11">
      <c r="A1337">
        <v>94</v>
      </c>
      <c r="B1337" t="s">
        <v>147</v>
      </c>
      <c r="C1337" s="1">
        <v>45342</v>
      </c>
      <c r="D1337" s="2" t="s">
        <v>23</v>
      </c>
      <c r="E1337" t="s">
        <v>30</v>
      </c>
      <c r="G1337" s="3">
        <v>340</v>
      </c>
      <c r="H1337" t="s">
        <v>174</v>
      </c>
      <c r="I1337" s="3" t="str">
        <f t="shared" si="60"/>
        <v>2024-02</v>
      </c>
      <c r="J1337" s="1">
        <f t="shared" si="61"/>
        <v>45752</v>
      </c>
      <c r="K1337" t="str">
        <f t="shared" si="62"/>
        <v>ACTIVE</v>
      </c>
    </row>
    <row r="1338" spans="1:11">
      <c r="A1338">
        <v>1750</v>
      </c>
      <c r="B1338" t="s">
        <v>93</v>
      </c>
      <c r="C1338" s="1">
        <v>45731</v>
      </c>
      <c r="D1338" s="2" t="s">
        <v>27</v>
      </c>
      <c r="E1338" t="s">
        <v>35</v>
      </c>
      <c r="G1338" s="3">
        <v>8876</v>
      </c>
      <c r="H1338" t="s">
        <v>174</v>
      </c>
      <c r="I1338" s="3" t="str">
        <f t="shared" si="60"/>
        <v>2025-03</v>
      </c>
      <c r="J1338" s="1">
        <f t="shared" si="61"/>
        <v>45830</v>
      </c>
      <c r="K1338" t="str">
        <f t="shared" si="62"/>
        <v>ACTIVE</v>
      </c>
    </row>
    <row r="1339" spans="1:11">
      <c r="A1339">
        <v>925</v>
      </c>
      <c r="B1339" t="s">
        <v>136</v>
      </c>
      <c r="C1339" s="1">
        <v>45371</v>
      </c>
      <c r="D1339" s="2" t="s">
        <v>28</v>
      </c>
      <c r="E1339" t="s">
        <v>32</v>
      </c>
      <c r="G1339" s="3">
        <v>5305</v>
      </c>
      <c r="H1339" t="s">
        <v>173</v>
      </c>
      <c r="I1339" s="3" t="str">
        <f t="shared" si="60"/>
        <v>2024-03</v>
      </c>
      <c r="J1339" s="1">
        <f t="shared" si="61"/>
        <v>45823</v>
      </c>
      <c r="K1339" t="str">
        <f t="shared" si="62"/>
        <v>ACTIVE</v>
      </c>
    </row>
    <row r="1340" spans="1:11">
      <c r="A1340">
        <v>1527</v>
      </c>
      <c r="B1340" t="s">
        <v>131</v>
      </c>
      <c r="C1340" s="1">
        <v>45315</v>
      </c>
      <c r="D1340" s="2" t="s">
        <v>27</v>
      </c>
      <c r="E1340" t="s">
        <v>30</v>
      </c>
      <c r="G1340" s="3">
        <v>947</v>
      </c>
      <c r="H1340" t="s">
        <v>175</v>
      </c>
      <c r="I1340" s="3" t="str">
        <f t="shared" si="60"/>
        <v>2024-01</v>
      </c>
      <c r="J1340" s="1">
        <f t="shared" si="61"/>
        <v>45807</v>
      </c>
      <c r="K1340" t="str">
        <f t="shared" si="62"/>
        <v>ACTIVE</v>
      </c>
    </row>
    <row r="1341" spans="1:11">
      <c r="A1341">
        <v>1036</v>
      </c>
      <c r="B1341" t="s">
        <v>121</v>
      </c>
      <c r="C1341" s="1">
        <v>45680</v>
      </c>
      <c r="D1341" s="2" t="s">
        <v>25</v>
      </c>
      <c r="E1341" t="s">
        <v>35</v>
      </c>
      <c r="G1341" s="3">
        <v>246</v>
      </c>
      <c r="H1341" t="s">
        <v>173</v>
      </c>
      <c r="I1341" s="3" t="str">
        <f t="shared" si="60"/>
        <v>2025-01</v>
      </c>
      <c r="J1341" s="1">
        <f t="shared" si="61"/>
        <v>45798</v>
      </c>
      <c r="K1341" t="str">
        <f t="shared" si="62"/>
        <v>ACTIVE</v>
      </c>
    </row>
    <row r="1342" spans="1:11">
      <c r="A1342">
        <v>244</v>
      </c>
      <c r="B1342" t="s">
        <v>158</v>
      </c>
      <c r="C1342" s="1">
        <v>45740</v>
      </c>
      <c r="D1342" s="2" t="s">
        <v>28</v>
      </c>
      <c r="E1342" t="s">
        <v>31</v>
      </c>
      <c r="G1342" s="3">
        <v>920</v>
      </c>
      <c r="H1342" t="s">
        <v>176</v>
      </c>
      <c r="I1342" s="3" t="str">
        <f t="shared" si="60"/>
        <v>2025-03</v>
      </c>
      <c r="J1342" s="1">
        <f t="shared" si="61"/>
        <v>45740</v>
      </c>
      <c r="K1342" t="str">
        <f t="shared" si="62"/>
        <v>LAPSED</v>
      </c>
    </row>
    <row r="1343" spans="1:11">
      <c r="A1343">
        <v>1112</v>
      </c>
      <c r="B1343" t="s">
        <v>84</v>
      </c>
      <c r="C1343" s="1">
        <v>45487</v>
      </c>
      <c r="D1343" s="2" t="s">
        <v>24</v>
      </c>
      <c r="E1343" t="s">
        <v>33</v>
      </c>
      <c r="G1343" s="3">
        <v>439</v>
      </c>
      <c r="H1343" t="s">
        <v>174</v>
      </c>
      <c r="I1343" s="3" t="str">
        <f t="shared" si="60"/>
        <v>2024-07</v>
      </c>
      <c r="J1343" s="1">
        <f t="shared" si="61"/>
        <v>45827</v>
      </c>
      <c r="K1343" t="str">
        <f t="shared" si="62"/>
        <v>ACTIVE</v>
      </c>
    </row>
    <row r="1344" spans="1:11">
      <c r="A1344">
        <v>215</v>
      </c>
      <c r="B1344" t="s">
        <v>130</v>
      </c>
      <c r="C1344" s="1">
        <v>45772</v>
      </c>
      <c r="D1344" s="2" t="s">
        <v>24</v>
      </c>
      <c r="E1344" t="s">
        <v>33</v>
      </c>
      <c r="G1344" s="3">
        <v>4626</v>
      </c>
      <c r="H1344" t="s">
        <v>176</v>
      </c>
      <c r="I1344" s="3" t="str">
        <f t="shared" si="60"/>
        <v>2025-04</v>
      </c>
      <c r="J1344" s="1">
        <f t="shared" si="61"/>
        <v>45828</v>
      </c>
      <c r="K1344" t="str">
        <f t="shared" si="62"/>
        <v>ACTIVE</v>
      </c>
    </row>
    <row r="1345" spans="1:11">
      <c r="A1345">
        <v>1198</v>
      </c>
      <c r="B1345" t="s">
        <v>55</v>
      </c>
      <c r="C1345" s="1">
        <v>45315</v>
      </c>
      <c r="D1345" s="2" t="s">
        <v>25</v>
      </c>
      <c r="E1345" t="s">
        <v>30</v>
      </c>
      <c r="G1345" s="3">
        <v>728</v>
      </c>
      <c r="H1345" t="s">
        <v>173</v>
      </c>
      <c r="I1345" s="3" t="str">
        <f t="shared" si="60"/>
        <v>2024-01</v>
      </c>
      <c r="J1345" s="1">
        <f t="shared" si="61"/>
        <v>45824</v>
      </c>
      <c r="K1345" t="str">
        <f t="shared" si="62"/>
        <v>ACTIVE</v>
      </c>
    </row>
    <row r="1346" spans="1:11">
      <c r="A1346">
        <v>999</v>
      </c>
      <c r="B1346" t="s">
        <v>72</v>
      </c>
      <c r="C1346" s="1">
        <v>45402</v>
      </c>
      <c r="D1346" s="2" t="s">
        <v>23</v>
      </c>
      <c r="E1346" t="s">
        <v>32</v>
      </c>
      <c r="G1346" s="3">
        <v>8700</v>
      </c>
      <c r="H1346" t="s">
        <v>174</v>
      </c>
      <c r="I1346" s="3" t="str">
        <f t="shared" si="60"/>
        <v>2024-04</v>
      </c>
      <c r="J1346" s="1">
        <f t="shared" si="61"/>
        <v>45815</v>
      </c>
      <c r="K1346" t="str">
        <f t="shared" si="62"/>
        <v>ACTIVE</v>
      </c>
    </row>
    <row r="1347" spans="1:11">
      <c r="A1347">
        <v>854</v>
      </c>
      <c r="B1347" t="s">
        <v>65</v>
      </c>
      <c r="C1347" s="1">
        <v>45813</v>
      </c>
      <c r="D1347" s="2" t="s">
        <v>25</v>
      </c>
      <c r="E1347" t="s">
        <v>35</v>
      </c>
      <c r="G1347" s="3">
        <v>273</v>
      </c>
      <c r="H1347" t="s">
        <v>176</v>
      </c>
      <c r="I1347" s="3" t="str">
        <f t="shared" ref="I1347:I1410" si="63">TEXT(C1347, "yyyy-mm")</f>
        <v>2025-06</v>
      </c>
      <c r="J1347" s="1">
        <f t="shared" ref="J1347:J1410" si="64">_xlfn.MAXIFS(C:C, B:B, B1347)</f>
        <v>45813</v>
      </c>
      <c r="K1347" t="str">
        <f t="shared" ref="K1347:K1410" si="65">IF($L$3-J1347&gt;90, "LAPSED","ACTIVE")</f>
        <v>ACTIVE</v>
      </c>
    </row>
    <row r="1348" spans="1:11">
      <c r="A1348">
        <v>426</v>
      </c>
      <c r="B1348" t="s">
        <v>107</v>
      </c>
      <c r="C1348" s="1">
        <v>45678</v>
      </c>
      <c r="D1348" s="2" t="s">
        <v>28</v>
      </c>
      <c r="E1348" t="s">
        <v>33</v>
      </c>
      <c r="G1348" s="3">
        <v>5922</v>
      </c>
      <c r="H1348" t="s">
        <v>173</v>
      </c>
      <c r="I1348" s="3" t="str">
        <f t="shared" si="63"/>
        <v>2025-01</v>
      </c>
      <c r="J1348" s="1">
        <f t="shared" si="64"/>
        <v>45831</v>
      </c>
      <c r="K1348" t="str">
        <f t="shared" si="65"/>
        <v>ACTIVE</v>
      </c>
    </row>
    <row r="1349" spans="1:11">
      <c r="A1349">
        <v>1703</v>
      </c>
      <c r="B1349" t="s">
        <v>82</v>
      </c>
      <c r="C1349" s="1">
        <v>45551</v>
      </c>
      <c r="D1349" s="2" t="s">
        <v>24</v>
      </c>
      <c r="E1349" t="s">
        <v>34</v>
      </c>
      <c r="G1349" s="3">
        <v>535</v>
      </c>
      <c r="H1349" t="s">
        <v>173</v>
      </c>
      <c r="I1349" s="3" t="str">
        <f t="shared" si="63"/>
        <v>2024-09</v>
      </c>
      <c r="J1349" s="1">
        <f t="shared" si="64"/>
        <v>45781</v>
      </c>
      <c r="K1349" t="str">
        <f t="shared" si="65"/>
        <v>ACTIVE</v>
      </c>
    </row>
    <row r="1350" spans="1:11">
      <c r="A1350">
        <v>1143</v>
      </c>
      <c r="B1350" t="s">
        <v>39</v>
      </c>
      <c r="C1350" s="1">
        <v>45445</v>
      </c>
      <c r="D1350" s="2" t="s">
        <v>24</v>
      </c>
      <c r="E1350" t="s">
        <v>30</v>
      </c>
      <c r="G1350" s="3">
        <v>2198</v>
      </c>
      <c r="H1350" t="s">
        <v>175</v>
      </c>
      <c r="I1350" s="3" t="str">
        <f t="shared" si="63"/>
        <v>2024-06</v>
      </c>
      <c r="J1350" s="1">
        <f t="shared" si="64"/>
        <v>45795</v>
      </c>
      <c r="K1350" t="str">
        <f t="shared" si="65"/>
        <v>ACTIVE</v>
      </c>
    </row>
    <row r="1351" spans="1:11">
      <c r="A1351">
        <v>1144</v>
      </c>
      <c r="B1351" t="s">
        <v>142</v>
      </c>
      <c r="C1351" s="1">
        <v>45416</v>
      </c>
      <c r="D1351" s="2" t="s">
        <v>28</v>
      </c>
      <c r="E1351" t="s">
        <v>32</v>
      </c>
      <c r="G1351" s="3">
        <v>4100</v>
      </c>
      <c r="H1351" t="s">
        <v>175</v>
      </c>
      <c r="I1351" s="3" t="str">
        <f t="shared" si="63"/>
        <v>2024-05</v>
      </c>
      <c r="J1351" s="1">
        <f t="shared" si="64"/>
        <v>45803</v>
      </c>
      <c r="K1351" t="str">
        <f t="shared" si="65"/>
        <v>ACTIVE</v>
      </c>
    </row>
    <row r="1352" spans="1:11">
      <c r="A1352">
        <v>227</v>
      </c>
      <c r="B1352" t="s">
        <v>45</v>
      </c>
      <c r="C1352" s="1">
        <v>45646</v>
      </c>
      <c r="D1352" s="2" t="s">
        <v>25</v>
      </c>
      <c r="E1352" t="s">
        <v>32</v>
      </c>
      <c r="G1352" s="3">
        <v>2271</v>
      </c>
      <c r="H1352" t="s">
        <v>174</v>
      </c>
      <c r="I1352" s="3" t="str">
        <f t="shared" si="63"/>
        <v>2024-12</v>
      </c>
      <c r="J1352" s="1">
        <f t="shared" si="64"/>
        <v>45829</v>
      </c>
      <c r="K1352" t="str">
        <f t="shared" si="65"/>
        <v>ACTIVE</v>
      </c>
    </row>
    <row r="1353" spans="1:11">
      <c r="A1353">
        <v>1471</v>
      </c>
      <c r="B1353" t="s">
        <v>88</v>
      </c>
      <c r="C1353" s="1">
        <v>45599</v>
      </c>
      <c r="D1353" s="2" t="s">
        <v>25</v>
      </c>
      <c r="E1353" t="s">
        <v>34</v>
      </c>
      <c r="G1353" s="3">
        <v>2328</v>
      </c>
      <c r="H1353" t="s">
        <v>176</v>
      </c>
      <c r="I1353" s="3" t="str">
        <f t="shared" si="63"/>
        <v>2024-11</v>
      </c>
      <c r="J1353" s="1">
        <f t="shared" si="64"/>
        <v>45763</v>
      </c>
      <c r="K1353" t="str">
        <f t="shared" si="65"/>
        <v>ACTIVE</v>
      </c>
    </row>
    <row r="1354" spans="1:11">
      <c r="A1354">
        <v>1</v>
      </c>
      <c r="B1354" t="s">
        <v>42</v>
      </c>
      <c r="C1354" s="1">
        <v>45406</v>
      </c>
      <c r="D1354" s="2" t="s">
        <v>24</v>
      </c>
      <c r="E1354" t="s">
        <v>33</v>
      </c>
      <c r="G1354" s="3">
        <v>1712</v>
      </c>
      <c r="H1354" t="s">
        <v>176</v>
      </c>
      <c r="I1354" s="3" t="str">
        <f t="shared" si="63"/>
        <v>2024-04</v>
      </c>
      <c r="J1354" s="1">
        <f t="shared" si="64"/>
        <v>45803</v>
      </c>
      <c r="K1354" t="str">
        <f t="shared" si="65"/>
        <v>ACTIVE</v>
      </c>
    </row>
    <row r="1355" spans="1:11">
      <c r="A1355">
        <v>402</v>
      </c>
      <c r="B1355" t="s">
        <v>85</v>
      </c>
      <c r="C1355" s="1">
        <v>45661</v>
      </c>
      <c r="D1355" s="2" t="s">
        <v>28</v>
      </c>
      <c r="E1355" t="s">
        <v>32</v>
      </c>
      <c r="G1355" s="3">
        <v>408</v>
      </c>
      <c r="H1355" t="s">
        <v>174</v>
      </c>
      <c r="I1355" s="3" t="str">
        <f t="shared" si="63"/>
        <v>2025-01</v>
      </c>
      <c r="J1355" s="1">
        <f t="shared" si="64"/>
        <v>45826</v>
      </c>
      <c r="K1355" t="str">
        <f t="shared" si="65"/>
        <v>ACTIVE</v>
      </c>
    </row>
    <row r="1356" spans="1:11">
      <c r="A1356">
        <v>1104</v>
      </c>
      <c r="B1356" t="s">
        <v>80</v>
      </c>
      <c r="C1356" s="1">
        <v>45523</v>
      </c>
      <c r="D1356" s="2" t="s">
        <v>25</v>
      </c>
      <c r="E1356" t="s">
        <v>33</v>
      </c>
      <c r="G1356" s="3">
        <v>2284</v>
      </c>
      <c r="H1356" t="s">
        <v>173</v>
      </c>
      <c r="I1356" s="3" t="str">
        <f t="shared" si="63"/>
        <v>2024-08</v>
      </c>
      <c r="J1356" s="1">
        <f t="shared" si="64"/>
        <v>45788</v>
      </c>
      <c r="K1356" t="str">
        <f t="shared" si="65"/>
        <v>ACTIVE</v>
      </c>
    </row>
    <row r="1357" spans="1:11">
      <c r="A1357">
        <v>85</v>
      </c>
      <c r="B1357" t="s">
        <v>150</v>
      </c>
      <c r="C1357" s="1">
        <v>45758</v>
      </c>
      <c r="D1357" s="2" t="s">
        <v>24</v>
      </c>
      <c r="E1357" t="s">
        <v>33</v>
      </c>
      <c r="G1357" s="3">
        <v>2057</v>
      </c>
      <c r="H1357" t="s">
        <v>172</v>
      </c>
      <c r="I1357" s="3" t="str">
        <f t="shared" si="63"/>
        <v>2025-04</v>
      </c>
      <c r="J1357" s="1">
        <f t="shared" si="64"/>
        <v>45827</v>
      </c>
      <c r="K1357" t="str">
        <f t="shared" si="65"/>
        <v>ACTIVE</v>
      </c>
    </row>
    <row r="1358" spans="1:11">
      <c r="A1358">
        <v>163</v>
      </c>
      <c r="B1358" t="s">
        <v>153</v>
      </c>
      <c r="C1358" s="1">
        <v>45367</v>
      </c>
      <c r="D1358" s="2" t="s">
        <v>24</v>
      </c>
      <c r="E1358" t="s">
        <v>30</v>
      </c>
      <c r="G1358" s="3">
        <v>980</v>
      </c>
      <c r="H1358" t="s">
        <v>175</v>
      </c>
      <c r="I1358" s="3" t="str">
        <f t="shared" si="63"/>
        <v>2024-03</v>
      </c>
      <c r="J1358" s="1">
        <f t="shared" si="64"/>
        <v>45690</v>
      </c>
      <c r="K1358" t="str">
        <f t="shared" si="65"/>
        <v>LAPSED</v>
      </c>
    </row>
    <row r="1359" spans="1:11">
      <c r="A1359">
        <v>115</v>
      </c>
      <c r="B1359" t="s">
        <v>53</v>
      </c>
      <c r="C1359" s="1">
        <v>45668</v>
      </c>
      <c r="D1359" s="2" t="s">
        <v>24</v>
      </c>
      <c r="E1359" t="s">
        <v>35</v>
      </c>
      <c r="G1359" s="3">
        <v>2246</v>
      </c>
      <c r="H1359" t="s">
        <v>175</v>
      </c>
      <c r="I1359" s="3" t="str">
        <f t="shared" si="63"/>
        <v>2025-01</v>
      </c>
      <c r="J1359" s="1">
        <f t="shared" si="64"/>
        <v>45779</v>
      </c>
      <c r="K1359" t="str">
        <f t="shared" si="65"/>
        <v>ACTIVE</v>
      </c>
    </row>
    <row r="1360" spans="1:11">
      <c r="A1360">
        <v>671</v>
      </c>
      <c r="B1360" t="s">
        <v>111</v>
      </c>
      <c r="C1360" s="1">
        <v>45731</v>
      </c>
      <c r="D1360" s="2" t="s">
        <v>24</v>
      </c>
      <c r="E1360" t="s">
        <v>33</v>
      </c>
      <c r="G1360" s="3">
        <v>1183</v>
      </c>
      <c r="H1360" t="s">
        <v>172</v>
      </c>
      <c r="I1360" s="3" t="str">
        <f t="shared" si="63"/>
        <v>2025-03</v>
      </c>
      <c r="J1360" s="1">
        <f t="shared" si="64"/>
        <v>45829</v>
      </c>
      <c r="K1360" t="str">
        <f t="shared" si="65"/>
        <v>ACTIVE</v>
      </c>
    </row>
    <row r="1361" spans="1:11">
      <c r="A1361">
        <v>1175</v>
      </c>
      <c r="B1361" t="s">
        <v>116</v>
      </c>
      <c r="C1361" s="1">
        <v>45788</v>
      </c>
      <c r="D1361" s="2" t="s">
        <v>27</v>
      </c>
      <c r="E1361" t="s">
        <v>35</v>
      </c>
      <c r="G1361" s="3">
        <v>261</v>
      </c>
      <c r="H1361" t="s">
        <v>173</v>
      </c>
      <c r="I1361" s="3" t="str">
        <f t="shared" si="63"/>
        <v>2025-05</v>
      </c>
      <c r="J1361" s="1">
        <f t="shared" si="64"/>
        <v>45829</v>
      </c>
      <c r="K1361" t="str">
        <f t="shared" si="65"/>
        <v>ACTIVE</v>
      </c>
    </row>
    <row r="1362" spans="1:11">
      <c r="A1362">
        <v>1377</v>
      </c>
      <c r="B1362" t="s">
        <v>121</v>
      </c>
      <c r="C1362" s="1">
        <v>45404</v>
      </c>
      <c r="D1362" s="2" t="s">
        <v>27</v>
      </c>
      <c r="E1362" t="s">
        <v>34</v>
      </c>
      <c r="G1362" s="3">
        <v>1986</v>
      </c>
      <c r="H1362" t="s">
        <v>172</v>
      </c>
      <c r="I1362" s="3" t="str">
        <f t="shared" si="63"/>
        <v>2024-04</v>
      </c>
      <c r="J1362" s="1">
        <f t="shared" si="64"/>
        <v>45798</v>
      </c>
      <c r="K1362" t="str">
        <f t="shared" si="65"/>
        <v>ACTIVE</v>
      </c>
    </row>
    <row r="1363" spans="1:11">
      <c r="A1363">
        <v>890</v>
      </c>
      <c r="B1363" t="s">
        <v>72</v>
      </c>
      <c r="C1363" s="1">
        <v>45775</v>
      </c>
      <c r="D1363" s="2" t="s">
        <v>26</v>
      </c>
      <c r="E1363" t="s">
        <v>34</v>
      </c>
      <c r="G1363" s="3">
        <v>655</v>
      </c>
      <c r="H1363" t="s">
        <v>173</v>
      </c>
      <c r="I1363" s="3" t="str">
        <f t="shared" si="63"/>
        <v>2025-04</v>
      </c>
      <c r="J1363" s="1">
        <f t="shared" si="64"/>
        <v>45815</v>
      </c>
      <c r="K1363" t="str">
        <f t="shared" si="65"/>
        <v>ACTIVE</v>
      </c>
    </row>
    <row r="1364" spans="1:11">
      <c r="A1364">
        <v>626</v>
      </c>
      <c r="B1364" t="s">
        <v>42</v>
      </c>
      <c r="C1364" s="1">
        <v>45603</v>
      </c>
      <c r="D1364" s="2" t="s">
        <v>25</v>
      </c>
      <c r="E1364" t="s">
        <v>33</v>
      </c>
      <c r="G1364" s="3">
        <v>1714</v>
      </c>
      <c r="H1364" t="s">
        <v>172</v>
      </c>
      <c r="I1364" s="3" t="str">
        <f t="shared" si="63"/>
        <v>2024-11</v>
      </c>
      <c r="J1364" s="1">
        <f t="shared" si="64"/>
        <v>45803</v>
      </c>
      <c r="K1364" t="str">
        <f t="shared" si="65"/>
        <v>ACTIVE</v>
      </c>
    </row>
    <row r="1365" spans="1:11">
      <c r="A1365">
        <v>1767</v>
      </c>
      <c r="B1365" t="s">
        <v>125</v>
      </c>
      <c r="C1365" s="1">
        <v>45420</v>
      </c>
      <c r="D1365" s="2" t="s">
        <v>27</v>
      </c>
      <c r="E1365" t="s">
        <v>30</v>
      </c>
      <c r="G1365" s="3">
        <v>2056</v>
      </c>
      <c r="H1365" t="s">
        <v>174</v>
      </c>
      <c r="I1365" s="3" t="str">
        <f t="shared" si="63"/>
        <v>2024-05</v>
      </c>
      <c r="J1365" s="1">
        <f t="shared" si="64"/>
        <v>45784</v>
      </c>
      <c r="K1365" t="str">
        <f t="shared" si="65"/>
        <v>ACTIVE</v>
      </c>
    </row>
    <row r="1366" spans="1:11">
      <c r="A1366">
        <v>953</v>
      </c>
      <c r="B1366" t="s">
        <v>54</v>
      </c>
      <c r="C1366" s="1">
        <v>45772</v>
      </c>
      <c r="D1366" s="2" t="s">
        <v>24</v>
      </c>
      <c r="E1366" t="s">
        <v>32</v>
      </c>
      <c r="G1366" s="3">
        <v>872</v>
      </c>
      <c r="H1366" t="s">
        <v>173</v>
      </c>
      <c r="I1366" s="3" t="str">
        <f t="shared" si="63"/>
        <v>2025-04</v>
      </c>
      <c r="J1366" s="1">
        <f t="shared" si="64"/>
        <v>45825</v>
      </c>
      <c r="K1366" t="str">
        <f t="shared" si="65"/>
        <v>ACTIVE</v>
      </c>
    </row>
    <row r="1367" spans="1:11">
      <c r="A1367">
        <v>808</v>
      </c>
      <c r="B1367" t="s">
        <v>120</v>
      </c>
      <c r="C1367" s="1">
        <v>45689</v>
      </c>
      <c r="D1367" s="2" t="s">
        <v>26</v>
      </c>
      <c r="E1367" t="s">
        <v>31</v>
      </c>
      <c r="G1367" s="3">
        <v>1581</v>
      </c>
      <c r="H1367" t="s">
        <v>174</v>
      </c>
      <c r="I1367" s="3" t="str">
        <f t="shared" si="63"/>
        <v>2025-02</v>
      </c>
      <c r="J1367" s="1">
        <f t="shared" si="64"/>
        <v>45817</v>
      </c>
      <c r="K1367" t="str">
        <f t="shared" si="65"/>
        <v>ACTIVE</v>
      </c>
    </row>
    <row r="1368" spans="1:11">
      <c r="A1368">
        <v>259</v>
      </c>
      <c r="B1368" t="s">
        <v>68</v>
      </c>
      <c r="C1368" s="1">
        <v>45427</v>
      </c>
      <c r="D1368" s="2" t="s">
        <v>27</v>
      </c>
      <c r="E1368" t="s">
        <v>30</v>
      </c>
      <c r="G1368" s="3">
        <v>5657</v>
      </c>
      <c r="H1368" t="s">
        <v>173</v>
      </c>
      <c r="I1368" s="3" t="str">
        <f t="shared" si="63"/>
        <v>2024-05</v>
      </c>
      <c r="J1368" s="1">
        <f t="shared" si="64"/>
        <v>45776</v>
      </c>
      <c r="K1368" t="str">
        <f t="shared" si="65"/>
        <v>ACTIVE</v>
      </c>
    </row>
    <row r="1369" spans="1:11">
      <c r="A1369">
        <v>625</v>
      </c>
      <c r="B1369" t="s">
        <v>97</v>
      </c>
      <c r="C1369" s="1">
        <v>45309</v>
      </c>
      <c r="D1369" s="2" t="s">
        <v>24</v>
      </c>
      <c r="E1369" t="s">
        <v>31</v>
      </c>
      <c r="G1369" s="3">
        <v>4278</v>
      </c>
      <c r="H1369" t="s">
        <v>173</v>
      </c>
      <c r="I1369" s="3" t="str">
        <f t="shared" si="63"/>
        <v>2024-01</v>
      </c>
      <c r="J1369" s="1">
        <f t="shared" si="64"/>
        <v>45794</v>
      </c>
      <c r="K1369" t="str">
        <f t="shared" si="65"/>
        <v>ACTIVE</v>
      </c>
    </row>
    <row r="1370" spans="1:11">
      <c r="A1370">
        <v>827</v>
      </c>
      <c r="B1370" t="s">
        <v>98</v>
      </c>
      <c r="C1370" s="1">
        <v>45494</v>
      </c>
      <c r="D1370" s="2" t="s">
        <v>27</v>
      </c>
      <c r="E1370" t="s">
        <v>35</v>
      </c>
      <c r="G1370" s="3">
        <v>980</v>
      </c>
      <c r="H1370" t="s">
        <v>172</v>
      </c>
      <c r="I1370" s="3" t="str">
        <f t="shared" si="63"/>
        <v>2024-07</v>
      </c>
      <c r="J1370" s="1">
        <f t="shared" si="64"/>
        <v>45767</v>
      </c>
      <c r="K1370" t="str">
        <f t="shared" si="65"/>
        <v>ACTIVE</v>
      </c>
    </row>
    <row r="1371" spans="1:11">
      <c r="A1371">
        <v>235</v>
      </c>
      <c r="B1371" t="s">
        <v>159</v>
      </c>
      <c r="C1371" s="1">
        <v>45681</v>
      </c>
      <c r="D1371" s="2" t="s">
        <v>24</v>
      </c>
      <c r="E1371" t="s">
        <v>32</v>
      </c>
      <c r="G1371" s="3">
        <v>4861</v>
      </c>
      <c r="H1371" t="s">
        <v>175</v>
      </c>
      <c r="I1371" s="3" t="str">
        <f t="shared" si="63"/>
        <v>2025-01</v>
      </c>
      <c r="J1371" s="1">
        <f t="shared" si="64"/>
        <v>45713</v>
      </c>
      <c r="K1371" t="str">
        <f t="shared" si="65"/>
        <v>LAPSED</v>
      </c>
    </row>
    <row r="1372" spans="1:11">
      <c r="A1372">
        <v>136</v>
      </c>
      <c r="B1372" t="s">
        <v>55</v>
      </c>
      <c r="C1372" s="1">
        <v>45523</v>
      </c>
      <c r="D1372" s="2" t="s">
        <v>27</v>
      </c>
      <c r="E1372" t="s">
        <v>34</v>
      </c>
      <c r="G1372" s="3">
        <v>2844</v>
      </c>
      <c r="H1372" t="s">
        <v>176</v>
      </c>
      <c r="I1372" s="3" t="str">
        <f t="shared" si="63"/>
        <v>2024-08</v>
      </c>
      <c r="J1372" s="1">
        <f t="shared" si="64"/>
        <v>45824</v>
      </c>
      <c r="K1372" t="str">
        <f t="shared" si="65"/>
        <v>ACTIVE</v>
      </c>
    </row>
    <row r="1373" spans="1:11">
      <c r="A1373">
        <v>617</v>
      </c>
      <c r="B1373" t="s">
        <v>134</v>
      </c>
      <c r="C1373" s="1">
        <v>45319</v>
      </c>
      <c r="D1373" s="2" t="s">
        <v>25</v>
      </c>
      <c r="E1373" t="s">
        <v>33</v>
      </c>
      <c r="G1373" s="3">
        <v>2300</v>
      </c>
      <c r="H1373" t="s">
        <v>173</v>
      </c>
      <c r="I1373" s="3" t="str">
        <f t="shared" si="63"/>
        <v>2024-01</v>
      </c>
      <c r="J1373" s="1">
        <f t="shared" si="64"/>
        <v>45776</v>
      </c>
      <c r="K1373" t="str">
        <f t="shared" si="65"/>
        <v>ACTIVE</v>
      </c>
    </row>
    <row r="1374" spans="1:11">
      <c r="A1374">
        <v>1768</v>
      </c>
      <c r="B1374" t="s">
        <v>39</v>
      </c>
      <c r="C1374" s="1">
        <v>45313</v>
      </c>
      <c r="D1374" s="2" t="s">
        <v>28</v>
      </c>
      <c r="E1374" t="s">
        <v>32</v>
      </c>
      <c r="G1374" s="3">
        <v>285</v>
      </c>
      <c r="H1374" t="s">
        <v>172</v>
      </c>
      <c r="I1374" s="3" t="str">
        <f t="shared" si="63"/>
        <v>2024-01</v>
      </c>
      <c r="J1374" s="1">
        <f t="shared" si="64"/>
        <v>45795</v>
      </c>
      <c r="K1374" t="str">
        <f t="shared" si="65"/>
        <v>ACTIVE</v>
      </c>
    </row>
    <row r="1375" spans="1:11">
      <c r="A1375">
        <v>837</v>
      </c>
      <c r="B1375" t="s">
        <v>75</v>
      </c>
      <c r="C1375" s="1">
        <v>45381</v>
      </c>
      <c r="D1375" s="2" t="s">
        <v>23</v>
      </c>
      <c r="E1375" t="s">
        <v>32</v>
      </c>
      <c r="G1375" s="3">
        <v>1738</v>
      </c>
      <c r="H1375" t="s">
        <v>176</v>
      </c>
      <c r="I1375" s="3" t="str">
        <f t="shared" si="63"/>
        <v>2024-03</v>
      </c>
      <c r="J1375" s="1">
        <f t="shared" si="64"/>
        <v>45772</v>
      </c>
      <c r="K1375" t="str">
        <f t="shared" si="65"/>
        <v>ACTIVE</v>
      </c>
    </row>
    <row r="1376" spans="1:11">
      <c r="A1376">
        <v>843</v>
      </c>
      <c r="B1376" t="s">
        <v>101</v>
      </c>
      <c r="C1376" s="1">
        <v>45421</v>
      </c>
      <c r="D1376" s="2" t="s">
        <v>23</v>
      </c>
      <c r="E1376" t="s">
        <v>35</v>
      </c>
      <c r="G1376" s="3">
        <v>1685</v>
      </c>
      <c r="H1376" t="s">
        <v>176</v>
      </c>
      <c r="I1376" s="3" t="str">
        <f t="shared" si="63"/>
        <v>2024-05</v>
      </c>
      <c r="J1376" s="1">
        <f t="shared" si="64"/>
        <v>45823</v>
      </c>
      <c r="K1376" t="str">
        <f t="shared" si="65"/>
        <v>ACTIVE</v>
      </c>
    </row>
    <row r="1377" spans="1:11">
      <c r="A1377">
        <v>960</v>
      </c>
      <c r="B1377" t="s">
        <v>158</v>
      </c>
      <c r="C1377" s="1">
        <v>45543</v>
      </c>
      <c r="D1377" s="2" t="s">
        <v>28</v>
      </c>
      <c r="E1377" t="s">
        <v>31</v>
      </c>
      <c r="G1377" s="3">
        <v>455</v>
      </c>
      <c r="H1377" t="s">
        <v>172</v>
      </c>
      <c r="I1377" s="3" t="str">
        <f t="shared" si="63"/>
        <v>2024-09</v>
      </c>
      <c r="J1377" s="1">
        <f t="shared" si="64"/>
        <v>45740</v>
      </c>
      <c r="K1377" t="str">
        <f t="shared" si="65"/>
        <v>LAPSED</v>
      </c>
    </row>
    <row r="1378" spans="1:11">
      <c r="A1378">
        <v>593</v>
      </c>
      <c r="B1378" t="s">
        <v>116</v>
      </c>
      <c r="C1378" s="1">
        <v>45536</v>
      </c>
      <c r="D1378" s="2" t="s">
        <v>25</v>
      </c>
      <c r="E1378" t="s">
        <v>34</v>
      </c>
      <c r="G1378" s="3">
        <v>320</v>
      </c>
      <c r="H1378" t="s">
        <v>172</v>
      </c>
      <c r="I1378" s="3" t="str">
        <f t="shared" si="63"/>
        <v>2024-09</v>
      </c>
      <c r="J1378" s="1">
        <f t="shared" si="64"/>
        <v>45829</v>
      </c>
      <c r="K1378" t="str">
        <f t="shared" si="65"/>
        <v>ACTIVE</v>
      </c>
    </row>
    <row r="1379" spans="1:11">
      <c r="A1379">
        <v>1315</v>
      </c>
      <c r="B1379" t="s">
        <v>96</v>
      </c>
      <c r="C1379" s="1">
        <v>45489</v>
      </c>
      <c r="D1379" s="2" t="s">
        <v>27</v>
      </c>
      <c r="E1379" t="s">
        <v>30</v>
      </c>
      <c r="G1379" s="3">
        <v>313</v>
      </c>
      <c r="H1379" t="s">
        <v>172</v>
      </c>
      <c r="I1379" s="3" t="str">
        <f t="shared" si="63"/>
        <v>2024-07</v>
      </c>
      <c r="J1379" s="1">
        <f t="shared" si="64"/>
        <v>45798</v>
      </c>
      <c r="K1379" t="str">
        <f t="shared" si="65"/>
        <v>ACTIVE</v>
      </c>
    </row>
    <row r="1380" spans="1:11">
      <c r="A1380">
        <v>1292</v>
      </c>
      <c r="B1380" t="s">
        <v>91</v>
      </c>
      <c r="C1380" s="1">
        <v>45313</v>
      </c>
      <c r="D1380" s="2" t="s">
        <v>24</v>
      </c>
      <c r="E1380" t="s">
        <v>33</v>
      </c>
      <c r="G1380" s="3">
        <v>492</v>
      </c>
      <c r="H1380" t="s">
        <v>175</v>
      </c>
      <c r="I1380" s="3" t="str">
        <f t="shared" si="63"/>
        <v>2024-01</v>
      </c>
      <c r="J1380" s="1">
        <f t="shared" si="64"/>
        <v>45785</v>
      </c>
      <c r="K1380" t="str">
        <f t="shared" si="65"/>
        <v>ACTIVE</v>
      </c>
    </row>
    <row r="1381" spans="1:11">
      <c r="A1381">
        <v>344</v>
      </c>
      <c r="B1381" t="s">
        <v>103</v>
      </c>
      <c r="C1381" s="1">
        <v>45330</v>
      </c>
      <c r="D1381" s="2" t="s">
        <v>26</v>
      </c>
      <c r="E1381" t="s">
        <v>30</v>
      </c>
      <c r="G1381" s="3">
        <v>0</v>
      </c>
      <c r="H1381" t="s">
        <v>174</v>
      </c>
      <c r="I1381" s="3" t="str">
        <f t="shared" si="63"/>
        <v>2024-02</v>
      </c>
      <c r="J1381" s="1">
        <f t="shared" si="64"/>
        <v>45821</v>
      </c>
      <c r="K1381" t="str">
        <f t="shared" si="65"/>
        <v>ACTIVE</v>
      </c>
    </row>
    <row r="1382" spans="1:11">
      <c r="A1382">
        <v>1492</v>
      </c>
      <c r="B1382" t="s">
        <v>51</v>
      </c>
      <c r="C1382" s="1">
        <v>45657</v>
      </c>
      <c r="D1382" s="2" t="s">
        <v>28</v>
      </c>
      <c r="E1382" t="s">
        <v>32</v>
      </c>
      <c r="G1382" s="3">
        <v>2312</v>
      </c>
      <c r="H1382" t="s">
        <v>174</v>
      </c>
      <c r="I1382" s="3" t="str">
        <f t="shared" si="63"/>
        <v>2024-12</v>
      </c>
      <c r="J1382" s="1">
        <f t="shared" si="64"/>
        <v>45775</v>
      </c>
      <c r="K1382" t="str">
        <f t="shared" si="65"/>
        <v>ACTIVE</v>
      </c>
    </row>
    <row r="1383" spans="1:11">
      <c r="A1383">
        <v>294</v>
      </c>
      <c r="B1383" t="s">
        <v>153</v>
      </c>
      <c r="C1383" s="1">
        <v>45519</v>
      </c>
      <c r="D1383" s="2" t="s">
        <v>27</v>
      </c>
      <c r="E1383" t="s">
        <v>32</v>
      </c>
      <c r="G1383" s="3">
        <v>5373</v>
      </c>
      <c r="H1383" t="s">
        <v>176</v>
      </c>
      <c r="I1383" s="3" t="str">
        <f t="shared" si="63"/>
        <v>2024-08</v>
      </c>
      <c r="J1383" s="1">
        <f t="shared" si="64"/>
        <v>45690</v>
      </c>
      <c r="K1383" t="str">
        <f t="shared" si="65"/>
        <v>LAPSED</v>
      </c>
    </row>
    <row r="1384" spans="1:11">
      <c r="A1384">
        <v>365</v>
      </c>
      <c r="B1384" t="s">
        <v>136</v>
      </c>
      <c r="C1384" s="1">
        <v>45347</v>
      </c>
      <c r="D1384" s="2" t="s">
        <v>27</v>
      </c>
      <c r="E1384" t="s">
        <v>32</v>
      </c>
      <c r="G1384" s="3">
        <v>5120</v>
      </c>
      <c r="H1384" t="s">
        <v>175</v>
      </c>
      <c r="I1384" s="3" t="str">
        <f t="shared" si="63"/>
        <v>2024-02</v>
      </c>
      <c r="J1384" s="1">
        <f t="shared" si="64"/>
        <v>45823</v>
      </c>
      <c r="K1384" t="str">
        <f t="shared" si="65"/>
        <v>ACTIVE</v>
      </c>
    </row>
    <row r="1385" spans="1:11">
      <c r="A1385">
        <v>179</v>
      </c>
      <c r="B1385" t="s">
        <v>111</v>
      </c>
      <c r="C1385" s="1">
        <v>45319</v>
      </c>
      <c r="D1385" s="2" t="s">
        <v>28</v>
      </c>
      <c r="E1385" t="s">
        <v>31</v>
      </c>
      <c r="G1385" s="3">
        <v>2177</v>
      </c>
      <c r="H1385" t="s">
        <v>175</v>
      </c>
      <c r="I1385" s="3" t="str">
        <f t="shared" si="63"/>
        <v>2024-01</v>
      </c>
      <c r="J1385" s="1">
        <f t="shared" si="64"/>
        <v>45829</v>
      </c>
      <c r="K1385" t="str">
        <f t="shared" si="65"/>
        <v>ACTIVE</v>
      </c>
    </row>
    <row r="1386" spans="1:11">
      <c r="A1386">
        <v>660</v>
      </c>
      <c r="B1386" t="s">
        <v>150</v>
      </c>
      <c r="C1386" s="1">
        <v>45533</v>
      </c>
      <c r="D1386" s="2" t="s">
        <v>28</v>
      </c>
      <c r="E1386" t="s">
        <v>33</v>
      </c>
      <c r="G1386" s="3">
        <v>1264</v>
      </c>
      <c r="H1386" t="s">
        <v>172</v>
      </c>
      <c r="I1386" s="3" t="str">
        <f t="shared" si="63"/>
        <v>2024-08</v>
      </c>
      <c r="J1386" s="1">
        <f t="shared" si="64"/>
        <v>45827</v>
      </c>
      <c r="K1386" t="str">
        <f t="shared" si="65"/>
        <v>ACTIVE</v>
      </c>
    </row>
    <row r="1387" spans="1:11">
      <c r="A1387">
        <v>997</v>
      </c>
      <c r="B1387" t="s">
        <v>132</v>
      </c>
      <c r="C1387" s="1">
        <v>45822</v>
      </c>
      <c r="D1387" s="2" t="s">
        <v>23</v>
      </c>
      <c r="E1387" t="s">
        <v>32</v>
      </c>
      <c r="G1387" s="3">
        <v>908</v>
      </c>
      <c r="H1387" t="s">
        <v>175</v>
      </c>
      <c r="I1387" s="3" t="str">
        <f t="shared" si="63"/>
        <v>2025-06</v>
      </c>
      <c r="J1387" s="1">
        <f t="shared" si="64"/>
        <v>45822</v>
      </c>
      <c r="K1387" t="str">
        <f t="shared" si="65"/>
        <v>ACTIVE</v>
      </c>
    </row>
    <row r="1388" spans="1:11">
      <c r="A1388">
        <v>15</v>
      </c>
      <c r="B1388" t="s">
        <v>49</v>
      </c>
      <c r="C1388" s="1">
        <v>45372</v>
      </c>
      <c r="D1388" s="2" t="s">
        <v>28</v>
      </c>
      <c r="E1388" t="s">
        <v>34</v>
      </c>
      <c r="G1388" s="3">
        <v>11063</v>
      </c>
      <c r="H1388" t="s">
        <v>172</v>
      </c>
      <c r="I1388" s="3" t="str">
        <f t="shared" si="63"/>
        <v>2024-03</v>
      </c>
      <c r="J1388" s="1">
        <f t="shared" si="64"/>
        <v>45812</v>
      </c>
      <c r="K1388" t="str">
        <f t="shared" si="65"/>
        <v>ACTIVE</v>
      </c>
    </row>
    <row r="1389" spans="1:11">
      <c r="A1389">
        <v>1111</v>
      </c>
      <c r="B1389" t="s">
        <v>117</v>
      </c>
      <c r="C1389" s="1">
        <v>45737</v>
      </c>
      <c r="D1389" s="2" t="s">
        <v>24</v>
      </c>
      <c r="E1389" t="s">
        <v>33</v>
      </c>
      <c r="G1389" s="3">
        <v>573</v>
      </c>
      <c r="H1389" t="s">
        <v>173</v>
      </c>
      <c r="I1389" s="3" t="str">
        <f t="shared" si="63"/>
        <v>2025-03</v>
      </c>
      <c r="J1389" s="1">
        <f t="shared" si="64"/>
        <v>45790</v>
      </c>
      <c r="K1389" t="str">
        <f t="shared" si="65"/>
        <v>ACTIVE</v>
      </c>
    </row>
    <row r="1390" spans="1:11">
      <c r="A1390">
        <v>1395</v>
      </c>
      <c r="B1390" t="s">
        <v>62</v>
      </c>
      <c r="C1390" s="1">
        <v>45594</v>
      </c>
      <c r="D1390" s="2" t="s">
        <v>24</v>
      </c>
      <c r="E1390" t="s">
        <v>30</v>
      </c>
      <c r="G1390" s="3">
        <v>10212</v>
      </c>
      <c r="H1390" t="s">
        <v>172</v>
      </c>
      <c r="I1390" s="3" t="str">
        <f t="shared" si="63"/>
        <v>2024-10</v>
      </c>
      <c r="J1390" s="1">
        <f t="shared" si="64"/>
        <v>45815</v>
      </c>
      <c r="K1390" t="str">
        <f t="shared" si="65"/>
        <v>ACTIVE</v>
      </c>
    </row>
    <row r="1391" spans="1:11">
      <c r="A1391">
        <v>166</v>
      </c>
      <c r="B1391" t="s">
        <v>110</v>
      </c>
      <c r="C1391" s="1">
        <v>45464</v>
      </c>
      <c r="D1391" s="2" t="s">
        <v>23</v>
      </c>
      <c r="E1391" t="s">
        <v>33</v>
      </c>
      <c r="G1391" s="3">
        <v>1595</v>
      </c>
      <c r="H1391" t="s">
        <v>175</v>
      </c>
      <c r="I1391" s="3" t="str">
        <f t="shared" si="63"/>
        <v>2024-06</v>
      </c>
      <c r="J1391" s="1">
        <f t="shared" si="64"/>
        <v>45816</v>
      </c>
      <c r="K1391" t="str">
        <f t="shared" si="65"/>
        <v>ACTIVE</v>
      </c>
    </row>
    <row r="1392" spans="1:11">
      <c r="A1392">
        <v>1696</v>
      </c>
      <c r="B1392" t="s">
        <v>122</v>
      </c>
      <c r="C1392" s="1">
        <v>45781</v>
      </c>
      <c r="D1392" s="2" t="s">
        <v>28</v>
      </c>
      <c r="E1392" t="s">
        <v>31</v>
      </c>
      <c r="G1392" s="3">
        <v>640</v>
      </c>
      <c r="H1392" t="s">
        <v>174</v>
      </c>
      <c r="I1392" s="3" t="str">
        <f t="shared" si="63"/>
        <v>2025-05</v>
      </c>
      <c r="J1392" s="1">
        <f t="shared" si="64"/>
        <v>45793</v>
      </c>
      <c r="K1392" t="str">
        <f t="shared" si="65"/>
        <v>ACTIVE</v>
      </c>
    </row>
    <row r="1393" spans="1:11">
      <c r="A1393">
        <v>1360</v>
      </c>
      <c r="B1393" t="s">
        <v>142</v>
      </c>
      <c r="C1393" s="1">
        <v>45337</v>
      </c>
      <c r="D1393" s="2" t="s">
        <v>23</v>
      </c>
      <c r="E1393" t="s">
        <v>32</v>
      </c>
      <c r="G1393" s="3">
        <v>11809</v>
      </c>
      <c r="H1393" t="s">
        <v>173</v>
      </c>
      <c r="I1393" s="3" t="str">
        <f t="shared" si="63"/>
        <v>2024-02</v>
      </c>
      <c r="J1393" s="1">
        <f t="shared" si="64"/>
        <v>45803</v>
      </c>
      <c r="K1393" t="str">
        <f t="shared" si="65"/>
        <v>ACTIVE</v>
      </c>
    </row>
    <row r="1394" spans="1:11">
      <c r="A1394">
        <v>60</v>
      </c>
      <c r="B1394" t="s">
        <v>95</v>
      </c>
      <c r="C1394" s="1">
        <v>45787</v>
      </c>
      <c r="D1394" s="2" t="s">
        <v>28</v>
      </c>
      <c r="E1394" t="s">
        <v>30</v>
      </c>
      <c r="G1394" s="3">
        <v>2322</v>
      </c>
      <c r="H1394" t="s">
        <v>172</v>
      </c>
      <c r="I1394" s="3" t="str">
        <f t="shared" si="63"/>
        <v>2025-05</v>
      </c>
      <c r="J1394" s="1">
        <f t="shared" si="64"/>
        <v>45797</v>
      </c>
      <c r="K1394" t="str">
        <f t="shared" si="65"/>
        <v>ACTIVE</v>
      </c>
    </row>
    <row r="1395" spans="1:11">
      <c r="A1395">
        <v>710</v>
      </c>
      <c r="B1395" t="s">
        <v>149</v>
      </c>
      <c r="C1395" s="1">
        <v>45343</v>
      </c>
      <c r="D1395" s="2" t="s">
        <v>28</v>
      </c>
      <c r="E1395" t="s">
        <v>32</v>
      </c>
      <c r="G1395" s="3">
        <v>1190</v>
      </c>
      <c r="H1395" t="s">
        <v>175</v>
      </c>
      <c r="I1395" s="3" t="str">
        <f t="shared" si="63"/>
        <v>2024-02</v>
      </c>
      <c r="J1395" s="1">
        <f t="shared" si="64"/>
        <v>45795</v>
      </c>
      <c r="K1395" t="str">
        <f t="shared" si="65"/>
        <v>ACTIVE</v>
      </c>
    </row>
    <row r="1396" spans="1:11">
      <c r="A1396">
        <v>677</v>
      </c>
      <c r="B1396" t="s">
        <v>75</v>
      </c>
      <c r="C1396" s="1">
        <v>45682</v>
      </c>
      <c r="D1396" s="2" t="s">
        <v>28</v>
      </c>
      <c r="E1396" t="s">
        <v>30</v>
      </c>
      <c r="G1396" s="3">
        <v>4264</v>
      </c>
      <c r="H1396" t="s">
        <v>175</v>
      </c>
      <c r="I1396" s="3" t="str">
        <f t="shared" si="63"/>
        <v>2025-01</v>
      </c>
      <c r="J1396" s="1">
        <f t="shared" si="64"/>
        <v>45772</v>
      </c>
      <c r="K1396" t="str">
        <f t="shared" si="65"/>
        <v>ACTIVE</v>
      </c>
    </row>
    <row r="1397" spans="1:11">
      <c r="A1397">
        <v>1379</v>
      </c>
      <c r="B1397" t="s">
        <v>51</v>
      </c>
      <c r="C1397" s="1">
        <v>45410</v>
      </c>
      <c r="D1397" s="2" t="s">
        <v>27</v>
      </c>
      <c r="E1397" t="s">
        <v>33</v>
      </c>
      <c r="G1397" s="3">
        <v>1644</v>
      </c>
      <c r="H1397" t="s">
        <v>175</v>
      </c>
      <c r="I1397" s="3" t="str">
        <f t="shared" si="63"/>
        <v>2024-04</v>
      </c>
      <c r="J1397" s="1">
        <f t="shared" si="64"/>
        <v>45775</v>
      </c>
      <c r="K1397" t="str">
        <f t="shared" si="65"/>
        <v>ACTIVE</v>
      </c>
    </row>
    <row r="1398" spans="1:11">
      <c r="A1398">
        <v>781</v>
      </c>
      <c r="B1398" t="s">
        <v>138</v>
      </c>
      <c r="C1398" s="1">
        <v>45593</v>
      </c>
      <c r="D1398" s="2" t="s">
        <v>23</v>
      </c>
      <c r="E1398" t="s">
        <v>35</v>
      </c>
      <c r="G1398" s="3">
        <v>10575</v>
      </c>
      <c r="H1398" t="s">
        <v>174</v>
      </c>
      <c r="I1398" s="3" t="str">
        <f t="shared" si="63"/>
        <v>2024-10</v>
      </c>
      <c r="J1398" s="1">
        <f t="shared" si="64"/>
        <v>45798</v>
      </c>
      <c r="K1398" t="str">
        <f t="shared" si="65"/>
        <v>ACTIVE</v>
      </c>
    </row>
    <row r="1399" spans="1:11">
      <c r="A1399">
        <v>425</v>
      </c>
      <c r="B1399" t="s">
        <v>100</v>
      </c>
      <c r="C1399" s="1">
        <v>45366</v>
      </c>
      <c r="D1399" s="2" t="s">
        <v>24</v>
      </c>
      <c r="E1399" t="s">
        <v>31</v>
      </c>
      <c r="G1399" s="3">
        <v>1121</v>
      </c>
      <c r="H1399" t="s">
        <v>174</v>
      </c>
      <c r="I1399" s="3" t="str">
        <f t="shared" si="63"/>
        <v>2024-03</v>
      </c>
      <c r="J1399" s="1">
        <f t="shared" si="64"/>
        <v>45779</v>
      </c>
      <c r="K1399" t="str">
        <f t="shared" si="65"/>
        <v>ACTIVE</v>
      </c>
    </row>
    <row r="1400" spans="1:11">
      <c r="A1400">
        <v>293</v>
      </c>
      <c r="B1400" t="s">
        <v>87</v>
      </c>
      <c r="C1400" s="1">
        <v>45323</v>
      </c>
      <c r="D1400" s="2" t="s">
        <v>28</v>
      </c>
      <c r="E1400" t="s">
        <v>35</v>
      </c>
      <c r="G1400" s="3">
        <v>8999</v>
      </c>
      <c r="H1400" t="s">
        <v>173</v>
      </c>
      <c r="I1400" s="3" t="str">
        <f t="shared" si="63"/>
        <v>2024-02</v>
      </c>
      <c r="J1400" s="1">
        <f t="shared" si="64"/>
        <v>45821</v>
      </c>
      <c r="K1400" t="str">
        <f t="shared" si="65"/>
        <v>ACTIVE</v>
      </c>
    </row>
    <row r="1401" spans="1:11">
      <c r="A1401">
        <v>1066</v>
      </c>
      <c r="B1401" t="s">
        <v>145</v>
      </c>
      <c r="C1401" s="1">
        <v>45636</v>
      </c>
      <c r="D1401" s="2" t="s">
        <v>24</v>
      </c>
      <c r="E1401" t="s">
        <v>35</v>
      </c>
      <c r="G1401" s="3">
        <v>1198</v>
      </c>
      <c r="H1401" t="s">
        <v>176</v>
      </c>
      <c r="I1401" s="3" t="str">
        <f t="shared" si="63"/>
        <v>2024-12</v>
      </c>
      <c r="J1401" s="1">
        <f t="shared" si="64"/>
        <v>45828</v>
      </c>
      <c r="K1401" t="str">
        <f t="shared" si="65"/>
        <v>ACTIVE</v>
      </c>
    </row>
    <row r="1402" spans="1:11">
      <c r="A1402">
        <v>1619</v>
      </c>
      <c r="B1402" t="s">
        <v>67</v>
      </c>
      <c r="C1402" s="1">
        <v>45439</v>
      </c>
      <c r="D1402" s="2" t="s">
        <v>27</v>
      </c>
      <c r="E1402" t="s">
        <v>31</v>
      </c>
      <c r="G1402" s="3">
        <v>5405</v>
      </c>
      <c r="H1402" t="s">
        <v>172</v>
      </c>
      <c r="I1402" s="3" t="str">
        <f t="shared" si="63"/>
        <v>2024-05</v>
      </c>
      <c r="J1402" s="1">
        <f t="shared" si="64"/>
        <v>45794</v>
      </c>
      <c r="K1402" t="str">
        <f t="shared" si="65"/>
        <v>ACTIVE</v>
      </c>
    </row>
    <row r="1403" spans="1:11">
      <c r="A1403">
        <v>330</v>
      </c>
      <c r="B1403" t="s">
        <v>110</v>
      </c>
      <c r="C1403" s="1">
        <v>45777</v>
      </c>
      <c r="D1403" s="2" t="s">
        <v>23</v>
      </c>
      <c r="E1403" t="s">
        <v>31</v>
      </c>
      <c r="G1403" s="3">
        <v>4327</v>
      </c>
      <c r="H1403" t="s">
        <v>174</v>
      </c>
      <c r="I1403" s="3" t="str">
        <f t="shared" si="63"/>
        <v>2025-04</v>
      </c>
      <c r="J1403" s="1">
        <f t="shared" si="64"/>
        <v>45816</v>
      </c>
      <c r="K1403" t="str">
        <f t="shared" si="65"/>
        <v>ACTIVE</v>
      </c>
    </row>
    <row r="1404" spans="1:11">
      <c r="A1404">
        <v>430</v>
      </c>
      <c r="B1404" t="s">
        <v>57</v>
      </c>
      <c r="C1404" s="1">
        <v>45656</v>
      </c>
      <c r="D1404" s="2" t="s">
        <v>25</v>
      </c>
      <c r="E1404" t="s">
        <v>34</v>
      </c>
      <c r="G1404" s="3">
        <v>1070</v>
      </c>
      <c r="H1404" t="s">
        <v>173</v>
      </c>
      <c r="I1404" s="3" t="str">
        <f t="shared" si="63"/>
        <v>2024-12</v>
      </c>
      <c r="J1404" s="1">
        <f t="shared" si="64"/>
        <v>45808</v>
      </c>
      <c r="K1404" t="str">
        <f t="shared" si="65"/>
        <v>ACTIVE</v>
      </c>
    </row>
    <row r="1405" spans="1:11">
      <c r="A1405">
        <v>1013</v>
      </c>
      <c r="B1405" t="s">
        <v>101</v>
      </c>
      <c r="C1405" s="1">
        <v>45501</v>
      </c>
      <c r="D1405" s="2" t="s">
        <v>26</v>
      </c>
      <c r="E1405" t="s">
        <v>35</v>
      </c>
      <c r="G1405" s="3">
        <v>256</v>
      </c>
      <c r="H1405" t="s">
        <v>172</v>
      </c>
      <c r="I1405" s="3" t="str">
        <f t="shared" si="63"/>
        <v>2024-07</v>
      </c>
      <c r="J1405" s="1">
        <f t="shared" si="64"/>
        <v>45823</v>
      </c>
      <c r="K1405" t="str">
        <f t="shared" si="65"/>
        <v>ACTIVE</v>
      </c>
    </row>
    <row r="1406" spans="1:11">
      <c r="A1406">
        <v>80</v>
      </c>
      <c r="B1406" t="s">
        <v>71</v>
      </c>
      <c r="C1406" s="1">
        <v>45500</v>
      </c>
      <c r="D1406" s="2" t="s">
        <v>23</v>
      </c>
      <c r="E1406" t="s">
        <v>33</v>
      </c>
      <c r="G1406" s="3">
        <v>2438</v>
      </c>
      <c r="H1406" t="s">
        <v>173</v>
      </c>
      <c r="I1406" s="3" t="str">
        <f t="shared" si="63"/>
        <v>2024-07</v>
      </c>
      <c r="J1406" s="1">
        <f t="shared" si="64"/>
        <v>45823</v>
      </c>
      <c r="K1406" t="str">
        <f t="shared" si="65"/>
        <v>ACTIVE</v>
      </c>
    </row>
    <row r="1407" spans="1:11">
      <c r="A1407">
        <v>1053</v>
      </c>
      <c r="B1407" t="s">
        <v>61</v>
      </c>
      <c r="C1407" s="1">
        <v>45331</v>
      </c>
      <c r="D1407" s="2" t="s">
        <v>23</v>
      </c>
      <c r="E1407" t="s">
        <v>32</v>
      </c>
      <c r="G1407" s="3">
        <v>4084</v>
      </c>
      <c r="H1407" t="s">
        <v>172</v>
      </c>
      <c r="I1407" s="3" t="str">
        <f t="shared" si="63"/>
        <v>2024-02</v>
      </c>
      <c r="J1407" s="1">
        <f t="shared" si="64"/>
        <v>45815</v>
      </c>
      <c r="K1407" t="str">
        <f t="shared" si="65"/>
        <v>ACTIVE</v>
      </c>
    </row>
    <row r="1408" spans="1:11">
      <c r="A1408">
        <v>938</v>
      </c>
      <c r="B1408" t="s">
        <v>127</v>
      </c>
      <c r="C1408" s="1">
        <v>45350</v>
      </c>
      <c r="D1408" s="2" t="s">
        <v>27</v>
      </c>
      <c r="E1408" t="s">
        <v>30</v>
      </c>
      <c r="G1408" s="3">
        <v>8032</v>
      </c>
      <c r="H1408" t="s">
        <v>176</v>
      </c>
      <c r="I1408" s="3" t="str">
        <f t="shared" si="63"/>
        <v>2024-02</v>
      </c>
      <c r="J1408" s="1">
        <f t="shared" si="64"/>
        <v>45794</v>
      </c>
      <c r="K1408" t="str">
        <f t="shared" si="65"/>
        <v>ACTIVE</v>
      </c>
    </row>
    <row r="1409" spans="1:11">
      <c r="A1409">
        <v>835</v>
      </c>
      <c r="B1409" t="s">
        <v>157</v>
      </c>
      <c r="C1409" s="1">
        <v>45531</v>
      </c>
      <c r="D1409" s="2" t="s">
        <v>28</v>
      </c>
      <c r="E1409" t="s">
        <v>32</v>
      </c>
      <c r="G1409" s="3">
        <v>939</v>
      </c>
      <c r="H1409" t="s">
        <v>173</v>
      </c>
      <c r="I1409" s="3" t="str">
        <f t="shared" si="63"/>
        <v>2024-08</v>
      </c>
      <c r="J1409" s="1">
        <f t="shared" si="64"/>
        <v>45729</v>
      </c>
      <c r="K1409" t="str">
        <f t="shared" si="65"/>
        <v>LAPSED</v>
      </c>
    </row>
    <row r="1410" spans="1:11">
      <c r="A1410">
        <v>750</v>
      </c>
      <c r="B1410" t="s">
        <v>121</v>
      </c>
      <c r="C1410" s="1">
        <v>45579</v>
      </c>
      <c r="D1410" s="2" t="s">
        <v>24</v>
      </c>
      <c r="E1410" t="s">
        <v>33</v>
      </c>
      <c r="G1410" s="3">
        <v>1127</v>
      </c>
      <c r="H1410" t="s">
        <v>174</v>
      </c>
      <c r="I1410" s="3" t="str">
        <f t="shared" si="63"/>
        <v>2024-10</v>
      </c>
      <c r="J1410" s="1">
        <f t="shared" si="64"/>
        <v>45798</v>
      </c>
      <c r="K1410" t="str">
        <f t="shared" si="65"/>
        <v>ACTIVE</v>
      </c>
    </row>
    <row r="1411" spans="1:11">
      <c r="A1411">
        <v>891</v>
      </c>
      <c r="B1411" t="s">
        <v>78</v>
      </c>
      <c r="C1411" s="1">
        <v>45425</v>
      </c>
      <c r="D1411" s="2" t="s">
        <v>24</v>
      </c>
      <c r="E1411" t="s">
        <v>30</v>
      </c>
      <c r="G1411" s="3">
        <v>5486</v>
      </c>
      <c r="H1411" t="s">
        <v>175</v>
      </c>
      <c r="I1411" s="3" t="str">
        <f t="shared" ref="I1411:I1474" si="66">TEXT(C1411, "yyyy-mm")</f>
        <v>2024-05</v>
      </c>
      <c r="J1411" s="1">
        <f t="shared" ref="J1411:J1474" si="67">_xlfn.MAXIFS(C:C, B:B, B1411)</f>
        <v>45821</v>
      </c>
      <c r="K1411" t="str">
        <f t="shared" ref="K1411:K1474" si="68">IF($L$3-J1411&gt;90, "LAPSED","ACTIVE")</f>
        <v>ACTIVE</v>
      </c>
    </row>
    <row r="1412" spans="1:11">
      <c r="A1412">
        <v>255</v>
      </c>
      <c r="B1412" t="s">
        <v>104</v>
      </c>
      <c r="C1412" s="1">
        <v>45743</v>
      </c>
      <c r="D1412" s="2" t="s">
        <v>27</v>
      </c>
      <c r="E1412" t="s">
        <v>32</v>
      </c>
      <c r="G1412" s="3">
        <v>1094</v>
      </c>
      <c r="H1412" t="s">
        <v>172</v>
      </c>
      <c r="I1412" s="3" t="str">
        <f t="shared" si="66"/>
        <v>2025-03</v>
      </c>
      <c r="J1412" s="1">
        <f t="shared" si="67"/>
        <v>45743</v>
      </c>
      <c r="K1412" t="str">
        <f t="shared" si="68"/>
        <v>ACTIVE</v>
      </c>
    </row>
    <row r="1413" spans="1:11">
      <c r="A1413">
        <v>1565</v>
      </c>
      <c r="B1413" t="s">
        <v>128</v>
      </c>
      <c r="C1413" s="1">
        <v>45386</v>
      </c>
      <c r="D1413" s="2" t="s">
        <v>28</v>
      </c>
      <c r="E1413" t="s">
        <v>30</v>
      </c>
      <c r="G1413" s="3">
        <v>351</v>
      </c>
      <c r="H1413" t="s">
        <v>176</v>
      </c>
      <c r="I1413" s="3" t="str">
        <f t="shared" si="66"/>
        <v>2024-04</v>
      </c>
      <c r="J1413" s="1">
        <f t="shared" si="67"/>
        <v>45812</v>
      </c>
      <c r="K1413" t="str">
        <f t="shared" si="68"/>
        <v>ACTIVE</v>
      </c>
    </row>
    <row r="1414" spans="1:11">
      <c r="A1414">
        <v>1766</v>
      </c>
      <c r="B1414" t="s">
        <v>104</v>
      </c>
      <c r="C1414" s="1">
        <v>45367</v>
      </c>
      <c r="D1414" s="2" t="s">
        <v>28</v>
      </c>
      <c r="E1414" t="s">
        <v>30</v>
      </c>
      <c r="G1414" s="3">
        <v>297</v>
      </c>
      <c r="H1414" t="s">
        <v>176</v>
      </c>
      <c r="I1414" s="3" t="str">
        <f t="shared" si="66"/>
        <v>2024-03</v>
      </c>
      <c r="J1414" s="1">
        <f t="shared" si="67"/>
        <v>45743</v>
      </c>
      <c r="K1414" t="str">
        <f t="shared" si="68"/>
        <v>ACTIVE</v>
      </c>
    </row>
    <row r="1415" spans="1:11">
      <c r="A1415">
        <v>1338</v>
      </c>
      <c r="B1415" t="s">
        <v>124</v>
      </c>
      <c r="C1415" s="1">
        <v>45494</v>
      </c>
      <c r="D1415" s="2" t="s">
        <v>23</v>
      </c>
      <c r="E1415" t="s">
        <v>32</v>
      </c>
      <c r="G1415" s="3">
        <v>2163</v>
      </c>
      <c r="H1415" t="s">
        <v>172</v>
      </c>
      <c r="I1415" s="3" t="str">
        <f t="shared" si="66"/>
        <v>2024-07</v>
      </c>
      <c r="J1415" s="1">
        <f t="shared" si="67"/>
        <v>45793</v>
      </c>
      <c r="K1415" t="str">
        <f t="shared" si="68"/>
        <v>ACTIVE</v>
      </c>
    </row>
    <row r="1416" spans="1:11">
      <c r="A1416">
        <v>1109</v>
      </c>
      <c r="B1416" t="s">
        <v>106</v>
      </c>
      <c r="C1416" s="1">
        <v>45538</v>
      </c>
      <c r="D1416" s="2" t="s">
        <v>28</v>
      </c>
      <c r="E1416" t="s">
        <v>32</v>
      </c>
      <c r="G1416" s="3">
        <v>812</v>
      </c>
      <c r="H1416" t="s">
        <v>174</v>
      </c>
      <c r="I1416" s="3" t="str">
        <f t="shared" si="66"/>
        <v>2024-09</v>
      </c>
      <c r="J1416" s="1">
        <f t="shared" si="67"/>
        <v>45760</v>
      </c>
      <c r="K1416" t="str">
        <f t="shared" si="68"/>
        <v>ACTIVE</v>
      </c>
    </row>
    <row r="1417" spans="1:11">
      <c r="A1417">
        <v>137</v>
      </c>
      <c r="B1417" t="s">
        <v>143</v>
      </c>
      <c r="C1417" s="1">
        <v>45636</v>
      </c>
      <c r="D1417" s="2" t="s">
        <v>23</v>
      </c>
      <c r="E1417" t="s">
        <v>33</v>
      </c>
      <c r="G1417" s="3">
        <v>646</v>
      </c>
      <c r="H1417" t="s">
        <v>172</v>
      </c>
      <c r="I1417" s="3" t="str">
        <f t="shared" si="66"/>
        <v>2024-12</v>
      </c>
      <c r="J1417" s="1">
        <f t="shared" si="67"/>
        <v>45764</v>
      </c>
      <c r="K1417" t="str">
        <f t="shared" si="68"/>
        <v>ACTIVE</v>
      </c>
    </row>
    <row r="1418" spans="1:11">
      <c r="A1418">
        <v>1136</v>
      </c>
      <c r="B1418" t="s">
        <v>103</v>
      </c>
      <c r="C1418" s="1">
        <v>45695</v>
      </c>
      <c r="D1418" s="2" t="s">
        <v>25</v>
      </c>
      <c r="E1418" t="s">
        <v>31</v>
      </c>
      <c r="G1418" s="3">
        <v>320</v>
      </c>
      <c r="H1418" t="s">
        <v>175</v>
      </c>
      <c r="I1418" s="3" t="str">
        <f t="shared" si="66"/>
        <v>2025-02</v>
      </c>
      <c r="J1418" s="1">
        <f t="shared" si="67"/>
        <v>45821</v>
      </c>
      <c r="K1418" t="str">
        <f t="shared" si="68"/>
        <v>ACTIVE</v>
      </c>
    </row>
    <row r="1419" spans="1:11">
      <c r="A1419">
        <v>1219</v>
      </c>
      <c r="B1419" t="s">
        <v>118</v>
      </c>
      <c r="C1419" s="1">
        <v>45522</v>
      </c>
      <c r="D1419" s="2" t="s">
        <v>25</v>
      </c>
      <c r="E1419" t="s">
        <v>30</v>
      </c>
      <c r="G1419" s="3">
        <v>1087</v>
      </c>
      <c r="H1419" t="s">
        <v>174</v>
      </c>
      <c r="I1419" s="3" t="str">
        <f t="shared" si="66"/>
        <v>2024-08</v>
      </c>
      <c r="J1419" s="1">
        <f t="shared" si="67"/>
        <v>45830</v>
      </c>
      <c r="K1419" t="str">
        <f t="shared" si="68"/>
        <v>ACTIVE</v>
      </c>
    </row>
    <row r="1420" spans="1:11">
      <c r="A1420">
        <v>853</v>
      </c>
      <c r="B1420" t="s">
        <v>132</v>
      </c>
      <c r="C1420" s="1">
        <v>45383</v>
      </c>
      <c r="D1420" s="2" t="s">
        <v>28</v>
      </c>
      <c r="E1420" t="s">
        <v>30</v>
      </c>
      <c r="G1420" s="3">
        <v>683</v>
      </c>
      <c r="H1420" t="s">
        <v>173</v>
      </c>
      <c r="I1420" s="3" t="str">
        <f t="shared" si="66"/>
        <v>2024-04</v>
      </c>
      <c r="J1420" s="1">
        <f t="shared" si="67"/>
        <v>45822</v>
      </c>
      <c r="K1420" t="str">
        <f t="shared" si="68"/>
        <v>ACTIVE</v>
      </c>
    </row>
    <row r="1421" spans="1:11">
      <c r="A1421">
        <v>1203</v>
      </c>
      <c r="B1421" t="s">
        <v>41</v>
      </c>
      <c r="C1421" s="1">
        <v>45691</v>
      </c>
      <c r="D1421" s="2" t="s">
        <v>25</v>
      </c>
      <c r="E1421" t="s">
        <v>33</v>
      </c>
      <c r="G1421" s="3">
        <v>4854</v>
      </c>
      <c r="H1421" t="s">
        <v>174</v>
      </c>
      <c r="I1421" s="3" t="str">
        <f t="shared" si="66"/>
        <v>2025-02</v>
      </c>
      <c r="J1421" s="1">
        <f t="shared" si="67"/>
        <v>45785</v>
      </c>
      <c r="K1421" t="str">
        <f t="shared" si="68"/>
        <v>ACTIVE</v>
      </c>
    </row>
    <row r="1422" spans="1:11">
      <c r="A1422">
        <v>724</v>
      </c>
      <c r="B1422" t="s">
        <v>94</v>
      </c>
      <c r="C1422" s="1">
        <v>45661</v>
      </c>
      <c r="D1422" s="2" t="s">
        <v>25</v>
      </c>
      <c r="E1422" t="s">
        <v>33</v>
      </c>
      <c r="G1422" s="3">
        <v>849</v>
      </c>
      <c r="H1422" t="s">
        <v>176</v>
      </c>
      <c r="I1422" s="3" t="str">
        <f t="shared" si="66"/>
        <v>2025-01</v>
      </c>
      <c r="J1422" s="1">
        <f t="shared" si="67"/>
        <v>45824</v>
      </c>
      <c r="K1422" t="str">
        <f t="shared" si="68"/>
        <v>ACTIVE</v>
      </c>
    </row>
    <row r="1423" spans="1:11">
      <c r="A1423">
        <v>860</v>
      </c>
      <c r="B1423" t="s">
        <v>64</v>
      </c>
      <c r="C1423" s="1">
        <v>45814</v>
      </c>
      <c r="D1423" s="2" t="s">
        <v>25</v>
      </c>
      <c r="E1423" t="s">
        <v>30</v>
      </c>
      <c r="G1423" s="3">
        <v>447</v>
      </c>
      <c r="H1423" t="s">
        <v>172</v>
      </c>
      <c r="I1423" s="3" t="str">
        <f t="shared" si="66"/>
        <v>2025-06</v>
      </c>
      <c r="J1423" s="1">
        <f t="shared" si="67"/>
        <v>45814</v>
      </c>
      <c r="K1423" t="str">
        <f t="shared" si="68"/>
        <v>ACTIVE</v>
      </c>
    </row>
    <row r="1424" spans="1:11">
      <c r="A1424">
        <v>970</v>
      </c>
      <c r="B1424" t="s">
        <v>74</v>
      </c>
      <c r="C1424" s="1">
        <v>45711</v>
      </c>
      <c r="D1424" s="2" t="s">
        <v>23</v>
      </c>
      <c r="E1424" t="s">
        <v>30</v>
      </c>
      <c r="G1424" s="3">
        <v>9409</v>
      </c>
      <c r="H1424" t="s">
        <v>176</v>
      </c>
      <c r="I1424" s="3" t="str">
        <f t="shared" si="66"/>
        <v>2025-02</v>
      </c>
      <c r="J1424" s="1">
        <f t="shared" si="67"/>
        <v>45773</v>
      </c>
      <c r="K1424" t="str">
        <f t="shared" si="68"/>
        <v>ACTIVE</v>
      </c>
    </row>
    <row r="1425" spans="1:11">
      <c r="A1425">
        <v>497</v>
      </c>
      <c r="B1425" t="s">
        <v>157</v>
      </c>
      <c r="C1425" s="1">
        <v>45565</v>
      </c>
      <c r="D1425" s="2" t="s">
        <v>23</v>
      </c>
      <c r="E1425" t="s">
        <v>35</v>
      </c>
      <c r="G1425" s="3">
        <v>2077</v>
      </c>
      <c r="H1425" t="s">
        <v>172</v>
      </c>
      <c r="I1425" s="3" t="str">
        <f t="shared" si="66"/>
        <v>2024-09</v>
      </c>
      <c r="J1425" s="1">
        <f t="shared" si="67"/>
        <v>45729</v>
      </c>
      <c r="K1425" t="str">
        <f t="shared" si="68"/>
        <v>LAPSED</v>
      </c>
    </row>
    <row r="1426" spans="1:11">
      <c r="A1426">
        <v>951</v>
      </c>
      <c r="B1426" t="s">
        <v>115</v>
      </c>
      <c r="C1426" s="1">
        <v>45739</v>
      </c>
      <c r="D1426" s="2" t="s">
        <v>24</v>
      </c>
      <c r="E1426" t="s">
        <v>30</v>
      </c>
      <c r="G1426" s="3">
        <v>1198</v>
      </c>
      <c r="H1426" t="s">
        <v>176</v>
      </c>
      <c r="I1426" s="3" t="str">
        <f t="shared" si="66"/>
        <v>2025-03</v>
      </c>
      <c r="J1426" s="1">
        <f t="shared" si="67"/>
        <v>45810</v>
      </c>
      <c r="K1426" t="str">
        <f t="shared" si="68"/>
        <v>ACTIVE</v>
      </c>
    </row>
    <row r="1427" spans="1:11">
      <c r="A1427">
        <v>806</v>
      </c>
      <c r="B1427" t="s">
        <v>40</v>
      </c>
      <c r="C1427" s="1">
        <v>45615</v>
      </c>
      <c r="D1427" s="2" t="s">
        <v>28</v>
      </c>
      <c r="E1427" t="s">
        <v>33</v>
      </c>
      <c r="G1427" s="3">
        <v>266</v>
      </c>
      <c r="H1427" t="s">
        <v>174</v>
      </c>
      <c r="I1427" s="3" t="str">
        <f t="shared" si="66"/>
        <v>2024-11</v>
      </c>
      <c r="J1427" s="1">
        <f t="shared" si="67"/>
        <v>45759</v>
      </c>
      <c r="K1427" t="str">
        <f t="shared" si="68"/>
        <v>ACTIVE</v>
      </c>
    </row>
    <row r="1428" spans="1:11">
      <c r="A1428">
        <v>130</v>
      </c>
      <c r="B1428" t="s">
        <v>95</v>
      </c>
      <c r="C1428" s="1">
        <v>45685</v>
      </c>
      <c r="D1428" s="2" t="s">
        <v>23</v>
      </c>
      <c r="E1428" t="s">
        <v>35</v>
      </c>
      <c r="G1428" s="3">
        <v>490</v>
      </c>
      <c r="H1428" t="s">
        <v>175</v>
      </c>
      <c r="I1428" s="3" t="str">
        <f t="shared" si="66"/>
        <v>2025-01</v>
      </c>
      <c r="J1428" s="1">
        <f t="shared" si="67"/>
        <v>45797</v>
      </c>
      <c r="K1428" t="str">
        <f t="shared" si="68"/>
        <v>ACTIVE</v>
      </c>
    </row>
    <row r="1429" spans="1:11">
      <c r="A1429">
        <v>338</v>
      </c>
      <c r="B1429" t="s">
        <v>74</v>
      </c>
      <c r="C1429" s="1">
        <v>45477</v>
      </c>
      <c r="D1429" s="2" t="s">
        <v>25</v>
      </c>
      <c r="E1429" t="s">
        <v>32</v>
      </c>
      <c r="G1429" s="3">
        <v>1645</v>
      </c>
      <c r="H1429" t="s">
        <v>175</v>
      </c>
      <c r="I1429" s="3" t="str">
        <f t="shared" si="66"/>
        <v>2024-07</v>
      </c>
      <c r="J1429" s="1">
        <f t="shared" si="67"/>
        <v>45773</v>
      </c>
      <c r="K1429" t="str">
        <f t="shared" si="68"/>
        <v>ACTIVE</v>
      </c>
    </row>
    <row r="1430" spans="1:11">
      <c r="A1430">
        <v>1799</v>
      </c>
      <c r="B1430" t="s">
        <v>118</v>
      </c>
      <c r="C1430" s="1">
        <v>45378</v>
      </c>
      <c r="D1430" s="2" t="s">
        <v>23</v>
      </c>
      <c r="E1430" t="s">
        <v>35</v>
      </c>
      <c r="G1430" s="3">
        <v>679</v>
      </c>
      <c r="H1430" t="s">
        <v>172</v>
      </c>
      <c r="I1430" s="3" t="str">
        <f t="shared" si="66"/>
        <v>2024-03</v>
      </c>
      <c r="J1430" s="1">
        <f t="shared" si="67"/>
        <v>45830</v>
      </c>
      <c r="K1430" t="str">
        <f t="shared" si="68"/>
        <v>ACTIVE</v>
      </c>
    </row>
    <row r="1431" spans="1:11">
      <c r="A1431">
        <v>609</v>
      </c>
      <c r="B1431" t="s">
        <v>129</v>
      </c>
      <c r="C1431" s="1">
        <v>45588</v>
      </c>
      <c r="D1431" s="2" t="s">
        <v>23</v>
      </c>
      <c r="E1431" t="s">
        <v>30</v>
      </c>
      <c r="G1431" s="3">
        <v>1680</v>
      </c>
      <c r="H1431" t="s">
        <v>173</v>
      </c>
      <c r="I1431" s="3" t="str">
        <f t="shared" si="66"/>
        <v>2024-10</v>
      </c>
      <c r="J1431" s="1">
        <f t="shared" si="67"/>
        <v>45812</v>
      </c>
      <c r="K1431" t="str">
        <f t="shared" si="68"/>
        <v>ACTIVE</v>
      </c>
    </row>
    <row r="1432" spans="1:11">
      <c r="A1432">
        <v>1149</v>
      </c>
      <c r="B1432" t="s">
        <v>138</v>
      </c>
      <c r="C1432" s="1">
        <v>45373</v>
      </c>
      <c r="D1432" s="2" t="s">
        <v>28</v>
      </c>
      <c r="E1432" t="s">
        <v>34</v>
      </c>
      <c r="G1432" s="3">
        <v>2057</v>
      </c>
      <c r="H1432" t="s">
        <v>174</v>
      </c>
      <c r="I1432" s="3" t="str">
        <f t="shared" si="66"/>
        <v>2024-03</v>
      </c>
      <c r="J1432" s="1">
        <f t="shared" si="67"/>
        <v>45798</v>
      </c>
      <c r="K1432" t="str">
        <f t="shared" si="68"/>
        <v>ACTIVE</v>
      </c>
    </row>
    <row r="1433" spans="1:11">
      <c r="A1433">
        <v>196</v>
      </c>
      <c r="B1433" t="s">
        <v>89</v>
      </c>
      <c r="C1433" s="1">
        <v>45674</v>
      </c>
      <c r="D1433" s="2" t="s">
        <v>23</v>
      </c>
      <c r="E1433" t="s">
        <v>32</v>
      </c>
      <c r="G1433" s="3">
        <v>11208</v>
      </c>
      <c r="H1433" t="s">
        <v>172</v>
      </c>
      <c r="I1433" s="3" t="str">
        <f t="shared" si="66"/>
        <v>2025-01</v>
      </c>
      <c r="J1433" s="1">
        <f t="shared" si="67"/>
        <v>45826</v>
      </c>
      <c r="K1433" t="str">
        <f t="shared" si="68"/>
        <v>ACTIVE</v>
      </c>
    </row>
    <row r="1434" spans="1:11">
      <c r="A1434">
        <v>1251</v>
      </c>
      <c r="B1434" t="s">
        <v>68</v>
      </c>
      <c r="C1434" s="1">
        <v>45516</v>
      </c>
      <c r="D1434" s="2" t="s">
        <v>27</v>
      </c>
      <c r="E1434" t="s">
        <v>32</v>
      </c>
      <c r="G1434" s="3">
        <v>1716</v>
      </c>
      <c r="H1434" t="s">
        <v>174</v>
      </c>
      <c r="I1434" s="3" t="str">
        <f t="shared" si="66"/>
        <v>2024-08</v>
      </c>
      <c r="J1434" s="1">
        <f t="shared" si="67"/>
        <v>45776</v>
      </c>
      <c r="K1434" t="str">
        <f t="shared" si="68"/>
        <v>ACTIVE</v>
      </c>
    </row>
    <row r="1435" spans="1:11">
      <c r="A1435">
        <v>1293</v>
      </c>
      <c r="B1435" t="s">
        <v>87</v>
      </c>
      <c r="C1435" s="1">
        <v>45505</v>
      </c>
      <c r="D1435" s="2" t="s">
        <v>28</v>
      </c>
      <c r="E1435" t="s">
        <v>32</v>
      </c>
      <c r="G1435" s="3">
        <v>328</v>
      </c>
      <c r="H1435" t="s">
        <v>173</v>
      </c>
      <c r="I1435" s="3" t="str">
        <f t="shared" si="66"/>
        <v>2024-08</v>
      </c>
      <c r="J1435" s="1">
        <f t="shared" si="67"/>
        <v>45821</v>
      </c>
      <c r="K1435" t="str">
        <f t="shared" si="68"/>
        <v>ACTIVE</v>
      </c>
    </row>
    <row r="1436" spans="1:11">
      <c r="A1436">
        <v>1783</v>
      </c>
      <c r="B1436" t="s">
        <v>112</v>
      </c>
      <c r="C1436" s="1">
        <v>45510</v>
      </c>
      <c r="D1436" s="2" t="s">
        <v>24</v>
      </c>
      <c r="E1436" t="s">
        <v>35</v>
      </c>
      <c r="G1436" s="3">
        <v>1575</v>
      </c>
      <c r="H1436" t="s">
        <v>172</v>
      </c>
      <c r="I1436" s="3" t="str">
        <f t="shared" si="66"/>
        <v>2024-08</v>
      </c>
      <c r="J1436" s="1">
        <f t="shared" si="67"/>
        <v>45815</v>
      </c>
      <c r="K1436" t="str">
        <f t="shared" si="68"/>
        <v>ACTIVE</v>
      </c>
    </row>
    <row r="1437" spans="1:11">
      <c r="A1437">
        <v>910</v>
      </c>
      <c r="B1437" t="s">
        <v>81</v>
      </c>
      <c r="C1437" s="1">
        <v>45442</v>
      </c>
      <c r="D1437" s="2" t="s">
        <v>24</v>
      </c>
      <c r="E1437" t="s">
        <v>33</v>
      </c>
      <c r="G1437" s="3">
        <v>806</v>
      </c>
      <c r="H1437" t="s">
        <v>176</v>
      </c>
      <c r="I1437" s="3" t="str">
        <f t="shared" si="66"/>
        <v>2024-05</v>
      </c>
      <c r="J1437" s="1">
        <f t="shared" si="67"/>
        <v>45787</v>
      </c>
      <c r="K1437" t="str">
        <f t="shared" si="68"/>
        <v>ACTIVE</v>
      </c>
    </row>
    <row r="1438" spans="1:11">
      <c r="A1438">
        <v>585</v>
      </c>
      <c r="B1438" t="s">
        <v>158</v>
      </c>
      <c r="C1438" s="1">
        <v>45532</v>
      </c>
      <c r="D1438" s="2" t="s">
        <v>28</v>
      </c>
      <c r="E1438" t="s">
        <v>35</v>
      </c>
      <c r="G1438" s="3">
        <v>4838</v>
      </c>
      <c r="H1438" t="s">
        <v>174</v>
      </c>
      <c r="I1438" s="3" t="str">
        <f t="shared" si="66"/>
        <v>2024-08</v>
      </c>
      <c r="J1438" s="1">
        <f t="shared" si="67"/>
        <v>45740</v>
      </c>
      <c r="K1438" t="str">
        <f t="shared" si="68"/>
        <v>LAPSED</v>
      </c>
    </row>
    <row r="1439" spans="1:11">
      <c r="A1439">
        <v>104</v>
      </c>
      <c r="B1439" t="s">
        <v>54</v>
      </c>
      <c r="C1439" s="1">
        <v>45486</v>
      </c>
      <c r="D1439" s="2" t="s">
        <v>28</v>
      </c>
      <c r="E1439" t="s">
        <v>34</v>
      </c>
      <c r="G1439" s="3">
        <v>2113</v>
      </c>
      <c r="H1439" t="s">
        <v>175</v>
      </c>
      <c r="I1439" s="3" t="str">
        <f t="shared" si="66"/>
        <v>2024-07</v>
      </c>
      <c r="J1439" s="1">
        <f t="shared" si="67"/>
        <v>45825</v>
      </c>
      <c r="K1439" t="str">
        <f t="shared" si="68"/>
        <v>ACTIVE</v>
      </c>
    </row>
    <row r="1440" spans="1:11">
      <c r="A1440">
        <v>1670</v>
      </c>
      <c r="B1440" t="s">
        <v>70</v>
      </c>
      <c r="C1440" s="1">
        <v>45412</v>
      </c>
      <c r="D1440" s="2" t="s">
        <v>25</v>
      </c>
      <c r="E1440" t="s">
        <v>35</v>
      </c>
      <c r="G1440" s="3">
        <v>634</v>
      </c>
      <c r="H1440" t="s">
        <v>173</v>
      </c>
      <c r="I1440" s="3" t="str">
        <f t="shared" si="66"/>
        <v>2024-04</v>
      </c>
      <c r="J1440" s="1">
        <f t="shared" si="67"/>
        <v>45829</v>
      </c>
      <c r="K1440" t="str">
        <f t="shared" si="68"/>
        <v>ACTIVE</v>
      </c>
    </row>
    <row r="1441" spans="1:11">
      <c r="A1441">
        <v>1685</v>
      </c>
      <c r="B1441" t="s">
        <v>123</v>
      </c>
      <c r="C1441" s="1">
        <v>45546</v>
      </c>
      <c r="D1441" s="2" t="s">
        <v>23</v>
      </c>
      <c r="E1441" t="s">
        <v>32</v>
      </c>
      <c r="G1441" s="3">
        <v>9761</v>
      </c>
      <c r="H1441" t="s">
        <v>175</v>
      </c>
      <c r="I1441" s="3" t="str">
        <f t="shared" si="66"/>
        <v>2024-09</v>
      </c>
      <c r="J1441" s="1">
        <f t="shared" si="67"/>
        <v>45772</v>
      </c>
      <c r="K1441" t="str">
        <f t="shared" si="68"/>
        <v>ACTIVE</v>
      </c>
    </row>
    <row r="1442" spans="1:11">
      <c r="A1442">
        <v>720</v>
      </c>
      <c r="B1442" t="s">
        <v>154</v>
      </c>
      <c r="C1442" s="1">
        <v>45582</v>
      </c>
      <c r="D1442" s="2" t="s">
        <v>25</v>
      </c>
      <c r="E1442" t="s">
        <v>35</v>
      </c>
      <c r="G1442" s="3">
        <v>9249</v>
      </c>
      <c r="H1442" t="s">
        <v>174</v>
      </c>
      <c r="I1442" s="3" t="str">
        <f t="shared" si="66"/>
        <v>2024-10</v>
      </c>
      <c r="J1442" s="1">
        <f t="shared" si="67"/>
        <v>45725</v>
      </c>
      <c r="K1442" t="str">
        <f t="shared" si="68"/>
        <v>LAPSED</v>
      </c>
    </row>
    <row r="1443" spans="1:11">
      <c r="A1443">
        <v>885</v>
      </c>
      <c r="B1443" t="s">
        <v>61</v>
      </c>
      <c r="C1443" s="1">
        <v>45815</v>
      </c>
      <c r="D1443" s="2" t="s">
        <v>27</v>
      </c>
      <c r="E1443" t="s">
        <v>31</v>
      </c>
      <c r="G1443" s="3">
        <v>1146</v>
      </c>
      <c r="H1443" t="s">
        <v>172</v>
      </c>
      <c r="I1443" s="3" t="str">
        <f t="shared" si="66"/>
        <v>2025-06</v>
      </c>
      <c r="J1443" s="1">
        <f t="shared" si="67"/>
        <v>45815</v>
      </c>
      <c r="K1443" t="str">
        <f t="shared" si="68"/>
        <v>ACTIVE</v>
      </c>
    </row>
    <row r="1444" spans="1:11">
      <c r="A1444">
        <v>777</v>
      </c>
      <c r="B1444" t="s">
        <v>96</v>
      </c>
      <c r="C1444" s="1">
        <v>45798</v>
      </c>
      <c r="D1444" s="2" t="s">
        <v>24</v>
      </c>
      <c r="E1444" t="s">
        <v>35</v>
      </c>
      <c r="G1444" s="3">
        <v>791</v>
      </c>
      <c r="H1444" t="s">
        <v>175</v>
      </c>
      <c r="I1444" s="3" t="str">
        <f t="shared" si="66"/>
        <v>2025-05</v>
      </c>
      <c r="J1444" s="1">
        <f t="shared" si="67"/>
        <v>45798</v>
      </c>
      <c r="K1444" t="str">
        <f t="shared" si="68"/>
        <v>ACTIVE</v>
      </c>
    </row>
    <row r="1445" spans="1:11">
      <c r="A1445">
        <v>850</v>
      </c>
      <c r="B1445" t="s">
        <v>158</v>
      </c>
      <c r="C1445" s="1">
        <v>45662</v>
      </c>
      <c r="D1445" s="2" t="s">
        <v>23</v>
      </c>
      <c r="E1445" t="s">
        <v>34</v>
      </c>
      <c r="G1445" s="3">
        <v>1426</v>
      </c>
      <c r="H1445" t="s">
        <v>173</v>
      </c>
      <c r="I1445" s="3" t="str">
        <f t="shared" si="66"/>
        <v>2025-01</v>
      </c>
      <c r="J1445" s="1">
        <f t="shared" si="67"/>
        <v>45740</v>
      </c>
      <c r="K1445" t="str">
        <f t="shared" si="68"/>
        <v>LAPSED</v>
      </c>
    </row>
    <row r="1446" spans="1:11">
      <c r="A1446">
        <v>895</v>
      </c>
      <c r="B1446" t="s">
        <v>111</v>
      </c>
      <c r="C1446" s="1">
        <v>45462</v>
      </c>
      <c r="D1446" s="2" t="s">
        <v>24</v>
      </c>
      <c r="E1446" t="s">
        <v>30</v>
      </c>
      <c r="G1446" s="3">
        <v>1374</v>
      </c>
      <c r="H1446" t="s">
        <v>175</v>
      </c>
      <c r="I1446" s="3" t="str">
        <f t="shared" si="66"/>
        <v>2024-06</v>
      </c>
      <c r="J1446" s="1">
        <f t="shared" si="67"/>
        <v>45829</v>
      </c>
      <c r="K1446" t="str">
        <f t="shared" si="68"/>
        <v>ACTIVE</v>
      </c>
    </row>
    <row r="1447" spans="1:11">
      <c r="A1447">
        <v>228</v>
      </c>
      <c r="B1447" t="s">
        <v>42</v>
      </c>
      <c r="C1447" s="1">
        <v>45626</v>
      </c>
      <c r="D1447" s="2" t="s">
        <v>24</v>
      </c>
      <c r="E1447" t="s">
        <v>32</v>
      </c>
      <c r="G1447" s="3">
        <v>267</v>
      </c>
      <c r="H1447" t="s">
        <v>175</v>
      </c>
      <c r="I1447" s="3" t="str">
        <f t="shared" si="66"/>
        <v>2024-11</v>
      </c>
      <c r="J1447" s="1">
        <f t="shared" si="67"/>
        <v>45803</v>
      </c>
      <c r="K1447" t="str">
        <f t="shared" si="68"/>
        <v>ACTIVE</v>
      </c>
    </row>
    <row r="1448" spans="1:11">
      <c r="A1448">
        <v>1698</v>
      </c>
      <c r="B1448" t="s">
        <v>52</v>
      </c>
      <c r="C1448" s="1">
        <v>45307</v>
      </c>
      <c r="D1448" s="2" t="s">
        <v>28</v>
      </c>
      <c r="E1448" t="s">
        <v>35</v>
      </c>
      <c r="G1448" s="3">
        <v>11928</v>
      </c>
      <c r="H1448" t="s">
        <v>173</v>
      </c>
      <c r="I1448" s="3" t="str">
        <f t="shared" si="66"/>
        <v>2024-01</v>
      </c>
      <c r="J1448" s="1">
        <f t="shared" si="67"/>
        <v>45811</v>
      </c>
      <c r="K1448" t="str">
        <f t="shared" si="68"/>
        <v>ACTIVE</v>
      </c>
    </row>
    <row r="1449" spans="1:11">
      <c r="A1449">
        <v>1326</v>
      </c>
      <c r="B1449" t="s">
        <v>98</v>
      </c>
      <c r="C1449" s="1">
        <v>45486</v>
      </c>
      <c r="D1449" s="2" t="s">
        <v>23</v>
      </c>
      <c r="E1449" t="s">
        <v>30</v>
      </c>
      <c r="G1449" s="3">
        <v>292</v>
      </c>
      <c r="H1449" t="s">
        <v>172</v>
      </c>
      <c r="I1449" s="3" t="str">
        <f t="shared" si="66"/>
        <v>2024-07</v>
      </c>
      <c r="J1449" s="1">
        <f t="shared" si="67"/>
        <v>45767</v>
      </c>
      <c r="K1449" t="str">
        <f t="shared" si="68"/>
        <v>ACTIVE</v>
      </c>
    </row>
    <row r="1450" spans="1:11">
      <c r="A1450">
        <v>1300</v>
      </c>
      <c r="B1450" t="s">
        <v>154</v>
      </c>
      <c r="C1450" s="1">
        <v>45446</v>
      </c>
      <c r="D1450" s="2" t="s">
        <v>24</v>
      </c>
      <c r="E1450" t="s">
        <v>34</v>
      </c>
      <c r="G1450" s="3">
        <v>5246</v>
      </c>
      <c r="H1450" t="s">
        <v>174</v>
      </c>
      <c r="I1450" s="3" t="str">
        <f t="shared" si="66"/>
        <v>2024-06</v>
      </c>
      <c r="J1450" s="1">
        <f t="shared" si="67"/>
        <v>45725</v>
      </c>
      <c r="K1450" t="str">
        <f t="shared" si="68"/>
        <v>LAPSED</v>
      </c>
    </row>
    <row r="1451" spans="1:11">
      <c r="A1451">
        <v>127</v>
      </c>
      <c r="B1451" t="s">
        <v>95</v>
      </c>
      <c r="C1451" s="1">
        <v>45797</v>
      </c>
      <c r="D1451" s="2" t="s">
        <v>23</v>
      </c>
      <c r="E1451" t="s">
        <v>35</v>
      </c>
      <c r="G1451" s="3">
        <v>322</v>
      </c>
      <c r="H1451" t="s">
        <v>175</v>
      </c>
      <c r="I1451" s="3" t="str">
        <f t="shared" si="66"/>
        <v>2025-05</v>
      </c>
      <c r="J1451" s="1">
        <f t="shared" si="67"/>
        <v>45797</v>
      </c>
      <c r="K1451" t="str">
        <f t="shared" si="68"/>
        <v>ACTIVE</v>
      </c>
    </row>
    <row r="1452" spans="1:11">
      <c r="A1452">
        <v>406</v>
      </c>
      <c r="B1452" t="s">
        <v>118</v>
      </c>
      <c r="C1452" s="1">
        <v>45413</v>
      </c>
      <c r="D1452" s="2" t="s">
        <v>27</v>
      </c>
      <c r="E1452" t="s">
        <v>32</v>
      </c>
      <c r="G1452" s="3">
        <v>5441</v>
      </c>
      <c r="H1452" t="s">
        <v>173</v>
      </c>
      <c r="I1452" s="3" t="str">
        <f t="shared" si="66"/>
        <v>2024-05</v>
      </c>
      <c r="J1452" s="1">
        <f t="shared" si="67"/>
        <v>45830</v>
      </c>
      <c r="K1452" t="str">
        <f t="shared" si="68"/>
        <v>ACTIVE</v>
      </c>
    </row>
    <row r="1453" spans="1:11">
      <c r="A1453">
        <v>776</v>
      </c>
      <c r="B1453" t="s">
        <v>129</v>
      </c>
      <c r="C1453" s="1">
        <v>45689</v>
      </c>
      <c r="D1453" s="2" t="s">
        <v>23</v>
      </c>
      <c r="E1453" t="s">
        <v>31</v>
      </c>
      <c r="G1453" s="3">
        <v>302</v>
      </c>
      <c r="H1453" t="s">
        <v>172</v>
      </c>
      <c r="I1453" s="3" t="str">
        <f t="shared" si="66"/>
        <v>2025-02</v>
      </c>
      <c r="J1453" s="1">
        <f t="shared" si="67"/>
        <v>45812</v>
      </c>
      <c r="K1453" t="str">
        <f t="shared" si="68"/>
        <v>ACTIVE</v>
      </c>
    </row>
    <row r="1454" spans="1:11">
      <c r="A1454">
        <v>822</v>
      </c>
      <c r="B1454" t="s">
        <v>114</v>
      </c>
      <c r="C1454" s="1">
        <v>45662</v>
      </c>
      <c r="D1454" s="2" t="s">
        <v>25</v>
      </c>
      <c r="E1454" t="s">
        <v>30</v>
      </c>
      <c r="G1454" s="3">
        <v>1357</v>
      </c>
      <c r="H1454" t="s">
        <v>173</v>
      </c>
      <c r="I1454" s="3" t="str">
        <f t="shared" si="66"/>
        <v>2025-01</v>
      </c>
      <c r="J1454" s="1">
        <f t="shared" si="67"/>
        <v>45815</v>
      </c>
      <c r="K1454" t="str">
        <f t="shared" si="68"/>
        <v>ACTIVE</v>
      </c>
    </row>
    <row r="1455" spans="1:11">
      <c r="A1455">
        <v>712</v>
      </c>
      <c r="B1455" t="s">
        <v>57</v>
      </c>
      <c r="C1455" s="1">
        <v>45393</v>
      </c>
      <c r="D1455" s="2" t="s">
        <v>24</v>
      </c>
      <c r="E1455" t="s">
        <v>31</v>
      </c>
      <c r="G1455" s="3">
        <v>1274</v>
      </c>
      <c r="H1455" t="s">
        <v>172</v>
      </c>
      <c r="I1455" s="3" t="str">
        <f t="shared" si="66"/>
        <v>2024-04</v>
      </c>
      <c r="J1455" s="1">
        <f t="shared" si="67"/>
        <v>45808</v>
      </c>
      <c r="K1455" t="str">
        <f t="shared" si="68"/>
        <v>ACTIVE</v>
      </c>
    </row>
    <row r="1456" spans="1:11">
      <c r="A1456">
        <v>1705</v>
      </c>
      <c r="B1456" t="s">
        <v>121</v>
      </c>
      <c r="C1456" s="1">
        <v>45795</v>
      </c>
      <c r="D1456" s="2" t="s">
        <v>23</v>
      </c>
      <c r="E1456" t="s">
        <v>30</v>
      </c>
      <c r="G1456" s="3">
        <v>980</v>
      </c>
      <c r="H1456" t="s">
        <v>173</v>
      </c>
      <c r="I1456" s="3" t="str">
        <f t="shared" si="66"/>
        <v>2025-05</v>
      </c>
      <c r="J1456" s="1">
        <f t="shared" si="67"/>
        <v>45798</v>
      </c>
      <c r="K1456" t="str">
        <f t="shared" si="68"/>
        <v>ACTIVE</v>
      </c>
    </row>
    <row r="1457" spans="1:11">
      <c r="A1457">
        <v>1061</v>
      </c>
      <c r="B1457" t="s">
        <v>81</v>
      </c>
      <c r="C1457" s="1">
        <v>45373</v>
      </c>
      <c r="D1457" s="2" t="s">
        <v>23</v>
      </c>
      <c r="E1457" t="s">
        <v>35</v>
      </c>
      <c r="G1457" s="3">
        <v>1166</v>
      </c>
      <c r="H1457" t="s">
        <v>173</v>
      </c>
      <c r="I1457" s="3" t="str">
        <f t="shared" si="66"/>
        <v>2024-03</v>
      </c>
      <c r="J1457" s="1">
        <f t="shared" si="67"/>
        <v>45787</v>
      </c>
      <c r="K1457" t="str">
        <f t="shared" si="68"/>
        <v>ACTIVE</v>
      </c>
    </row>
    <row r="1458" spans="1:11">
      <c r="A1458">
        <v>1164</v>
      </c>
      <c r="B1458" t="s">
        <v>47</v>
      </c>
      <c r="C1458" s="1">
        <v>45592</v>
      </c>
      <c r="D1458" s="2" t="s">
        <v>25</v>
      </c>
      <c r="E1458" t="s">
        <v>33</v>
      </c>
      <c r="G1458" s="3">
        <v>295</v>
      </c>
      <c r="H1458" t="s">
        <v>175</v>
      </c>
      <c r="I1458" s="3" t="str">
        <f t="shared" si="66"/>
        <v>2024-10</v>
      </c>
      <c r="J1458" s="1">
        <f t="shared" si="67"/>
        <v>45792</v>
      </c>
      <c r="K1458" t="str">
        <f t="shared" si="68"/>
        <v>ACTIVE</v>
      </c>
    </row>
    <row r="1459" spans="1:11">
      <c r="A1459">
        <v>304</v>
      </c>
      <c r="B1459" t="s">
        <v>79</v>
      </c>
      <c r="C1459" s="1">
        <v>45425</v>
      </c>
      <c r="D1459" s="2" t="s">
        <v>27</v>
      </c>
      <c r="E1459" t="s">
        <v>31</v>
      </c>
      <c r="G1459" s="3">
        <v>404</v>
      </c>
      <c r="H1459" t="s">
        <v>175</v>
      </c>
      <c r="I1459" s="3" t="str">
        <f t="shared" si="66"/>
        <v>2024-05</v>
      </c>
      <c r="J1459" s="1">
        <f t="shared" si="67"/>
        <v>45782</v>
      </c>
      <c r="K1459" t="str">
        <f t="shared" si="68"/>
        <v>ACTIVE</v>
      </c>
    </row>
    <row r="1460" spans="1:11">
      <c r="A1460">
        <v>268</v>
      </c>
      <c r="B1460" t="s">
        <v>47</v>
      </c>
      <c r="C1460" s="1">
        <v>45438</v>
      </c>
      <c r="D1460" s="2" t="s">
        <v>23</v>
      </c>
      <c r="E1460" t="s">
        <v>35</v>
      </c>
      <c r="G1460" s="3">
        <v>522</v>
      </c>
      <c r="H1460" t="s">
        <v>172</v>
      </c>
      <c r="I1460" s="3" t="str">
        <f t="shared" si="66"/>
        <v>2024-05</v>
      </c>
      <c r="J1460" s="1">
        <f t="shared" si="67"/>
        <v>45792</v>
      </c>
      <c r="K1460" t="str">
        <f t="shared" si="68"/>
        <v>ACTIVE</v>
      </c>
    </row>
    <row r="1461" spans="1:11">
      <c r="A1461">
        <v>546</v>
      </c>
      <c r="B1461" t="s">
        <v>141</v>
      </c>
      <c r="C1461" s="1">
        <v>45717</v>
      </c>
      <c r="D1461" s="2" t="s">
        <v>28</v>
      </c>
      <c r="E1461" t="s">
        <v>30</v>
      </c>
      <c r="G1461" s="3">
        <v>787</v>
      </c>
      <c r="H1461" t="s">
        <v>173</v>
      </c>
      <c r="I1461" s="3" t="str">
        <f t="shared" si="66"/>
        <v>2025-03</v>
      </c>
      <c r="J1461" s="1">
        <f t="shared" si="67"/>
        <v>45773</v>
      </c>
      <c r="K1461" t="str">
        <f t="shared" si="68"/>
        <v>ACTIVE</v>
      </c>
    </row>
    <row r="1462" spans="1:11">
      <c r="A1462">
        <v>213</v>
      </c>
      <c r="B1462" t="s">
        <v>127</v>
      </c>
      <c r="C1462" s="1">
        <v>45486</v>
      </c>
      <c r="D1462" s="2" t="s">
        <v>25</v>
      </c>
      <c r="E1462" t="s">
        <v>30</v>
      </c>
      <c r="G1462" s="3">
        <v>350</v>
      </c>
      <c r="H1462" t="s">
        <v>175</v>
      </c>
      <c r="I1462" s="3" t="str">
        <f t="shared" si="66"/>
        <v>2024-07</v>
      </c>
      <c r="J1462" s="1">
        <f t="shared" si="67"/>
        <v>45794</v>
      </c>
      <c r="K1462" t="str">
        <f t="shared" si="68"/>
        <v>ACTIVE</v>
      </c>
    </row>
    <row r="1463" spans="1:11">
      <c r="A1463">
        <v>897</v>
      </c>
      <c r="B1463" t="s">
        <v>39</v>
      </c>
      <c r="C1463" s="1">
        <v>45480</v>
      </c>
      <c r="D1463" s="2" t="s">
        <v>27</v>
      </c>
      <c r="E1463" t="s">
        <v>35</v>
      </c>
      <c r="G1463" s="3">
        <v>2074</v>
      </c>
      <c r="H1463" t="s">
        <v>176</v>
      </c>
      <c r="I1463" s="3" t="str">
        <f t="shared" si="66"/>
        <v>2024-07</v>
      </c>
      <c r="J1463" s="1">
        <f t="shared" si="67"/>
        <v>45795</v>
      </c>
      <c r="K1463" t="str">
        <f t="shared" si="68"/>
        <v>ACTIVE</v>
      </c>
    </row>
    <row r="1464" spans="1:11">
      <c r="A1464">
        <v>1223</v>
      </c>
      <c r="B1464" t="s">
        <v>94</v>
      </c>
      <c r="C1464" s="1">
        <v>45511</v>
      </c>
      <c r="D1464" s="2" t="s">
        <v>23</v>
      </c>
      <c r="E1464" t="s">
        <v>31</v>
      </c>
      <c r="G1464" s="3">
        <v>9759</v>
      </c>
      <c r="H1464" t="s">
        <v>174</v>
      </c>
      <c r="I1464" s="3" t="str">
        <f t="shared" si="66"/>
        <v>2024-08</v>
      </c>
      <c r="J1464" s="1">
        <f t="shared" si="67"/>
        <v>45824</v>
      </c>
      <c r="K1464" t="str">
        <f t="shared" si="68"/>
        <v>ACTIVE</v>
      </c>
    </row>
    <row r="1465" spans="1:11">
      <c r="A1465">
        <v>917</v>
      </c>
      <c r="B1465" t="s">
        <v>102</v>
      </c>
      <c r="C1465" s="1">
        <v>45723</v>
      </c>
      <c r="D1465" s="2" t="s">
        <v>23</v>
      </c>
      <c r="E1465" t="s">
        <v>30</v>
      </c>
      <c r="G1465" s="3">
        <v>2162</v>
      </c>
      <c r="H1465" t="s">
        <v>172</v>
      </c>
      <c r="I1465" s="3" t="str">
        <f t="shared" si="66"/>
        <v>2025-03</v>
      </c>
      <c r="J1465" s="1">
        <f t="shared" si="67"/>
        <v>45793</v>
      </c>
      <c r="K1465" t="str">
        <f t="shared" si="68"/>
        <v>ACTIVE</v>
      </c>
    </row>
    <row r="1466" spans="1:11">
      <c r="A1466">
        <v>676</v>
      </c>
      <c r="B1466" t="s">
        <v>150</v>
      </c>
      <c r="C1466" s="1">
        <v>45632</v>
      </c>
      <c r="D1466" s="2" t="s">
        <v>27</v>
      </c>
      <c r="E1466" t="s">
        <v>32</v>
      </c>
      <c r="G1466" s="3">
        <v>0</v>
      </c>
      <c r="H1466" t="s">
        <v>175</v>
      </c>
      <c r="I1466" s="3" t="str">
        <f t="shared" si="66"/>
        <v>2024-12</v>
      </c>
      <c r="J1466" s="1">
        <f t="shared" si="67"/>
        <v>45827</v>
      </c>
      <c r="K1466" t="str">
        <f t="shared" si="68"/>
        <v>ACTIVE</v>
      </c>
    </row>
    <row r="1467" spans="1:11">
      <c r="A1467">
        <v>1290</v>
      </c>
      <c r="B1467" t="s">
        <v>147</v>
      </c>
      <c r="C1467" s="1">
        <v>45752</v>
      </c>
      <c r="D1467" s="2" t="s">
        <v>27</v>
      </c>
      <c r="E1467" t="s">
        <v>30</v>
      </c>
      <c r="G1467" s="3">
        <v>314</v>
      </c>
      <c r="H1467" t="s">
        <v>174</v>
      </c>
      <c r="I1467" s="3" t="str">
        <f t="shared" si="66"/>
        <v>2025-04</v>
      </c>
      <c r="J1467" s="1">
        <f t="shared" si="67"/>
        <v>45752</v>
      </c>
      <c r="K1467" t="str">
        <f t="shared" si="68"/>
        <v>ACTIVE</v>
      </c>
    </row>
    <row r="1468" spans="1:11">
      <c r="A1468">
        <v>815</v>
      </c>
      <c r="B1468" t="s">
        <v>68</v>
      </c>
      <c r="C1468" s="1">
        <v>45494</v>
      </c>
      <c r="D1468" s="2" t="s">
        <v>28</v>
      </c>
      <c r="E1468" t="s">
        <v>33</v>
      </c>
      <c r="G1468" s="3">
        <v>1842</v>
      </c>
      <c r="H1468" t="s">
        <v>175</v>
      </c>
      <c r="I1468" s="3" t="str">
        <f t="shared" si="66"/>
        <v>2024-07</v>
      </c>
      <c r="J1468" s="1">
        <f t="shared" si="67"/>
        <v>45776</v>
      </c>
      <c r="K1468" t="str">
        <f t="shared" si="68"/>
        <v>ACTIVE</v>
      </c>
    </row>
    <row r="1469" spans="1:11">
      <c r="A1469">
        <v>1266</v>
      </c>
      <c r="B1469" t="s">
        <v>51</v>
      </c>
      <c r="C1469" s="1">
        <v>45645</v>
      </c>
      <c r="D1469" s="2" t="s">
        <v>27</v>
      </c>
      <c r="E1469" t="s">
        <v>35</v>
      </c>
      <c r="G1469" s="3">
        <v>5148</v>
      </c>
      <c r="H1469" t="s">
        <v>173</v>
      </c>
      <c r="I1469" s="3" t="str">
        <f t="shared" si="66"/>
        <v>2024-12</v>
      </c>
      <c r="J1469" s="1">
        <f t="shared" si="67"/>
        <v>45775</v>
      </c>
      <c r="K1469" t="str">
        <f t="shared" si="68"/>
        <v>ACTIVE</v>
      </c>
    </row>
    <row r="1470" spans="1:11">
      <c r="A1470">
        <v>343</v>
      </c>
      <c r="B1470" t="s">
        <v>108</v>
      </c>
      <c r="C1470" s="1">
        <v>45464</v>
      </c>
      <c r="D1470" s="2" t="s">
        <v>27</v>
      </c>
      <c r="E1470" t="s">
        <v>32</v>
      </c>
      <c r="G1470" s="3">
        <v>852</v>
      </c>
      <c r="H1470" t="s">
        <v>173</v>
      </c>
      <c r="I1470" s="3" t="str">
        <f t="shared" si="66"/>
        <v>2024-06</v>
      </c>
      <c r="J1470" s="1">
        <f t="shared" si="67"/>
        <v>45826</v>
      </c>
      <c r="K1470" t="str">
        <f t="shared" si="68"/>
        <v>ACTIVE</v>
      </c>
    </row>
    <row r="1471" spans="1:11">
      <c r="A1471">
        <v>550</v>
      </c>
      <c r="B1471" t="s">
        <v>112</v>
      </c>
      <c r="C1471" s="1">
        <v>45611</v>
      </c>
      <c r="D1471" s="2" t="s">
        <v>25</v>
      </c>
      <c r="E1471" t="s">
        <v>31</v>
      </c>
      <c r="G1471" s="3">
        <v>11114</v>
      </c>
      <c r="H1471" t="s">
        <v>173</v>
      </c>
      <c r="I1471" s="3" t="str">
        <f t="shared" si="66"/>
        <v>2024-11</v>
      </c>
      <c r="J1471" s="1">
        <f t="shared" si="67"/>
        <v>45815</v>
      </c>
      <c r="K1471" t="str">
        <f t="shared" si="68"/>
        <v>ACTIVE</v>
      </c>
    </row>
    <row r="1472" spans="1:11">
      <c r="A1472">
        <v>1411</v>
      </c>
      <c r="B1472" t="s">
        <v>140</v>
      </c>
      <c r="C1472" s="1">
        <v>45516</v>
      </c>
      <c r="D1472" s="2" t="s">
        <v>23</v>
      </c>
      <c r="E1472" t="s">
        <v>30</v>
      </c>
      <c r="G1472" s="3">
        <v>10396</v>
      </c>
      <c r="H1472" t="s">
        <v>172</v>
      </c>
      <c r="I1472" s="3" t="str">
        <f t="shared" si="66"/>
        <v>2024-08</v>
      </c>
      <c r="J1472" s="1">
        <f t="shared" si="67"/>
        <v>45812</v>
      </c>
      <c r="K1472" t="str">
        <f t="shared" si="68"/>
        <v>ACTIVE</v>
      </c>
    </row>
    <row r="1473" spans="1:11">
      <c r="A1473">
        <v>1215</v>
      </c>
      <c r="B1473" t="s">
        <v>133</v>
      </c>
      <c r="C1473" s="1">
        <v>45321</v>
      </c>
      <c r="D1473" s="2" t="s">
        <v>25</v>
      </c>
      <c r="E1473" t="s">
        <v>31</v>
      </c>
      <c r="G1473" s="3">
        <v>578</v>
      </c>
      <c r="H1473" t="s">
        <v>176</v>
      </c>
      <c r="I1473" s="3" t="str">
        <f t="shared" si="66"/>
        <v>2024-01</v>
      </c>
      <c r="J1473" s="1">
        <f t="shared" si="67"/>
        <v>45788</v>
      </c>
      <c r="K1473" t="str">
        <f t="shared" si="68"/>
        <v>ACTIVE</v>
      </c>
    </row>
    <row r="1474" spans="1:11">
      <c r="A1474">
        <v>967</v>
      </c>
      <c r="B1474" t="s">
        <v>156</v>
      </c>
      <c r="C1474" s="1">
        <v>45738</v>
      </c>
      <c r="D1474" s="2" t="s">
        <v>28</v>
      </c>
      <c r="E1474" t="s">
        <v>33</v>
      </c>
      <c r="G1474" s="3">
        <v>2173</v>
      </c>
      <c r="H1474" t="s">
        <v>174</v>
      </c>
      <c r="I1474" s="3" t="str">
        <f t="shared" si="66"/>
        <v>2025-03</v>
      </c>
      <c r="J1474" s="1">
        <f t="shared" si="67"/>
        <v>45738</v>
      </c>
      <c r="K1474" t="str">
        <f t="shared" si="68"/>
        <v>LAPSED</v>
      </c>
    </row>
    <row r="1475" spans="1:11">
      <c r="A1475">
        <v>1231</v>
      </c>
      <c r="B1475" t="s">
        <v>46</v>
      </c>
      <c r="C1475" s="1">
        <v>45360</v>
      </c>
      <c r="D1475" s="2" t="s">
        <v>28</v>
      </c>
      <c r="E1475" t="s">
        <v>33</v>
      </c>
      <c r="G1475" s="3">
        <v>1489</v>
      </c>
      <c r="H1475" t="s">
        <v>172</v>
      </c>
      <c r="I1475" s="3" t="str">
        <f t="shared" ref="I1475:I1538" si="69">TEXT(C1475, "yyyy-mm")</f>
        <v>2024-03</v>
      </c>
      <c r="J1475" s="1">
        <f t="shared" ref="J1475:J1538" si="70">_xlfn.MAXIFS(C:C, B:B, B1475)</f>
        <v>45815</v>
      </c>
      <c r="K1475" t="str">
        <f t="shared" ref="K1475:K1538" si="71">IF($L$3-J1475&gt;90, "LAPSED","ACTIVE")</f>
        <v>ACTIVE</v>
      </c>
    </row>
    <row r="1476" spans="1:11">
      <c r="A1476">
        <v>296</v>
      </c>
      <c r="B1476" t="s">
        <v>137</v>
      </c>
      <c r="C1476" s="1">
        <v>45735</v>
      </c>
      <c r="D1476" s="2" t="s">
        <v>28</v>
      </c>
      <c r="E1476" t="s">
        <v>32</v>
      </c>
      <c r="G1476" s="3">
        <v>477</v>
      </c>
      <c r="H1476" t="s">
        <v>173</v>
      </c>
      <c r="I1476" s="3" t="str">
        <f t="shared" si="69"/>
        <v>2025-03</v>
      </c>
      <c r="J1476" s="1">
        <f t="shared" si="70"/>
        <v>45819</v>
      </c>
      <c r="K1476" t="str">
        <f t="shared" si="71"/>
        <v>ACTIVE</v>
      </c>
    </row>
    <row r="1477" spans="1:11">
      <c r="A1477">
        <v>696</v>
      </c>
      <c r="B1477" t="s">
        <v>79</v>
      </c>
      <c r="C1477" s="1">
        <v>45563</v>
      </c>
      <c r="D1477" s="2" t="s">
        <v>26</v>
      </c>
      <c r="E1477" t="s">
        <v>33</v>
      </c>
      <c r="G1477" s="3">
        <v>1247</v>
      </c>
      <c r="H1477" t="s">
        <v>175</v>
      </c>
      <c r="I1477" s="3" t="str">
        <f t="shared" si="69"/>
        <v>2024-09</v>
      </c>
      <c r="J1477" s="1">
        <f t="shared" si="70"/>
        <v>45782</v>
      </c>
      <c r="K1477" t="str">
        <f t="shared" si="71"/>
        <v>ACTIVE</v>
      </c>
    </row>
    <row r="1478" spans="1:11">
      <c r="A1478">
        <v>1453</v>
      </c>
      <c r="B1478" t="s">
        <v>91</v>
      </c>
      <c r="C1478" s="1">
        <v>45493</v>
      </c>
      <c r="D1478" s="2" t="s">
        <v>25</v>
      </c>
      <c r="E1478" t="s">
        <v>32</v>
      </c>
      <c r="G1478" s="3">
        <v>9161</v>
      </c>
      <c r="H1478" t="s">
        <v>173</v>
      </c>
      <c r="I1478" s="3" t="str">
        <f t="shared" si="69"/>
        <v>2024-07</v>
      </c>
      <c r="J1478" s="1">
        <f t="shared" si="70"/>
        <v>45785</v>
      </c>
      <c r="K1478" t="str">
        <f t="shared" si="71"/>
        <v>ACTIVE</v>
      </c>
    </row>
    <row r="1479" spans="1:11">
      <c r="A1479">
        <v>74</v>
      </c>
      <c r="B1479" t="s">
        <v>92</v>
      </c>
      <c r="C1479" s="1">
        <v>45587</v>
      </c>
      <c r="D1479" s="2" t="s">
        <v>25</v>
      </c>
      <c r="E1479" t="s">
        <v>32</v>
      </c>
      <c r="G1479" s="3">
        <v>2700</v>
      </c>
      <c r="H1479" t="s">
        <v>174</v>
      </c>
      <c r="I1479" s="3" t="str">
        <f t="shared" si="69"/>
        <v>2024-10</v>
      </c>
      <c r="J1479" s="1">
        <f t="shared" si="70"/>
        <v>45746</v>
      </c>
      <c r="K1479" t="str">
        <f t="shared" si="71"/>
        <v>ACTIVE</v>
      </c>
    </row>
    <row r="1480" spans="1:11">
      <c r="A1480">
        <v>606</v>
      </c>
      <c r="B1480" t="s">
        <v>58</v>
      </c>
      <c r="C1480" s="1">
        <v>45449</v>
      </c>
      <c r="D1480" s="2" t="s">
        <v>27</v>
      </c>
      <c r="E1480" t="s">
        <v>34</v>
      </c>
      <c r="G1480" s="3">
        <v>599</v>
      </c>
      <c r="H1480" t="s">
        <v>175</v>
      </c>
      <c r="I1480" s="3" t="str">
        <f t="shared" si="69"/>
        <v>2024-06</v>
      </c>
      <c r="J1480" s="1">
        <f t="shared" si="70"/>
        <v>45752</v>
      </c>
      <c r="K1480" t="str">
        <f t="shared" si="71"/>
        <v>ACTIVE</v>
      </c>
    </row>
    <row r="1481" spans="1:11">
      <c r="A1481">
        <v>105</v>
      </c>
      <c r="B1481" t="s">
        <v>47</v>
      </c>
      <c r="C1481" s="1">
        <v>45502</v>
      </c>
      <c r="D1481" s="2" t="s">
        <v>26</v>
      </c>
      <c r="E1481" t="s">
        <v>33</v>
      </c>
      <c r="G1481" s="3">
        <v>2250</v>
      </c>
      <c r="H1481" t="s">
        <v>172</v>
      </c>
      <c r="I1481" s="3" t="str">
        <f t="shared" si="69"/>
        <v>2024-07</v>
      </c>
      <c r="J1481" s="1">
        <f t="shared" si="70"/>
        <v>45792</v>
      </c>
      <c r="K1481" t="str">
        <f t="shared" si="71"/>
        <v>ACTIVE</v>
      </c>
    </row>
    <row r="1482" spans="1:11">
      <c r="A1482">
        <v>646</v>
      </c>
      <c r="B1482" t="s">
        <v>147</v>
      </c>
      <c r="C1482" s="1">
        <v>45378</v>
      </c>
      <c r="D1482" s="2" t="s">
        <v>25</v>
      </c>
      <c r="E1482" t="s">
        <v>31</v>
      </c>
      <c r="G1482" s="3">
        <v>935</v>
      </c>
      <c r="H1482" t="s">
        <v>176</v>
      </c>
      <c r="I1482" s="3" t="str">
        <f t="shared" si="69"/>
        <v>2024-03</v>
      </c>
      <c r="J1482" s="1">
        <f t="shared" si="70"/>
        <v>45752</v>
      </c>
      <c r="K1482" t="str">
        <f t="shared" si="71"/>
        <v>ACTIVE</v>
      </c>
    </row>
    <row r="1483" spans="1:11">
      <c r="A1483">
        <v>1405</v>
      </c>
      <c r="B1483" t="s">
        <v>119</v>
      </c>
      <c r="C1483" s="1">
        <v>45536</v>
      </c>
      <c r="D1483" s="2" t="s">
        <v>24</v>
      </c>
      <c r="E1483" t="s">
        <v>32</v>
      </c>
      <c r="G1483" s="3">
        <v>734</v>
      </c>
      <c r="H1483" t="s">
        <v>172</v>
      </c>
      <c r="I1483" s="3" t="str">
        <f t="shared" si="69"/>
        <v>2024-09</v>
      </c>
      <c r="J1483" s="1">
        <f t="shared" si="70"/>
        <v>45806</v>
      </c>
      <c r="K1483" t="str">
        <f t="shared" si="71"/>
        <v>ACTIVE</v>
      </c>
    </row>
    <row r="1484" spans="1:11">
      <c r="A1484">
        <v>1771</v>
      </c>
      <c r="B1484" t="s">
        <v>47</v>
      </c>
      <c r="C1484" s="1">
        <v>45389</v>
      </c>
      <c r="D1484" s="2" t="s">
        <v>25</v>
      </c>
      <c r="E1484" t="s">
        <v>30</v>
      </c>
      <c r="G1484" s="3">
        <v>514</v>
      </c>
      <c r="H1484" t="s">
        <v>173</v>
      </c>
      <c r="I1484" s="3" t="str">
        <f t="shared" si="69"/>
        <v>2024-04</v>
      </c>
      <c r="J1484" s="1">
        <f t="shared" si="70"/>
        <v>45792</v>
      </c>
      <c r="K1484" t="str">
        <f t="shared" si="71"/>
        <v>ACTIVE</v>
      </c>
    </row>
    <row r="1485" spans="1:11">
      <c r="A1485">
        <v>1041</v>
      </c>
      <c r="B1485" t="s">
        <v>132</v>
      </c>
      <c r="C1485" s="1">
        <v>45667</v>
      </c>
      <c r="D1485" s="2" t="s">
        <v>23</v>
      </c>
      <c r="E1485" t="s">
        <v>31</v>
      </c>
      <c r="G1485" s="3">
        <v>2021</v>
      </c>
      <c r="H1485" t="s">
        <v>174</v>
      </c>
      <c r="I1485" s="3" t="str">
        <f t="shared" si="69"/>
        <v>2025-01</v>
      </c>
      <c r="J1485" s="1">
        <f t="shared" si="70"/>
        <v>45822</v>
      </c>
      <c r="K1485" t="str">
        <f t="shared" si="71"/>
        <v>ACTIVE</v>
      </c>
    </row>
    <row r="1486" spans="1:11">
      <c r="A1486">
        <v>440</v>
      </c>
      <c r="B1486" t="s">
        <v>84</v>
      </c>
      <c r="C1486" s="1">
        <v>45372</v>
      </c>
      <c r="D1486" s="2" t="s">
        <v>23</v>
      </c>
      <c r="E1486" t="s">
        <v>31</v>
      </c>
      <c r="G1486" s="3">
        <v>316</v>
      </c>
      <c r="H1486" t="s">
        <v>172</v>
      </c>
      <c r="I1486" s="3" t="str">
        <f t="shared" si="69"/>
        <v>2024-03</v>
      </c>
      <c r="J1486" s="1">
        <f t="shared" si="70"/>
        <v>45827</v>
      </c>
      <c r="K1486" t="str">
        <f t="shared" si="71"/>
        <v>ACTIVE</v>
      </c>
    </row>
    <row r="1487" spans="1:11">
      <c r="A1487">
        <v>1020</v>
      </c>
      <c r="B1487" t="s">
        <v>81</v>
      </c>
      <c r="C1487" s="1">
        <v>45454</v>
      </c>
      <c r="D1487" s="2" t="s">
        <v>23</v>
      </c>
      <c r="E1487" t="s">
        <v>35</v>
      </c>
      <c r="G1487" s="3">
        <v>1879</v>
      </c>
      <c r="H1487" t="s">
        <v>175</v>
      </c>
      <c r="I1487" s="3" t="str">
        <f t="shared" si="69"/>
        <v>2024-06</v>
      </c>
      <c r="J1487" s="1">
        <f t="shared" si="70"/>
        <v>45787</v>
      </c>
      <c r="K1487" t="str">
        <f t="shared" si="71"/>
        <v>ACTIVE</v>
      </c>
    </row>
    <row r="1488" spans="1:11">
      <c r="A1488">
        <v>92</v>
      </c>
      <c r="B1488" t="s">
        <v>92</v>
      </c>
      <c r="C1488" s="1">
        <v>45367</v>
      </c>
      <c r="D1488" s="2" t="s">
        <v>24</v>
      </c>
      <c r="E1488" t="s">
        <v>35</v>
      </c>
      <c r="G1488" s="3">
        <v>2639</v>
      </c>
      <c r="H1488" t="s">
        <v>173</v>
      </c>
      <c r="I1488" s="3" t="str">
        <f t="shared" si="69"/>
        <v>2024-03</v>
      </c>
      <c r="J1488" s="1">
        <f t="shared" si="70"/>
        <v>45746</v>
      </c>
      <c r="K1488" t="str">
        <f t="shared" si="71"/>
        <v>ACTIVE</v>
      </c>
    </row>
    <row r="1489" spans="1:11">
      <c r="A1489">
        <v>1113</v>
      </c>
      <c r="B1489" t="s">
        <v>148</v>
      </c>
      <c r="C1489" s="1">
        <v>45669</v>
      </c>
      <c r="D1489" s="2" t="s">
        <v>24</v>
      </c>
      <c r="E1489" t="s">
        <v>35</v>
      </c>
      <c r="G1489" s="3">
        <v>521</v>
      </c>
      <c r="H1489" t="s">
        <v>176</v>
      </c>
      <c r="I1489" s="3" t="str">
        <f t="shared" si="69"/>
        <v>2025-01</v>
      </c>
      <c r="J1489" s="1">
        <f t="shared" si="70"/>
        <v>45766</v>
      </c>
      <c r="K1489" t="str">
        <f t="shared" si="71"/>
        <v>ACTIVE</v>
      </c>
    </row>
    <row r="1490" spans="1:11">
      <c r="A1490">
        <v>1586</v>
      </c>
      <c r="B1490" t="s">
        <v>112</v>
      </c>
      <c r="C1490" s="1">
        <v>45798</v>
      </c>
      <c r="D1490" s="2" t="s">
        <v>23</v>
      </c>
      <c r="E1490" t="s">
        <v>32</v>
      </c>
      <c r="G1490" s="3">
        <v>763</v>
      </c>
      <c r="H1490" t="s">
        <v>175</v>
      </c>
      <c r="I1490" s="3" t="str">
        <f t="shared" si="69"/>
        <v>2025-05</v>
      </c>
      <c r="J1490" s="1">
        <f t="shared" si="70"/>
        <v>45815</v>
      </c>
      <c r="K1490" t="str">
        <f t="shared" si="71"/>
        <v>ACTIVE</v>
      </c>
    </row>
    <row r="1491" spans="1:11">
      <c r="A1491">
        <v>909</v>
      </c>
      <c r="B1491" t="s">
        <v>52</v>
      </c>
      <c r="C1491" s="1">
        <v>45337</v>
      </c>
      <c r="D1491" s="2" t="s">
        <v>23</v>
      </c>
      <c r="E1491" t="s">
        <v>31</v>
      </c>
      <c r="G1491" s="3">
        <v>1005</v>
      </c>
      <c r="H1491" t="s">
        <v>173</v>
      </c>
      <c r="I1491" s="3" t="str">
        <f t="shared" si="69"/>
        <v>2024-02</v>
      </c>
      <c r="J1491" s="1">
        <f t="shared" si="70"/>
        <v>45811</v>
      </c>
      <c r="K1491" t="str">
        <f t="shared" si="71"/>
        <v>ACTIVE</v>
      </c>
    </row>
    <row r="1492" spans="1:11">
      <c r="A1492">
        <v>1475</v>
      </c>
      <c r="B1492" t="s">
        <v>110</v>
      </c>
      <c r="C1492" s="1">
        <v>45388</v>
      </c>
      <c r="D1492" s="2" t="s">
        <v>25</v>
      </c>
      <c r="E1492" t="s">
        <v>34</v>
      </c>
      <c r="G1492" s="3">
        <v>245</v>
      </c>
      <c r="H1492" t="s">
        <v>174</v>
      </c>
      <c r="I1492" s="3" t="str">
        <f t="shared" si="69"/>
        <v>2024-04</v>
      </c>
      <c r="J1492" s="1">
        <f t="shared" si="70"/>
        <v>45816</v>
      </c>
      <c r="K1492" t="str">
        <f t="shared" si="71"/>
        <v>ACTIVE</v>
      </c>
    </row>
    <row r="1493" spans="1:11">
      <c r="A1493">
        <v>103</v>
      </c>
      <c r="B1493" t="s">
        <v>92</v>
      </c>
      <c r="C1493" s="1">
        <v>45746</v>
      </c>
      <c r="D1493" s="2" t="s">
        <v>27</v>
      </c>
      <c r="E1493" t="s">
        <v>31</v>
      </c>
      <c r="G1493" s="3">
        <v>1192</v>
      </c>
      <c r="H1493" t="s">
        <v>174</v>
      </c>
      <c r="I1493" s="3" t="str">
        <f t="shared" si="69"/>
        <v>2025-03</v>
      </c>
      <c r="J1493" s="1">
        <f t="shared" si="70"/>
        <v>45746</v>
      </c>
      <c r="K1493" t="str">
        <f t="shared" si="71"/>
        <v>ACTIVE</v>
      </c>
    </row>
    <row r="1494" spans="1:11">
      <c r="A1494">
        <v>239</v>
      </c>
      <c r="B1494" t="s">
        <v>125</v>
      </c>
      <c r="C1494" s="1">
        <v>45449</v>
      </c>
      <c r="D1494" s="2" t="s">
        <v>28</v>
      </c>
      <c r="E1494" t="s">
        <v>32</v>
      </c>
      <c r="G1494" s="3">
        <v>980</v>
      </c>
      <c r="H1494" t="s">
        <v>175</v>
      </c>
      <c r="I1494" s="3" t="str">
        <f t="shared" si="69"/>
        <v>2024-06</v>
      </c>
      <c r="J1494" s="1">
        <f t="shared" si="70"/>
        <v>45784</v>
      </c>
      <c r="K1494" t="str">
        <f t="shared" si="71"/>
        <v>ACTIVE</v>
      </c>
    </row>
    <row r="1495" spans="1:11">
      <c r="A1495">
        <v>1736</v>
      </c>
      <c r="B1495" t="s">
        <v>121</v>
      </c>
      <c r="C1495" s="1">
        <v>45646</v>
      </c>
      <c r="D1495" s="2" t="s">
        <v>24</v>
      </c>
      <c r="E1495" t="s">
        <v>31</v>
      </c>
      <c r="G1495" s="3">
        <v>340</v>
      </c>
      <c r="H1495" t="s">
        <v>176</v>
      </c>
      <c r="I1495" s="3" t="str">
        <f t="shared" si="69"/>
        <v>2024-12</v>
      </c>
      <c r="J1495" s="1">
        <f t="shared" si="70"/>
        <v>45798</v>
      </c>
      <c r="K1495" t="str">
        <f t="shared" si="71"/>
        <v>ACTIVE</v>
      </c>
    </row>
    <row r="1496" spans="1:11">
      <c r="A1496">
        <v>943</v>
      </c>
      <c r="B1496" t="s">
        <v>49</v>
      </c>
      <c r="C1496" s="1">
        <v>45472</v>
      </c>
      <c r="D1496" s="2" t="s">
        <v>27</v>
      </c>
      <c r="E1496" t="s">
        <v>34</v>
      </c>
      <c r="G1496" s="3">
        <v>2405</v>
      </c>
      <c r="H1496" t="s">
        <v>174</v>
      </c>
      <c r="I1496" s="3" t="str">
        <f t="shared" si="69"/>
        <v>2024-06</v>
      </c>
      <c r="J1496" s="1">
        <f t="shared" si="70"/>
        <v>45812</v>
      </c>
      <c r="K1496" t="str">
        <f t="shared" si="71"/>
        <v>ACTIVE</v>
      </c>
    </row>
    <row r="1497" spans="1:11">
      <c r="A1497">
        <v>1271</v>
      </c>
      <c r="B1497" t="s">
        <v>107</v>
      </c>
      <c r="C1497" s="1">
        <v>45831</v>
      </c>
      <c r="D1497" s="2" t="s">
        <v>23</v>
      </c>
      <c r="E1497" t="s">
        <v>30</v>
      </c>
      <c r="G1497" s="3">
        <v>10087</v>
      </c>
      <c r="H1497" t="s">
        <v>175</v>
      </c>
      <c r="I1497" s="3" t="str">
        <f t="shared" si="69"/>
        <v>2025-06</v>
      </c>
      <c r="J1497" s="1">
        <f t="shared" si="70"/>
        <v>45831</v>
      </c>
      <c r="K1497" t="str">
        <f t="shared" si="71"/>
        <v>ACTIVE</v>
      </c>
    </row>
    <row r="1498" spans="1:11">
      <c r="A1498">
        <v>939</v>
      </c>
      <c r="B1498" t="s">
        <v>142</v>
      </c>
      <c r="C1498" s="1">
        <v>45689</v>
      </c>
      <c r="D1498" s="2" t="s">
        <v>28</v>
      </c>
      <c r="E1498" t="s">
        <v>30</v>
      </c>
      <c r="G1498" s="3">
        <v>940</v>
      </c>
      <c r="H1498" t="s">
        <v>173</v>
      </c>
      <c r="I1498" s="3" t="str">
        <f t="shared" si="69"/>
        <v>2025-02</v>
      </c>
      <c r="J1498" s="1">
        <f t="shared" si="70"/>
        <v>45803</v>
      </c>
      <c r="K1498" t="str">
        <f t="shared" si="71"/>
        <v>ACTIVE</v>
      </c>
    </row>
    <row r="1499" spans="1:11">
      <c r="A1499">
        <v>1534</v>
      </c>
      <c r="B1499" t="s">
        <v>110</v>
      </c>
      <c r="C1499" s="1">
        <v>45322</v>
      </c>
      <c r="D1499" s="2" t="s">
        <v>25</v>
      </c>
      <c r="E1499" t="s">
        <v>31</v>
      </c>
      <c r="G1499" s="3">
        <v>0</v>
      </c>
      <c r="H1499" t="s">
        <v>172</v>
      </c>
      <c r="I1499" s="3" t="str">
        <f t="shared" si="69"/>
        <v>2024-01</v>
      </c>
      <c r="J1499" s="1">
        <f t="shared" si="70"/>
        <v>45816</v>
      </c>
      <c r="K1499" t="str">
        <f t="shared" si="71"/>
        <v>ACTIVE</v>
      </c>
    </row>
    <row r="1500" spans="1:11">
      <c r="A1500">
        <v>1182</v>
      </c>
      <c r="B1500" t="s">
        <v>107</v>
      </c>
      <c r="C1500" s="1">
        <v>45599</v>
      </c>
      <c r="D1500" s="2" t="s">
        <v>25</v>
      </c>
      <c r="E1500" t="s">
        <v>35</v>
      </c>
      <c r="G1500" s="3">
        <v>858</v>
      </c>
      <c r="H1500" t="s">
        <v>176</v>
      </c>
      <c r="I1500" s="3" t="str">
        <f t="shared" si="69"/>
        <v>2024-11</v>
      </c>
      <c r="J1500" s="1">
        <f t="shared" si="70"/>
        <v>45831</v>
      </c>
      <c r="K1500" t="str">
        <f t="shared" si="71"/>
        <v>ACTIVE</v>
      </c>
    </row>
    <row r="1501" spans="1:11">
      <c r="A1501">
        <v>1504</v>
      </c>
      <c r="B1501" t="s">
        <v>144</v>
      </c>
      <c r="C1501" s="1">
        <v>45629</v>
      </c>
      <c r="D1501" s="2" t="s">
        <v>28</v>
      </c>
      <c r="E1501" t="s">
        <v>33</v>
      </c>
      <c r="G1501" s="3">
        <v>10642</v>
      </c>
      <c r="H1501" t="s">
        <v>172</v>
      </c>
      <c r="I1501" s="3" t="str">
        <f t="shared" si="69"/>
        <v>2024-12</v>
      </c>
      <c r="J1501" s="1">
        <f t="shared" si="70"/>
        <v>45751</v>
      </c>
      <c r="K1501" t="str">
        <f t="shared" si="71"/>
        <v>ACTIVE</v>
      </c>
    </row>
    <row r="1502" spans="1:11">
      <c r="A1502">
        <v>6</v>
      </c>
      <c r="B1502" t="s">
        <v>72</v>
      </c>
      <c r="C1502" s="1">
        <v>45681</v>
      </c>
      <c r="D1502" s="2" t="s">
        <v>28</v>
      </c>
      <c r="E1502" t="s">
        <v>30</v>
      </c>
      <c r="G1502" s="3">
        <v>4325</v>
      </c>
      <c r="H1502" t="s">
        <v>174</v>
      </c>
      <c r="I1502" s="3" t="str">
        <f t="shared" si="69"/>
        <v>2025-01</v>
      </c>
      <c r="J1502" s="1">
        <f t="shared" si="70"/>
        <v>45815</v>
      </c>
      <c r="K1502" t="str">
        <f t="shared" si="71"/>
        <v>ACTIVE</v>
      </c>
    </row>
    <row r="1503" spans="1:11">
      <c r="A1503">
        <v>1641</v>
      </c>
      <c r="B1503" t="s">
        <v>112</v>
      </c>
      <c r="C1503" s="1">
        <v>45662</v>
      </c>
      <c r="D1503" s="2" t="s">
        <v>27</v>
      </c>
      <c r="E1503" t="s">
        <v>32</v>
      </c>
      <c r="G1503" s="3">
        <v>2046</v>
      </c>
      <c r="H1503" t="s">
        <v>174</v>
      </c>
      <c r="I1503" s="3" t="str">
        <f t="shared" si="69"/>
        <v>2025-01</v>
      </c>
      <c r="J1503" s="1">
        <f t="shared" si="70"/>
        <v>45815</v>
      </c>
      <c r="K1503" t="str">
        <f t="shared" si="71"/>
        <v>ACTIVE</v>
      </c>
    </row>
    <row r="1504" spans="1:11">
      <c r="A1504">
        <v>966</v>
      </c>
      <c r="B1504" t="s">
        <v>71</v>
      </c>
      <c r="C1504" s="1">
        <v>45421</v>
      </c>
      <c r="D1504" s="2" t="s">
        <v>24</v>
      </c>
      <c r="E1504" t="s">
        <v>32</v>
      </c>
      <c r="G1504" s="3">
        <v>2363</v>
      </c>
      <c r="H1504" t="s">
        <v>174</v>
      </c>
      <c r="I1504" s="3" t="str">
        <f t="shared" si="69"/>
        <v>2024-05</v>
      </c>
      <c r="J1504" s="1">
        <f t="shared" si="70"/>
        <v>45823</v>
      </c>
      <c r="K1504" t="str">
        <f t="shared" si="71"/>
        <v>ACTIVE</v>
      </c>
    </row>
    <row r="1505" spans="1:11">
      <c r="A1505">
        <v>19</v>
      </c>
      <c r="B1505" t="s">
        <v>68</v>
      </c>
      <c r="C1505" s="1">
        <v>45776</v>
      </c>
      <c r="D1505" s="2" t="s">
        <v>28</v>
      </c>
      <c r="E1505" t="s">
        <v>32</v>
      </c>
      <c r="G1505" s="3">
        <v>1675</v>
      </c>
      <c r="H1505" t="s">
        <v>173</v>
      </c>
      <c r="I1505" s="3" t="str">
        <f t="shared" si="69"/>
        <v>2025-04</v>
      </c>
      <c r="J1505" s="1">
        <f t="shared" si="70"/>
        <v>45776</v>
      </c>
      <c r="K1505" t="str">
        <f t="shared" si="71"/>
        <v>ACTIVE</v>
      </c>
    </row>
    <row r="1506" spans="1:11">
      <c r="A1506">
        <v>1431</v>
      </c>
      <c r="B1506" t="s">
        <v>58</v>
      </c>
      <c r="C1506" s="1">
        <v>45359</v>
      </c>
      <c r="D1506" s="2" t="s">
        <v>25</v>
      </c>
      <c r="E1506" t="s">
        <v>31</v>
      </c>
      <c r="G1506" s="3">
        <v>334</v>
      </c>
      <c r="H1506" t="s">
        <v>172</v>
      </c>
      <c r="I1506" s="3" t="str">
        <f t="shared" si="69"/>
        <v>2024-03</v>
      </c>
      <c r="J1506" s="1">
        <f t="shared" si="70"/>
        <v>45752</v>
      </c>
      <c r="K1506" t="str">
        <f t="shared" si="71"/>
        <v>ACTIVE</v>
      </c>
    </row>
    <row r="1507" spans="1:11">
      <c r="A1507">
        <v>122</v>
      </c>
      <c r="B1507" t="s">
        <v>48</v>
      </c>
      <c r="C1507" s="1">
        <v>45654</v>
      </c>
      <c r="D1507" s="2" t="s">
        <v>28</v>
      </c>
      <c r="E1507" t="s">
        <v>30</v>
      </c>
      <c r="G1507" s="3">
        <v>487</v>
      </c>
      <c r="H1507" t="s">
        <v>173</v>
      </c>
      <c r="I1507" s="3" t="str">
        <f t="shared" si="69"/>
        <v>2024-12</v>
      </c>
      <c r="J1507" s="1">
        <f t="shared" si="70"/>
        <v>45809</v>
      </c>
      <c r="K1507" t="str">
        <f t="shared" si="71"/>
        <v>ACTIVE</v>
      </c>
    </row>
    <row r="1508" spans="1:11">
      <c r="A1508">
        <v>662</v>
      </c>
      <c r="B1508" t="s">
        <v>82</v>
      </c>
      <c r="C1508" s="1">
        <v>45440</v>
      </c>
      <c r="D1508" s="2" t="s">
        <v>28</v>
      </c>
      <c r="E1508" t="s">
        <v>30</v>
      </c>
      <c r="G1508" s="3">
        <v>5643</v>
      </c>
      <c r="H1508" t="s">
        <v>176</v>
      </c>
      <c r="I1508" s="3" t="str">
        <f t="shared" si="69"/>
        <v>2024-05</v>
      </c>
      <c r="J1508" s="1">
        <f t="shared" si="70"/>
        <v>45781</v>
      </c>
      <c r="K1508" t="str">
        <f t="shared" si="71"/>
        <v>ACTIVE</v>
      </c>
    </row>
    <row r="1509" spans="1:11">
      <c r="A1509">
        <v>1526</v>
      </c>
      <c r="B1509" t="s">
        <v>96</v>
      </c>
      <c r="C1509" s="1">
        <v>45378</v>
      </c>
      <c r="D1509" s="2" t="s">
        <v>28</v>
      </c>
      <c r="E1509" t="s">
        <v>31</v>
      </c>
      <c r="G1509" s="3">
        <v>838</v>
      </c>
      <c r="H1509" t="s">
        <v>174</v>
      </c>
      <c r="I1509" s="3" t="str">
        <f t="shared" si="69"/>
        <v>2024-03</v>
      </c>
      <c r="J1509" s="1">
        <f t="shared" si="70"/>
        <v>45798</v>
      </c>
      <c r="K1509" t="str">
        <f t="shared" si="71"/>
        <v>ACTIVE</v>
      </c>
    </row>
    <row r="1510" spans="1:11">
      <c r="A1510">
        <v>275</v>
      </c>
      <c r="B1510" t="s">
        <v>49</v>
      </c>
      <c r="C1510" s="1">
        <v>45703</v>
      </c>
      <c r="D1510" s="2" t="s">
        <v>23</v>
      </c>
      <c r="E1510" t="s">
        <v>35</v>
      </c>
      <c r="G1510" s="3">
        <v>1366</v>
      </c>
      <c r="H1510" t="s">
        <v>174</v>
      </c>
      <c r="I1510" s="3" t="str">
        <f t="shared" si="69"/>
        <v>2025-02</v>
      </c>
      <c r="J1510" s="1">
        <f t="shared" si="70"/>
        <v>45812</v>
      </c>
      <c r="K1510" t="str">
        <f t="shared" si="71"/>
        <v>ACTIVE</v>
      </c>
    </row>
    <row r="1511" spans="1:11">
      <c r="A1511">
        <v>434</v>
      </c>
      <c r="B1511" t="s">
        <v>61</v>
      </c>
      <c r="C1511" s="1">
        <v>45557</v>
      </c>
      <c r="D1511" s="2" t="s">
        <v>23</v>
      </c>
      <c r="E1511" t="s">
        <v>31</v>
      </c>
      <c r="G1511" s="3">
        <v>1816</v>
      </c>
      <c r="H1511" t="s">
        <v>175</v>
      </c>
      <c r="I1511" s="3" t="str">
        <f t="shared" si="69"/>
        <v>2024-09</v>
      </c>
      <c r="J1511" s="1">
        <f t="shared" si="70"/>
        <v>45815</v>
      </c>
      <c r="K1511" t="str">
        <f t="shared" si="71"/>
        <v>ACTIVE</v>
      </c>
    </row>
    <row r="1512" spans="1:11">
      <c r="A1512">
        <v>812</v>
      </c>
      <c r="B1512" t="s">
        <v>129</v>
      </c>
      <c r="C1512" s="1">
        <v>45587</v>
      </c>
      <c r="D1512" s="2" t="s">
        <v>25</v>
      </c>
      <c r="E1512" t="s">
        <v>33</v>
      </c>
      <c r="G1512" s="3">
        <v>4685</v>
      </c>
      <c r="H1512" t="s">
        <v>172</v>
      </c>
      <c r="I1512" s="3" t="str">
        <f t="shared" si="69"/>
        <v>2024-10</v>
      </c>
      <c r="J1512" s="1">
        <f t="shared" si="70"/>
        <v>45812</v>
      </c>
      <c r="K1512" t="str">
        <f t="shared" si="71"/>
        <v>ACTIVE</v>
      </c>
    </row>
    <row r="1513" spans="1:11">
      <c r="A1513">
        <v>1301</v>
      </c>
      <c r="B1513" t="s">
        <v>75</v>
      </c>
      <c r="C1513" s="1">
        <v>45588</v>
      </c>
      <c r="D1513" s="2" t="s">
        <v>25</v>
      </c>
      <c r="E1513" t="s">
        <v>35</v>
      </c>
      <c r="G1513" s="3">
        <v>1740</v>
      </c>
      <c r="H1513" t="s">
        <v>172</v>
      </c>
      <c r="I1513" s="3" t="str">
        <f t="shared" si="69"/>
        <v>2024-10</v>
      </c>
      <c r="J1513" s="1">
        <f t="shared" si="70"/>
        <v>45772</v>
      </c>
      <c r="K1513" t="str">
        <f t="shared" si="71"/>
        <v>ACTIVE</v>
      </c>
    </row>
    <row r="1514" spans="1:11">
      <c r="A1514">
        <v>1336</v>
      </c>
      <c r="B1514" t="s">
        <v>90</v>
      </c>
      <c r="C1514" s="1">
        <v>45677</v>
      </c>
      <c r="D1514" s="2" t="s">
        <v>25</v>
      </c>
      <c r="E1514" t="s">
        <v>31</v>
      </c>
      <c r="G1514" s="3">
        <v>2204</v>
      </c>
      <c r="H1514" t="s">
        <v>174</v>
      </c>
      <c r="I1514" s="3" t="str">
        <f t="shared" si="69"/>
        <v>2025-01</v>
      </c>
      <c r="J1514" s="1">
        <f t="shared" si="70"/>
        <v>45788</v>
      </c>
      <c r="K1514" t="str">
        <f t="shared" si="71"/>
        <v>ACTIVE</v>
      </c>
    </row>
    <row r="1515" spans="1:11">
      <c r="A1515">
        <v>1687</v>
      </c>
      <c r="B1515" t="s">
        <v>82</v>
      </c>
      <c r="C1515" s="1">
        <v>45781</v>
      </c>
      <c r="D1515" s="2" t="s">
        <v>27</v>
      </c>
      <c r="E1515" t="s">
        <v>30</v>
      </c>
      <c r="G1515" s="3">
        <v>867</v>
      </c>
      <c r="H1515" t="s">
        <v>176</v>
      </c>
      <c r="I1515" s="3" t="str">
        <f t="shared" si="69"/>
        <v>2025-05</v>
      </c>
      <c r="J1515" s="1">
        <f t="shared" si="70"/>
        <v>45781</v>
      </c>
      <c r="K1515" t="str">
        <f t="shared" si="71"/>
        <v>ACTIVE</v>
      </c>
    </row>
    <row r="1516" spans="1:11">
      <c r="A1516">
        <v>1706</v>
      </c>
      <c r="B1516" t="s">
        <v>98</v>
      </c>
      <c r="C1516" s="1">
        <v>45462</v>
      </c>
      <c r="D1516" s="2" t="s">
        <v>27</v>
      </c>
      <c r="E1516" t="s">
        <v>34</v>
      </c>
      <c r="G1516" s="3">
        <v>2294</v>
      </c>
      <c r="H1516" t="s">
        <v>175</v>
      </c>
      <c r="I1516" s="3" t="str">
        <f t="shared" si="69"/>
        <v>2024-06</v>
      </c>
      <c r="J1516" s="1">
        <f t="shared" si="70"/>
        <v>45767</v>
      </c>
      <c r="K1516" t="str">
        <f t="shared" si="71"/>
        <v>ACTIVE</v>
      </c>
    </row>
    <row r="1517" spans="1:11">
      <c r="A1517">
        <v>182</v>
      </c>
      <c r="B1517" t="s">
        <v>94</v>
      </c>
      <c r="C1517" s="1">
        <v>45469</v>
      </c>
      <c r="D1517" s="2" t="s">
        <v>23</v>
      </c>
      <c r="E1517" t="s">
        <v>31</v>
      </c>
      <c r="G1517" s="3">
        <v>9417</v>
      </c>
      <c r="H1517" t="s">
        <v>174</v>
      </c>
      <c r="I1517" s="3" t="str">
        <f t="shared" si="69"/>
        <v>2024-06</v>
      </c>
      <c r="J1517" s="1">
        <f t="shared" si="70"/>
        <v>45824</v>
      </c>
      <c r="K1517" t="str">
        <f t="shared" si="71"/>
        <v>ACTIVE</v>
      </c>
    </row>
    <row r="1518" spans="1:11">
      <c r="A1518">
        <v>185</v>
      </c>
      <c r="B1518" t="s">
        <v>125</v>
      </c>
      <c r="C1518" s="1">
        <v>45586</v>
      </c>
      <c r="D1518" s="2" t="s">
        <v>25</v>
      </c>
      <c r="E1518" t="s">
        <v>31</v>
      </c>
      <c r="G1518" s="3">
        <v>319</v>
      </c>
      <c r="H1518" t="s">
        <v>173</v>
      </c>
      <c r="I1518" s="3" t="str">
        <f t="shared" si="69"/>
        <v>2024-10</v>
      </c>
      <c r="J1518" s="1">
        <f t="shared" si="70"/>
        <v>45784</v>
      </c>
      <c r="K1518" t="str">
        <f t="shared" si="71"/>
        <v>ACTIVE</v>
      </c>
    </row>
    <row r="1519" spans="1:11">
      <c r="A1519">
        <v>407</v>
      </c>
      <c r="B1519" t="s">
        <v>41</v>
      </c>
      <c r="C1519" s="1">
        <v>45712</v>
      </c>
      <c r="D1519" s="2" t="s">
        <v>27</v>
      </c>
      <c r="E1519" t="s">
        <v>34</v>
      </c>
      <c r="G1519" s="3">
        <v>1544</v>
      </c>
      <c r="H1519" t="s">
        <v>172</v>
      </c>
      <c r="I1519" s="3" t="str">
        <f t="shared" si="69"/>
        <v>2025-02</v>
      </c>
      <c r="J1519" s="1">
        <f t="shared" si="70"/>
        <v>45785</v>
      </c>
      <c r="K1519" t="str">
        <f t="shared" si="71"/>
        <v>ACTIVE</v>
      </c>
    </row>
    <row r="1520" spans="1:11">
      <c r="A1520">
        <v>866</v>
      </c>
      <c r="B1520" t="s">
        <v>110</v>
      </c>
      <c r="C1520" s="1">
        <v>45605</v>
      </c>
      <c r="D1520" s="2" t="s">
        <v>28</v>
      </c>
      <c r="E1520" t="s">
        <v>34</v>
      </c>
      <c r="G1520" s="3">
        <v>9396</v>
      </c>
      <c r="H1520" t="s">
        <v>175</v>
      </c>
      <c r="I1520" s="3" t="str">
        <f t="shared" si="69"/>
        <v>2024-11</v>
      </c>
      <c r="J1520" s="1">
        <f t="shared" si="70"/>
        <v>45816</v>
      </c>
      <c r="K1520" t="str">
        <f t="shared" si="71"/>
        <v>ACTIVE</v>
      </c>
    </row>
    <row r="1521" spans="1:11">
      <c r="A1521">
        <v>521</v>
      </c>
      <c r="B1521" t="s">
        <v>106</v>
      </c>
      <c r="C1521" s="1">
        <v>45615</v>
      </c>
      <c r="D1521" s="2" t="s">
        <v>23</v>
      </c>
      <c r="E1521" t="s">
        <v>34</v>
      </c>
      <c r="G1521" s="3">
        <v>2062</v>
      </c>
      <c r="H1521" t="s">
        <v>174</v>
      </c>
      <c r="I1521" s="3" t="str">
        <f t="shared" si="69"/>
        <v>2024-11</v>
      </c>
      <c r="J1521" s="1">
        <f t="shared" si="70"/>
        <v>45760</v>
      </c>
      <c r="K1521" t="str">
        <f t="shared" si="71"/>
        <v>ACTIVE</v>
      </c>
    </row>
    <row r="1522" spans="1:11">
      <c r="A1522">
        <v>1004</v>
      </c>
      <c r="B1522" t="s">
        <v>119</v>
      </c>
      <c r="C1522" s="1">
        <v>45806</v>
      </c>
      <c r="D1522" s="2" t="s">
        <v>23</v>
      </c>
      <c r="E1522" t="s">
        <v>33</v>
      </c>
      <c r="G1522" s="3">
        <v>1085</v>
      </c>
      <c r="H1522" t="s">
        <v>172</v>
      </c>
      <c r="I1522" s="3" t="str">
        <f t="shared" si="69"/>
        <v>2025-05</v>
      </c>
      <c r="J1522" s="1">
        <f t="shared" si="70"/>
        <v>45806</v>
      </c>
      <c r="K1522" t="str">
        <f t="shared" si="71"/>
        <v>ACTIVE</v>
      </c>
    </row>
    <row r="1523" spans="1:11">
      <c r="A1523">
        <v>381</v>
      </c>
      <c r="B1523" t="s">
        <v>101</v>
      </c>
      <c r="C1523" s="1">
        <v>45480</v>
      </c>
      <c r="D1523" s="2" t="s">
        <v>25</v>
      </c>
      <c r="E1523" t="s">
        <v>35</v>
      </c>
      <c r="G1523" s="3">
        <v>1450</v>
      </c>
      <c r="H1523" t="s">
        <v>175</v>
      </c>
      <c r="I1523" s="3" t="str">
        <f t="shared" si="69"/>
        <v>2024-07</v>
      </c>
      <c r="J1523" s="1">
        <f t="shared" si="70"/>
        <v>45823</v>
      </c>
      <c r="K1523" t="str">
        <f t="shared" si="71"/>
        <v>ACTIVE</v>
      </c>
    </row>
    <row r="1524" spans="1:11">
      <c r="A1524">
        <v>1435</v>
      </c>
      <c r="B1524" t="s">
        <v>106</v>
      </c>
      <c r="C1524" s="1">
        <v>45443</v>
      </c>
      <c r="D1524" s="2" t="s">
        <v>27</v>
      </c>
      <c r="E1524" t="s">
        <v>33</v>
      </c>
      <c r="G1524" s="3">
        <v>1971</v>
      </c>
      <c r="H1524" t="s">
        <v>172</v>
      </c>
      <c r="I1524" s="3" t="str">
        <f t="shared" si="69"/>
        <v>2024-05</v>
      </c>
      <c r="J1524" s="1">
        <f t="shared" si="70"/>
        <v>45760</v>
      </c>
      <c r="K1524" t="str">
        <f t="shared" si="71"/>
        <v>ACTIVE</v>
      </c>
    </row>
    <row r="1525" spans="1:11">
      <c r="A1525">
        <v>1394</v>
      </c>
      <c r="B1525" t="s">
        <v>101</v>
      </c>
      <c r="C1525" s="1">
        <v>45635</v>
      </c>
      <c r="D1525" s="2" t="s">
        <v>28</v>
      </c>
      <c r="E1525" t="s">
        <v>31</v>
      </c>
      <c r="G1525" s="3">
        <v>2598</v>
      </c>
      <c r="H1525" t="s">
        <v>172</v>
      </c>
      <c r="I1525" s="3" t="str">
        <f t="shared" si="69"/>
        <v>2024-12</v>
      </c>
      <c r="J1525" s="1">
        <f t="shared" si="70"/>
        <v>45823</v>
      </c>
      <c r="K1525" t="str">
        <f t="shared" si="71"/>
        <v>ACTIVE</v>
      </c>
    </row>
    <row r="1526" spans="1:11">
      <c r="A1526">
        <v>1425</v>
      </c>
      <c r="B1526" t="s">
        <v>105</v>
      </c>
      <c r="C1526" s="1">
        <v>45816</v>
      </c>
      <c r="D1526" s="2" t="s">
        <v>28</v>
      </c>
      <c r="E1526" t="s">
        <v>34</v>
      </c>
      <c r="G1526" s="3">
        <v>248</v>
      </c>
      <c r="H1526" t="s">
        <v>174</v>
      </c>
      <c r="I1526" s="3" t="str">
        <f t="shared" si="69"/>
        <v>2025-06</v>
      </c>
      <c r="J1526" s="1">
        <f t="shared" si="70"/>
        <v>45816</v>
      </c>
      <c r="K1526" t="str">
        <f t="shared" si="71"/>
        <v>ACTIVE</v>
      </c>
    </row>
    <row r="1527" spans="1:11">
      <c r="A1527">
        <v>428</v>
      </c>
      <c r="B1527" t="s">
        <v>68</v>
      </c>
      <c r="C1527" s="1">
        <v>45561</v>
      </c>
      <c r="D1527" s="2" t="s">
        <v>24</v>
      </c>
      <c r="E1527" t="s">
        <v>34</v>
      </c>
      <c r="G1527" s="3">
        <v>802</v>
      </c>
      <c r="H1527" t="s">
        <v>174</v>
      </c>
      <c r="I1527" s="3" t="str">
        <f t="shared" si="69"/>
        <v>2024-09</v>
      </c>
      <c r="J1527" s="1">
        <f t="shared" si="70"/>
        <v>45776</v>
      </c>
      <c r="K1527" t="str">
        <f t="shared" si="71"/>
        <v>ACTIVE</v>
      </c>
    </row>
    <row r="1528" spans="1:11">
      <c r="A1528">
        <v>79</v>
      </c>
      <c r="B1528" t="s">
        <v>118</v>
      </c>
      <c r="C1528" s="1">
        <v>45293</v>
      </c>
      <c r="D1528" s="2" t="s">
        <v>23</v>
      </c>
      <c r="E1528" t="s">
        <v>32</v>
      </c>
      <c r="G1528" s="3">
        <v>616</v>
      </c>
      <c r="H1528" t="s">
        <v>175</v>
      </c>
      <c r="I1528" s="3" t="str">
        <f t="shared" si="69"/>
        <v>2024-01</v>
      </c>
      <c r="J1528" s="1">
        <f t="shared" si="70"/>
        <v>45830</v>
      </c>
      <c r="K1528" t="str">
        <f t="shared" si="71"/>
        <v>ACTIVE</v>
      </c>
    </row>
    <row r="1529" spans="1:11">
      <c r="A1529">
        <v>1010</v>
      </c>
      <c r="B1529" t="s">
        <v>83</v>
      </c>
      <c r="C1529" s="1">
        <v>45816</v>
      </c>
      <c r="D1529" s="2" t="s">
        <v>27</v>
      </c>
      <c r="E1529" t="s">
        <v>35</v>
      </c>
      <c r="G1529" s="3">
        <v>11600</v>
      </c>
      <c r="H1529" t="s">
        <v>174</v>
      </c>
      <c r="I1529" s="3" t="str">
        <f t="shared" si="69"/>
        <v>2025-06</v>
      </c>
      <c r="J1529" s="1">
        <f t="shared" si="70"/>
        <v>45816</v>
      </c>
      <c r="K1529" t="str">
        <f t="shared" si="71"/>
        <v>ACTIVE</v>
      </c>
    </row>
    <row r="1530" spans="1:11">
      <c r="A1530">
        <v>1779</v>
      </c>
      <c r="B1530" t="s">
        <v>78</v>
      </c>
      <c r="C1530" s="1">
        <v>45672</v>
      </c>
      <c r="D1530" s="2" t="s">
        <v>23</v>
      </c>
      <c r="E1530" t="s">
        <v>35</v>
      </c>
      <c r="G1530" s="3">
        <v>1092</v>
      </c>
      <c r="H1530" t="s">
        <v>174</v>
      </c>
      <c r="I1530" s="3" t="str">
        <f t="shared" si="69"/>
        <v>2025-01</v>
      </c>
      <c r="J1530" s="1">
        <f t="shared" si="70"/>
        <v>45821</v>
      </c>
      <c r="K1530" t="str">
        <f t="shared" si="71"/>
        <v>ACTIVE</v>
      </c>
    </row>
    <row r="1531" spans="1:11">
      <c r="A1531">
        <v>608</v>
      </c>
      <c r="B1531" t="s">
        <v>131</v>
      </c>
      <c r="C1531" s="1">
        <v>45803</v>
      </c>
      <c r="D1531" s="2" t="s">
        <v>27</v>
      </c>
      <c r="E1531" t="s">
        <v>32</v>
      </c>
      <c r="G1531" s="3">
        <v>4312</v>
      </c>
      <c r="H1531" t="s">
        <v>175</v>
      </c>
      <c r="I1531" s="3" t="str">
        <f t="shared" si="69"/>
        <v>2025-05</v>
      </c>
      <c r="J1531" s="1">
        <f t="shared" si="70"/>
        <v>45807</v>
      </c>
      <c r="K1531" t="str">
        <f t="shared" si="71"/>
        <v>ACTIVE</v>
      </c>
    </row>
    <row r="1532" spans="1:11">
      <c r="A1532">
        <v>1613</v>
      </c>
      <c r="B1532" t="s">
        <v>80</v>
      </c>
      <c r="C1532" s="1">
        <v>45766</v>
      </c>
      <c r="D1532" s="2" t="s">
        <v>25</v>
      </c>
      <c r="E1532" t="s">
        <v>35</v>
      </c>
      <c r="G1532" s="3">
        <v>1660</v>
      </c>
      <c r="H1532" t="s">
        <v>173</v>
      </c>
      <c r="I1532" s="3" t="str">
        <f t="shared" si="69"/>
        <v>2025-04</v>
      </c>
      <c r="J1532" s="1">
        <f t="shared" si="70"/>
        <v>45788</v>
      </c>
      <c r="K1532" t="str">
        <f t="shared" si="71"/>
        <v>ACTIVE</v>
      </c>
    </row>
    <row r="1533" spans="1:11">
      <c r="A1533">
        <v>1796</v>
      </c>
      <c r="B1533" t="s">
        <v>85</v>
      </c>
      <c r="C1533" s="1">
        <v>45464</v>
      </c>
      <c r="D1533" s="2" t="s">
        <v>27</v>
      </c>
      <c r="E1533" t="s">
        <v>32</v>
      </c>
      <c r="G1533" s="3">
        <v>835</v>
      </c>
      <c r="H1533" t="s">
        <v>172</v>
      </c>
      <c r="I1533" s="3" t="str">
        <f t="shared" si="69"/>
        <v>2024-06</v>
      </c>
      <c r="J1533" s="1">
        <f t="shared" si="70"/>
        <v>45826</v>
      </c>
      <c r="K1533" t="str">
        <f t="shared" si="71"/>
        <v>ACTIVE</v>
      </c>
    </row>
    <row r="1534" spans="1:11">
      <c r="A1534">
        <v>1668</v>
      </c>
      <c r="B1534" t="s">
        <v>130</v>
      </c>
      <c r="C1534" s="1">
        <v>45385</v>
      </c>
      <c r="D1534" s="2" t="s">
        <v>25</v>
      </c>
      <c r="E1534" t="s">
        <v>33</v>
      </c>
      <c r="G1534" s="3">
        <v>11564</v>
      </c>
      <c r="H1534" t="s">
        <v>175</v>
      </c>
      <c r="I1534" s="3" t="str">
        <f t="shared" si="69"/>
        <v>2024-04</v>
      </c>
      <c r="J1534" s="1">
        <f t="shared" si="70"/>
        <v>45828</v>
      </c>
      <c r="K1534" t="str">
        <f t="shared" si="71"/>
        <v>ACTIVE</v>
      </c>
    </row>
    <row r="1535" spans="1:11">
      <c r="A1535">
        <v>1058</v>
      </c>
      <c r="B1535" t="s">
        <v>84</v>
      </c>
      <c r="C1535" s="1">
        <v>45445</v>
      </c>
      <c r="D1535" s="2" t="s">
        <v>25</v>
      </c>
      <c r="E1535" t="s">
        <v>34</v>
      </c>
      <c r="G1535" s="3">
        <v>2052</v>
      </c>
      <c r="H1535" t="s">
        <v>175</v>
      </c>
      <c r="I1535" s="3" t="str">
        <f t="shared" si="69"/>
        <v>2024-06</v>
      </c>
      <c r="J1535" s="1">
        <f t="shared" si="70"/>
        <v>45827</v>
      </c>
      <c r="K1535" t="str">
        <f t="shared" si="71"/>
        <v>ACTIVE</v>
      </c>
    </row>
    <row r="1536" spans="1:11">
      <c r="A1536">
        <v>1441</v>
      </c>
      <c r="B1536" t="s">
        <v>119</v>
      </c>
      <c r="C1536" s="1">
        <v>45657</v>
      </c>
      <c r="D1536" s="2" t="s">
        <v>23</v>
      </c>
      <c r="E1536" t="s">
        <v>34</v>
      </c>
      <c r="G1536" s="3">
        <v>433</v>
      </c>
      <c r="H1536" t="s">
        <v>174</v>
      </c>
      <c r="I1536" s="3" t="str">
        <f t="shared" si="69"/>
        <v>2024-12</v>
      </c>
      <c r="J1536" s="1">
        <f t="shared" si="70"/>
        <v>45806</v>
      </c>
      <c r="K1536" t="str">
        <f t="shared" si="71"/>
        <v>ACTIVE</v>
      </c>
    </row>
    <row r="1537" spans="1:11">
      <c r="A1537">
        <v>1515</v>
      </c>
      <c r="B1537" t="s">
        <v>100</v>
      </c>
      <c r="C1537" s="1">
        <v>45587</v>
      </c>
      <c r="D1537" s="2" t="s">
        <v>23</v>
      </c>
      <c r="E1537" t="s">
        <v>34</v>
      </c>
      <c r="G1537" s="3">
        <v>4759</v>
      </c>
      <c r="H1537" t="s">
        <v>176</v>
      </c>
      <c r="I1537" s="3" t="str">
        <f t="shared" si="69"/>
        <v>2024-10</v>
      </c>
      <c r="J1537" s="1">
        <f t="shared" si="70"/>
        <v>45779</v>
      </c>
      <c r="K1537" t="str">
        <f t="shared" si="71"/>
        <v>ACTIVE</v>
      </c>
    </row>
    <row r="1538" spans="1:11">
      <c r="A1538">
        <v>1092</v>
      </c>
      <c r="B1538" t="s">
        <v>84</v>
      </c>
      <c r="C1538" s="1">
        <v>45774</v>
      </c>
      <c r="D1538" s="2" t="s">
        <v>24</v>
      </c>
      <c r="E1538" t="s">
        <v>32</v>
      </c>
      <c r="G1538" s="3">
        <v>889</v>
      </c>
      <c r="H1538" t="s">
        <v>173</v>
      </c>
      <c r="I1538" s="3" t="str">
        <f t="shared" si="69"/>
        <v>2025-04</v>
      </c>
      <c r="J1538" s="1">
        <f t="shared" si="70"/>
        <v>45827</v>
      </c>
      <c r="K1538" t="str">
        <f t="shared" si="71"/>
        <v>ACTIVE</v>
      </c>
    </row>
    <row r="1539" spans="1:11">
      <c r="A1539">
        <v>1102</v>
      </c>
      <c r="B1539" t="s">
        <v>59</v>
      </c>
      <c r="C1539" s="1">
        <v>45430</v>
      </c>
      <c r="D1539" s="2" t="s">
        <v>26</v>
      </c>
      <c r="E1539" t="s">
        <v>30</v>
      </c>
      <c r="G1539" s="3">
        <v>241</v>
      </c>
      <c r="H1539" t="s">
        <v>173</v>
      </c>
      <c r="I1539" s="3" t="str">
        <f t="shared" ref="I1539:I1602" si="72">TEXT(C1539, "yyyy-mm")</f>
        <v>2024-05</v>
      </c>
      <c r="J1539" s="1">
        <f t="shared" ref="J1539:J1602" si="73">_xlfn.MAXIFS(C:C, B:B, B1539)</f>
        <v>45829</v>
      </c>
      <c r="K1539" t="str">
        <f t="shared" ref="K1539:K1602" si="74">IF($L$3-J1539&gt;90, "LAPSED","ACTIVE")</f>
        <v>ACTIVE</v>
      </c>
    </row>
    <row r="1540" spans="1:11">
      <c r="A1540">
        <v>1130</v>
      </c>
      <c r="B1540" t="s">
        <v>130</v>
      </c>
      <c r="C1540" s="1">
        <v>45531</v>
      </c>
      <c r="D1540" s="2" t="s">
        <v>23</v>
      </c>
      <c r="E1540" t="s">
        <v>34</v>
      </c>
      <c r="G1540" s="3">
        <v>728</v>
      </c>
      <c r="H1540" t="s">
        <v>174</v>
      </c>
      <c r="I1540" s="3" t="str">
        <f t="shared" si="72"/>
        <v>2024-08</v>
      </c>
      <c r="J1540" s="1">
        <f t="shared" si="73"/>
        <v>45828</v>
      </c>
      <c r="K1540" t="str">
        <f t="shared" si="74"/>
        <v>ACTIVE</v>
      </c>
    </row>
    <row r="1541" spans="1:11">
      <c r="A1541">
        <v>1236</v>
      </c>
      <c r="B1541" t="s">
        <v>130</v>
      </c>
      <c r="C1541" s="1">
        <v>45790</v>
      </c>
      <c r="D1541" s="2" t="s">
        <v>24</v>
      </c>
      <c r="E1541" t="s">
        <v>33</v>
      </c>
      <c r="G1541" s="3">
        <v>8412</v>
      </c>
      <c r="H1541" t="s">
        <v>175</v>
      </c>
      <c r="I1541" s="3" t="str">
        <f t="shared" si="72"/>
        <v>2025-05</v>
      </c>
      <c r="J1541" s="1">
        <f t="shared" si="73"/>
        <v>45828</v>
      </c>
      <c r="K1541" t="str">
        <f t="shared" si="74"/>
        <v>ACTIVE</v>
      </c>
    </row>
    <row r="1542" spans="1:11">
      <c r="A1542">
        <v>1596</v>
      </c>
      <c r="B1542" t="s">
        <v>39</v>
      </c>
      <c r="C1542" s="1">
        <v>45521</v>
      </c>
      <c r="D1542" s="2" t="s">
        <v>27</v>
      </c>
      <c r="E1542" t="s">
        <v>31</v>
      </c>
      <c r="G1542" s="3">
        <v>1151</v>
      </c>
      <c r="H1542" t="s">
        <v>175</v>
      </c>
      <c r="I1542" s="3" t="str">
        <f t="shared" si="72"/>
        <v>2024-08</v>
      </c>
      <c r="J1542" s="1">
        <f t="shared" si="73"/>
        <v>45795</v>
      </c>
      <c r="K1542" t="str">
        <f t="shared" si="74"/>
        <v>ACTIVE</v>
      </c>
    </row>
    <row r="1543" spans="1:11">
      <c r="A1543">
        <v>959</v>
      </c>
      <c r="B1543" t="s">
        <v>108</v>
      </c>
      <c r="C1543" s="1">
        <v>45372</v>
      </c>
      <c r="D1543" s="2" t="s">
        <v>28</v>
      </c>
      <c r="E1543" t="s">
        <v>34</v>
      </c>
      <c r="G1543" s="3">
        <v>1790</v>
      </c>
      <c r="H1543" t="s">
        <v>174</v>
      </c>
      <c r="I1543" s="3" t="str">
        <f t="shared" si="72"/>
        <v>2024-03</v>
      </c>
      <c r="J1543" s="1">
        <f t="shared" si="73"/>
        <v>45826</v>
      </c>
      <c r="K1543" t="str">
        <f t="shared" si="74"/>
        <v>ACTIVE</v>
      </c>
    </row>
    <row r="1544" spans="1:11">
      <c r="A1544">
        <v>560</v>
      </c>
      <c r="B1544" t="s">
        <v>77</v>
      </c>
      <c r="C1544" s="1">
        <v>45476</v>
      </c>
      <c r="D1544" s="2" t="s">
        <v>23</v>
      </c>
      <c r="E1544" t="s">
        <v>34</v>
      </c>
      <c r="G1544" s="3">
        <v>566</v>
      </c>
      <c r="H1544" t="s">
        <v>176</v>
      </c>
      <c r="I1544" s="3" t="str">
        <f t="shared" si="72"/>
        <v>2024-07</v>
      </c>
      <c r="J1544" s="1">
        <f t="shared" si="73"/>
        <v>45821</v>
      </c>
      <c r="K1544" t="str">
        <f t="shared" si="74"/>
        <v>ACTIVE</v>
      </c>
    </row>
    <row r="1545" spans="1:11">
      <c r="A1545">
        <v>847</v>
      </c>
      <c r="B1545" t="s">
        <v>79</v>
      </c>
      <c r="C1545" s="1">
        <v>45693</v>
      </c>
      <c r="D1545" s="2" t="s">
        <v>28</v>
      </c>
      <c r="E1545" t="s">
        <v>30</v>
      </c>
      <c r="G1545" s="3">
        <v>359</v>
      </c>
      <c r="H1545" t="s">
        <v>173</v>
      </c>
      <c r="I1545" s="3" t="str">
        <f t="shared" si="72"/>
        <v>2025-02</v>
      </c>
      <c r="J1545" s="1">
        <f t="shared" si="73"/>
        <v>45782</v>
      </c>
      <c r="K1545" t="str">
        <f t="shared" si="74"/>
        <v>ACTIVE</v>
      </c>
    </row>
    <row r="1546" spans="1:11">
      <c r="A1546">
        <v>691</v>
      </c>
      <c r="B1546" t="s">
        <v>112</v>
      </c>
      <c r="C1546" s="1">
        <v>45669</v>
      </c>
      <c r="D1546" s="2" t="s">
        <v>27</v>
      </c>
      <c r="E1546" t="s">
        <v>32</v>
      </c>
      <c r="G1546" s="3">
        <v>628</v>
      </c>
      <c r="H1546" t="s">
        <v>175</v>
      </c>
      <c r="I1546" s="3" t="str">
        <f t="shared" si="72"/>
        <v>2025-01</v>
      </c>
      <c r="J1546" s="1">
        <f t="shared" si="73"/>
        <v>45815</v>
      </c>
      <c r="K1546" t="str">
        <f t="shared" si="74"/>
        <v>ACTIVE</v>
      </c>
    </row>
    <row r="1547" spans="1:11">
      <c r="A1547">
        <v>1520</v>
      </c>
      <c r="B1547" t="s">
        <v>160</v>
      </c>
      <c r="C1547" s="1">
        <v>45550</v>
      </c>
      <c r="D1547" s="2" t="s">
        <v>23</v>
      </c>
      <c r="E1547" t="s">
        <v>34</v>
      </c>
      <c r="G1547" s="3">
        <v>11661</v>
      </c>
      <c r="H1547" t="s">
        <v>176</v>
      </c>
      <c r="I1547" s="3" t="str">
        <f t="shared" si="72"/>
        <v>2024-09</v>
      </c>
      <c r="J1547" s="1">
        <f t="shared" si="73"/>
        <v>45734</v>
      </c>
      <c r="K1547" t="str">
        <f t="shared" si="74"/>
        <v>LAPSED</v>
      </c>
    </row>
    <row r="1548" spans="1:11">
      <c r="A1548">
        <v>1748</v>
      </c>
      <c r="B1548" t="s">
        <v>65</v>
      </c>
      <c r="C1548" s="1">
        <v>45704</v>
      </c>
      <c r="D1548" s="2" t="s">
        <v>27</v>
      </c>
      <c r="E1548" t="s">
        <v>34</v>
      </c>
      <c r="G1548" s="3">
        <v>347</v>
      </c>
      <c r="H1548" t="s">
        <v>172</v>
      </c>
      <c r="I1548" s="3" t="str">
        <f t="shared" si="72"/>
        <v>2025-02</v>
      </c>
      <c r="J1548" s="1">
        <f t="shared" si="73"/>
        <v>45813</v>
      </c>
      <c r="K1548" t="str">
        <f t="shared" si="74"/>
        <v>ACTIVE</v>
      </c>
    </row>
    <row r="1549" spans="1:11">
      <c r="A1549">
        <v>1684</v>
      </c>
      <c r="B1549" t="s">
        <v>138</v>
      </c>
      <c r="C1549" s="1">
        <v>45523</v>
      </c>
      <c r="D1549" s="2" t="s">
        <v>24</v>
      </c>
      <c r="E1549" t="s">
        <v>35</v>
      </c>
      <c r="G1549" s="3">
        <v>1751</v>
      </c>
      <c r="H1549" t="s">
        <v>173</v>
      </c>
      <c r="I1549" s="3" t="str">
        <f t="shared" si="72"/>
        <v>2024-08</v>
      </c>
      <c r="J1549" s="1">
        <f t="shared" si="73"/>
        <v>45798</v>
      </c>
      <c r="K1549" t="str">
        <f t="shared" si="74"/>
        <v>ACTIVE</v>
      </c>
    </row>
    <row r="1550" spans="1:11">
      <c r="A1550">
        <v>437</v>
      </c>
      <c r="B1550" t="s">
        <v>103</v>
      </c>
      <c r="C1550" s="1">
        <v>45821</v>
      </c>
      <c r="D1550" s="2" t="s">
        <v>24</v>
      </c>
      <c r="E1550" t="s">
        <v>32</v>
      </c>
      <c r="G1550" s="3">
        <v>2251</v>
      </c>
      <c r="H1550" t="s">
        <v>175</v>
      </c>
      <c r="I1550" s="3" t="str">
        <f t="shared" si="72"/>
        <v>2025-06</v>
      </c>
      <c r="J1550" s="1">
        <f t="shared" si="73"/>
        <v>45821</v>
      </c>
      <c r="K1550" t="str">
        <f t="shared" si="74"/>
        <v>ACTIVE</v>
      </c>
    </row>
    <row r="1551" spans="1:11">
      <c r="A1551">
        <v>491</v>
      </c>
      <c r="B1551" t="s">
        <v>81</v>
      </c>
      <c r="C1551" s="1">
        <v>45652</v>
      </c>
      <c r="D1551" s="2" t="s">
        <v>24</v>
      </c>
      <c r="E1551" t="s">
        <v>33</v>
      </c>
      <c r="G1551" s="3">
        <v>9104</v>
      </c>
      <c r="H1551" t="s">
        <v>176</v>
      </c>
      <c r="I1551" s="3" t="str">
        <f t="shared" si="72"/>
        <v>2024-12</v>
      </c>
      <c r="J1551" s="1">
        <f t="shared" si="73"/>
        <v>45787</v>
      </c>
      <c r="K1551" t="str">
        <f t="shared" si="74"/>
        <v>ACTIVE</v>
      </c>
    </row>
    <row r="1552" spans="1:11">
      <c r="A1552">
        <v>1463</v>
      </c>
      <c r="B1552" t="s">
        <v>158</v>
      </c>
      <c r="C1552" s="1">
        <v>45548</v>
      </c>
      <c r="D1552" s="2" t="s">
        <v>25</v>
      </c>
      <c r="E1552" t="s">
        <v>35</v>
      </c>
      <c r="G1552" s="3">
        <v>1197</v>
      </c>
      <c r="H1552" t="s">
        <v>172</v>
      </c>
      <c r="I1552" s="3" t="str">
        <f t="shared" si="72"/>
        <v>2024-09</v>
      </c>
      <c r="J1552" s="1">
        <f t="shared" si="73"/>
        <v>45740</v>
      </c>
      <c r="K1552" t="str">
        <f t="shared" si="74"/>
        <v>LAPSED</v>
      </c>
    </row>
    <row r="1553" spans="1:11">
      <c r="A1553">
        <v>1660</v>
      </c>
      <c r="B1553" t="s">
        <v>91</v>
      </c>
      <c r="C1553" s="1">
        <v>45622</v>
      </c>
      <c r="D1553" s="2" t="s">
        <v>27</v>
      </c>
      <c r="E1553" t="s">
        <v>33</v>
      </c>
      <c r="G1553" s="3">
        <v>10679</v>
      </c>
      <c r="H1553" t="s">
        <v>175</v>
      </c>
      <c r="I1553" s="3" t="str">
        <f t="shared" si="72"/>
        <v>2024-11</v>
      </c>
      <c r="J1553" s="1">
        <f t="shared" si="73"/>
        <v>45785</v>
      </c>
      <c r="K1553" t="str">
        <f t="shared" si="74"/>
        <v>ACTIVE</v>
      </c>
    </row>
    <row r="1554" spans="1:11">
      <c r="A1554">
        <v>1388</v>
      </c>
      <c r="B1554" t="s">
        <v>86</v>
      </c>
      <c r="C1554" s="1">
        <v>45674</v>
      </c>
      <c r="D1554" s="2" t="s">
        <v>28</v>
      </c>
      <c r="E1554" t="s">
        <v>35</v>
      </c>
      <c r="G1554" s="3">
        <v>2199</v>
      </c>
      <c r="H1554" t="s">
        <v>172</v>
      </c>
      <c r="I1554" s="3" t="str">
        <f t="shared" si="72"/>
        <v>2025-01</v>
      </c>
      <c r="J1554" s="1">
        <f t="shared" si="73"/>
        <v>45819</v>
      </c>
      <c r="K1554" t="str">
        <f t="shared" si="74"/>
        <v>ACTIVE</v>
      </c>
    </row>
    <row r="1555" spans="1:11">
      <c r="A1555">
        <v>70</v>
      </c>
      <c r="B1555" t="s">
        <v>84</v>
      </c>
      <c r="C1555" s="1">
        <v>45827</v>
      </c>
      <c r="D1555" s="2" t="s">
        <v>28</v>
      </c>
      <c r="E1555" t="s">
        <v>32</v>
      </c>
      <c r="G1555" s="3">
        <v>2860</v>
      </c>
      <c r="H1555" t="s">
        <v>173</v>
      </c>
      <c r="I1555" s="3" t="str">
        <f t="shared" si="72"/>
        <v>2025-06</v>
      </c>
      <c r="J1555" s="1">
        <f t="shared" si="73"/>
        <v>45827</v>
      </c>
      <c r="K1555" t="str">
        <f t="shared" si="74"/>
        <v>ACTIVE</v>
      </c>
    </row>
    <row r="1556" spans="1:11">
      <c r="A1556">
        <v>809</v>
      </c>
      <c r="B1556" t="s">
        <v>84</v>
      </c>
      <c r="C1556" s="1">
        <v>45751</v>
      </c>
      <c r="D1556" s="2" t="s">
        <v>23</v>
      </c>
      <c r="E1556" t="s">
        <v>30</v>
      </c>
      <c r="G1556" s="3">
        <v>2003</v>
      </c>
      <c r="H1556" t="s">
        <v>176</v>
      </c>
      <c r="I1556" s="3" t="str">
        <f t="shared" si="72"/>
        <v>2025-04</v>
      </c>
      <c r="J1556" s="1">
        <f t="shared" si="73"/>
        <v>45827</v>
      </c>
      <c r="K1556" t="str">
        <f t="shared" si="74"/>
        <v>ACTIVE</v>
      </c>
    </row>
    <row r="1557" spans="1:11">
      <c r="A1557">
        <v>1185</v>
      </c>
      <c r="B1557" t="s">
        <v>98</v>
      </c>
      <c r="C1557" s="1">
        <v>45478</v>
      </c>
      <c r="D1557" s="2" t="s">
        <v>25</v>
      </c>
      <c r="E1557" t="s">
        <v>31</v>
      </c>
      <c r="G1557" s="3">
        <v>9882</v>
      </c>
      <c r="H1557" t="s">
        <v>172</v>
      </c>
      <c r="I1557" s="3" t="str">
        <f t="shared" si="72"/>
        <v>2024-07</v>
      </c>
      <c r="J1557" s="1">
        <f t="shared" si="73"/>
        <v>45767</v>
      </c>
      <c r="K1557" t="str">
        <f t="shared" si="74"/>
        <v>ACTIVE</v>
      </c>
    </row>
    <row r="1558" spans="1:11">
      <c r="A1558">
        <v>12</v>
      </c>
      <c r="B1558" t="s">
        <v>131</v>
      </c>
      <c r="C1558" s="1">
        <v>45565</v>
      </c>
      <c r="D1558" s="2" t="s">
        <v>24</v>
      </c>
      <c r="E1558" t="s">
        <v>34</v>
      </c>
      <c r="G1558" s="3">
        <v>2435</v>
      </c>
      <c r="H1558" t="s">
        <v>173</v>
      </c>
      <c r="I1558" s="3" t="str">
        <f t="shared" si="72"/>
        <v>2024-09</v>
      </c>
      <c r="J1558" s="1">
        <f t="shared" si="73"/>
        <v>45807</v>
      </c>
      <c r="K1558" t="str">
        <f t="shared" si="74"/>
        <v>ACTIVE</v>
      </c>
    </row>
    <row r="1559" spans="1:11">
      <c r="A1559">
        <v>145</v>
      </c>
      <c r="B1559" t="s">
        <v>132</v>
      </c>
      <c r="C1559" s="1">
        <v>45405</v>
      </c>
      <c r="D1559" s="2" t="s">
        <v>24</v>
      </c>
      <c r="E1559" t="s">
        <v>33</v>
      </c>
      <c r="G1559" s="3">
        <v>2122</v>
      </c>
      <c r="H1559" t="s">
        <v>172</v>
      </c>
      <c r="I1559" s="3" t="str">
        <f t="shared" si="72"/>
        <v>2024-04</v>
      </c>
      <c r="J1559" s="1">
        <f t="shared" si="73"/>
        <v>45822</v>
      </c>
      <c r="K1559" t="str">
        <f t="shared" si="74"/>
        <v>ACTIVE</v>
      </c>
    </row>
    <row r="1560" spans="1:11">
      <c r="A1560">
        <v>918</v>
      </c>
      <c r="B1560" t="s">
        <v>55</v>
      </c>
      <c r="C1560" s="1">
        <v>45777</v>
      </c>
      <c r="D1560" s="2" t="s">
        <v>25</v>
      </c>
      <c r="E1560" t="s">
        <v>34</v>
      </c>
      <c r="G1560" s="3">
        <v>4722</v>
      </c>
      <c r="H1560" t="s">
        <v>172</v>
      </c>
      <c r="I1560" s="3" t="str">
        <f t="shared" si="72"/>
        <v>2025-04</v>
      </c>
      <c r="J1560" s="1">
        <f t="shared" si="73"/>
        <v>45824</v>
      </c>
      <c r="K1560" t="str">
        <f t="shared" si="74"/>
        <v>ACTIVE</v>
      </c>
    </row>
    <row r="1561" spans="1:11">
      <c r="A1561">
        <v>1542</v>
      </c>
      <c r="B1561" t="s">
        <v>144</v>
      </c>
      <c r="C1561" s="1">
        <v>45699</v>
      </c>
      <c r="D1561" s="2" t="s">
        <v>23</v>
      </c>
      <c r="E1561" t="s">
        <v>34</v>
      </c>
      <c r="G1561" s="3">
        <v>477</v>
      </c>
      <c r="H1561" t="s">
        <v>173</v>
      </c>
      <c r="I1561" s="3" t="str">
        <f t="shared" si="72"/>
        <v>2025-02</v>
      </c>
      <c r="J1561" s="1">
        <f t="shared" si="73"/>
        <v>45751</v>
      </c>
      <c r="K1561" t="str">
        <f t="shared" si="74"/>
        <v>ACTIVE</v>
      </c>
    </row>
    <row r="1562" spans="1:11">
      <c r="A1562">
        <v>1452</v>
      </c>
      <c r="B1562" t="s">
        <v>63</v>
      </c>
      <c r="C1562" s="1">
        <v>45805</v>
      </c>
      <c r="D1562" s="2" t="s">
        <v>27</v>
      </c>
      <c r="E1562" t="s">
        <v>33</v>
      </c>
      <c r="G1562" s="3">
        <v>5361</v>
      </c>
      <c r="H1562" t="s">
        <v>175</v>
      </c>
      <c r="I1562" s="3" t="str">
        <f t="shared" si="72"/>
        <v>2025-05</v>
      </c>
      <c r="J1562" s="1">
        <f t="shared" si="73"/>
        <v>45805</v>
      </c>
      <c r="K1562" t="str">
        <f t="shared" si="74"/>
        <v>ACTIVE</v>
      </c>
    </row>
    <row r="1563" spans="1:11">
      <c r="A1563">
        <v>640</v>
      </c>
      <c r="B1563" t="s">
        <v>118</v>
      </c>
      <c r="C1563" s="1">
        <v>45370</v>
      </c>
      <c r="D1563" s="2" t="s">
        <v>23</v>
      </c>
      <c r="E1563" t="s">
        <v>32</v>
      </c>
      <c r="G1563" s="3">
        <v>264</v>
      </c>
      <c r="H1563" t="s">
        <v>173</v>
      </c>
      <c r="I1563" s="3" t="str">
        <f t="shared" si="72"/>
        <v>2024-03</v>
      </c>
      <c r="J1563" s="1">
        <f t="shared" si="73"/>
        <v>45830</v>
      </c>
      <c r="K1563" t="str">
        <f t="shared" si="74"/>
        <v>ACTIVE</v>
      </c>
    </row>
    <row r="1564" spans="1:11">
      <c r="A1564">
        <v>177</v>
      </c>
      <c r="B1564" t="s">
        <v>155</v>
      </c>
      <c r="C1564" s="1">
        <v>45435</v>
      </c>
      <c r="D1564" s="2" t="s">
        <v>23</v>
      </c>
      <c r="E1564" t="s">
        <v>31</v>
      </c>
      <c r="G1564" s="3">
        <v>1436</v>
      </c>
      <c r="H1564" t="s">
        <v>175</v>
      </c>
      <c r="I1564" s="3" t="str">
        <f t="shared" si="72"/>
        <v>2024-05</v>
      </c>
      <c r="J1564" s="1">
        <f t="shared" si="73"/>
        <v>45698</v>
      </c>
      <c r="K1564" t="str">
        <f t="shared" si="74"/>
        <v>LAPSED</v>
      </c>
    </row>
    <row r="1565" spans="1:11">
      <c r="A1565">
        <v>995</v>
      </c>
      <c r="B1565" t="s">
        <v>160</v>
      </c>
      <c r="C1565" s="1">
        <v>45589</v>
      </c>
      <c r="D1565" s="2" t="s">
        <v>27</v>
      </c>
      <c r="E1565" t="s">
        <v>35</v>
      </c>
      <c r="G1565" s="3">
        <v>8669</v>
      </c>
      <c r="H1565" t="s">
        <v>172</v>
      </c>
      <c r="I1565" s="3" t="str">
        <f t="shared" si="72"/>
        <v>2024-10</v>
      </c>
      <c r="J1565" s="1">
        <f t="shared" si="73"/>
        <v>45734</v>
      </c>
      <c r="K1565" t="str">
        <f t="shared" si="74"/>
        <v>LAPSED</v>
      </c>
    </row>
    <row r="1566" spans="1:11">
      <c r="A1566">
        <v>441</v>
      </c>
      <c r="B1566" t="s">
        <v>139</v>
      </c>
      <c r="C1566" s="1">
        <v>45706</v>
      </c>
      <c r="D1566" s="2" t="s">
        <v>25</v>
      </c>
      <c r="E1566" t="s">
        <v>34</v>
      </c>
      <c r="G1566" s="3">
        <v>1406</v>
      </c>
      <c r="H1566" t="s">
        <v>174</v>
      </c>
      <c r="I1566" s="3" t="str">
        <f t="shared" si="72"/>
        <v>2025-02</v>
      </c>
      <c r="J1566" s="1">
        <f t="shared" si="73"/>
        <v>45830</v>
      </c>
      <c r="K1566" t="str">
        <f t="shared" si="74"/>
        <v>ACTIVE</v>
      </c>
    </row>
    <row r="1567" spans="1:11">
      <c r="A1567">
        <v>522</v>
      </c>
      <c r="B1567" t="s">
        <v>138</v>
      </c>
      <c r="C1567" s="1">
        <v>45579</v>
      </c>
      <c r="D1567" s="2" t="s">
        <v>25</v>
      </c>
      <c r="E1567" t="s">
        <v>31</v>
      </c>
      <c r="G1567" s="3">
        <v>788</v>
      </c>
      <c r="H1567" t="s">
        <v>172</v>
      </c>
      <c r="I1567" s="3" t="str">
        <f t="shared" si="72"/>
        <v>2024-10</v>
      </c>
      <c r="J1567" s="1">
        <f t="shared" si="73"/>
        <v>45798</v>
      </c>
      <c r="K1567" t="str">
        <f t="shared" si="74"/>
        <v>ACTIVE</v>
      </c>
    </row>
    <row r="1568" spans="1:11">
      <c r="A1568">
        <v>1786</v>
      </c>
      <c r="B1568" t="s">
        <v>65</v>
      </c>
      <c r="C1568" s="1">
        <v>45444</v>
      </c>
      <c r="D1568" s="2" t="s">
        <v>27</v>
      </c>
      <c r="E1568" t="s">
        <v>33</v>
      </c>
      <c r="G1568" s="3">
        <v>300</v>
      </c>
      <c r="H1568" t="s">
        <v>172</v>
      </c>
      <c r="I1568" s="3" t="str">
        <f t="shared" si="72"/>
        <v>2024-06</v>
      </c>
      <c r="J1568" s="1">
        <f t="shared" si="73"/>
        <v>45813</v>
      </c>
      <c r="K1568" t="str">
        <f t="shared" si="74"/>
        <v>ACTIVE</v>
      </c>
    </row>
    <row r="1569" spans="1:11">
      <c r="A1569">
        <v>1752</v>
      </c>
      <c r="B1569" t="s">
        <v>124</v>
      </c>
      <c r="C1569" s="1">
        <v>45575</v>
      </c>
      <c r="D1569" s="2" t="s">
        <v>25</v>
      </c>
      <c r="E1569" t="s">
        <v>32</v>
      </c>
      <c r="G1569" s="3">
        <v>4898</v>
      </c>
      <c r="H1569" t="s">
        <v>174</v>
      </c>
      <c r="I1569" s="3" t="str">
        <f t="shared" si="72"/>
        <v>2024-10</v>
      </c>
      <c r="J1569" s="1">
        <f t="shared" si="73"/>
        <v>45793</v>
      </c>
      <c r="K1569" t="str">
        <f t="shared" si="74"/>
        <v>ACTIVE</v>
      </c>
    </row>
    <row r="1570" spans="1:11">
      <c r="A1570">
        <v>1005</v>
      </c>
      <c r="B1570" t="s">
        <v>43</v>
      </c>
      <c r="C1570" s="1">
        <v>45516</v>
      </c>
      <c r="D1570" s="2" t="s">
        <v>28</v>
      </c>
      <c r="E1570" t="s">
        <v>31</v>
      </c>
      <c r="G1570" s="3">
        <v>2249</v>
      </c>
      <c r="H1570" t="s">
        <v>173</v>
      </c>
      <c r="I1570" s="3" t="str">
        <f t="shared" si="72"/>
        <v>2024-08</v>
      </c>
      <c r="J1570" s="1">
        <f t="shared" si="73"/>
        <v>45818</v>
      </c>
      <c r="K1570" t="str">
        <f t="shared" si="74"/>
        <v>ACTIVE</v>
      </c>
    </row>
    <row r="1571" spans="1:11">
      <c r="A1571">
        <v>1256</v>
      </c>
      <c r="B1571" t="s">
        <v>110</v>
      </c>
      <c r="C1571" s="1">
        <v>45801</v>
      </c>
      <c r="D1571" s="2" t="s">
        <v>28</v>
      </c>
      <c r="E1571" t="s">
        <v>34</v>
      </c>
      <c r="G1571" s="3">
        <v>1213</v>
      </c>
      <c r="H1571" t="s">
        <v>173</v>
      </c>
      <c r="I1571" s="3" t="str">
        <f t="shared" si="72"/>
        <v>2025-05</v>
      </c>
      <c r="J1571" s="1">
        <f t="shared" si="73"/>
        <v>45816</v>
      </c>
      <c r="K1571" t="str">
        <f t="shared" si="74"/>
        <v>ACTIVE</v>
      </c>
    </row>
    <row r="1572" spans="1:11">
      <c r="A1572">
        <v>1235</v>
      </c>
      <c r="B1572" t="s">
        <v>143</v>
      </c>
      <c r="C1572" s="1">
        <v>45364</v>
      </c>
      <c r="D1572" s="2" t="s">
        <v>24</v>
      </c>
      <c r="E1572" t="s">
        <v>31</v>
      </c>
      <c r="G1572" s="3">
        <v>476</v>
      </c>
      <c r="H1572" t="s">
        <v>174</v>
      </c>
      <c r="I1572" s="3" t="str">
        <f t="shared" si="72"/>
        <v>2024-03</v>
      </c>
      <c r="J1572" s="1">
        <f t="shared" si="73"/>
        <v>45764</v>
      </c>
      <c r="K1572" t="str">
        <f t="shared" si="74"/>
        <v>ACTIVE</v>
      </c>
    </row>
    <row r="1573" spans="1:11">
      <c r="A1573">
        <v>144</v>
      </c>
      <c r="B1573" t="s">
        <v>93</v>
      </c>
      <c r="C1573" s="1">
        <v>45772</v>
      </c>
      <c r="D1573" s="2" t="s">
        <v>23</v>
      </c>
      <c r="E1573" t="s">
        <v>34</v>
      </c>
      <c r="G1573" s="3">
        <v>808</v>
      </c>
      <c r="H1573" t="s">
        <v>172</v>
      </c>
      <c r="I1573" s="3" t="str">
        <f t="shared" si="72"/>
        <v>2025-04</v>
      </c>
      <c r="J1573" s="1">
        <f t="shared" si="73"/>
        <v>45830</v>
      </c>
      <c r="K1573" t="str">
        <f t="shared" si="74"/>
        <v>ACTIVE</v>
      </c>
    </row>
    <row r="1574" spans="1:11">
      <c r="A1574">
        <v>754</v>
      </c>
      <c r="B1574" t="s">
        <v>116</v>
      </c>
      <c r="C1574" s="1">
        <v>45729</v>
      </c>
      <c r="D1574" s="2" t="s">
        <v>25</v>
      </c>
      <c r="E1574" t="s">
        <v>31</v>
      </c>
      <c r="G1574" s="3">
        <v>853</v>
      </c>
      <c r="H1574" t="s">
        <v>173</v>
      </c>
      <c r="I1574" s="3" t="str">
        <f t="shared" si="72"/>
        <v>2025-03</v>
      </c>
      <c r="J1574" s="1">
        <f t="shared" si="73"/>
        <v>45829</v>
      </c>
      <c r="K1574" t="str">
        <f t="shared" si="74"/>
        <v>ACTIVE</v>
      </c>
    </row>
    <row r="1575" spans="1:11">
      <c r="A1575">
        <v>520</v>
      </c>
      <c r="B1575" t="s">
        <v>145</v>
      </c>
      <c r="C1575" s="1">
        <v>45763</v>
      </c>
      <c r="D1575" s="2" t="s">
        <v>23</v>
      </c>
      <c r="E1575" t="s">
        <v>31</v>
      </c>
      <c r="G1575" s="3">
        <v>334</v>
      </c>
      <c r="H1575" t="s">
        <v>173</v>
      </c>
      <c r="I1575" s="3" t="str">
        <f t="shared" si="72"/>
        <v>2025-04</v>
      </c>
      <c r="J1575" s="1">
        <f t="shared" si="73"/>
        <v>45828</v>
      </c>
      <c r="K1575" t="str">
        <f t="shared" si="74"/>
        <v>ACTIVE</v>
      </c>
    </row>
    <row r="1576" spans="1:11">
      <c r="A1576">
        <v>823</v>
      </c>
      <c r="B1576" t="s">
        <v>40</v>
      </c>
      <c r="C1576" s="1">
        <v>45457</v>
      </c>
      <c r="D1576" s="2" t="s">
        <v>25</v>
      </c>
      <c r="E1576" t="s">
        <v>34</v>
      </c>
      <c r="G1576" s="3">
        <v>719</v>
      </c>
      <c r="H1576" t="s">
        <v>175</v>
      </c>
      <c r="I1576" s="3" t="str">
        <f t="shared" si="72"/>
        <v>2024-06</v>
      </c>
      <c r="J1576" s="1">
        <f t="shared" si="73"/>
        <v>45759</v>
      </c>
      <c r="K1576" t="str">
        <f t="shared" si="74"/>
        <v>ACTIVE</v>
      </c>
    </row>
    <row r="1577" spans="1:11">
      <c r="A1577">
        <v>429</v>
      </c>
      <c r="B1577" t="s">
        <v>61</v>
      </c>
      <c r="C1577" s="1">
        <v>45567</v>
      </c>
      <c r="D1577" s="2" t="s">
        <v>27</v>
      </c>
      <c r="E1577" t="s">
        <v>32</v>
      </c>
      <c r="G1577" s="3">
        <v>1788</v>
      </c>
      <c r="H1577" t="s">
        <v>172</v>
      </c>
      <c r="I1577" s="3" t="str">
        <f t="shared" si="72"/>
        <v>2024-10</v>
      </c>
      <c r="J1577" s="1">
        <f t="shared" si="73"/>
        <v>45815</v>
      </c>
      <c r="K1577" t="str">
        <f t="shared" si="74"/>
        <v>ACTIVE</v>
      </c>
    </row>
    <row r="1578" spans="1:11">
      <c r="A1578">
        <v>1506</v>
      </c>
      <c r="B1578" t="s">
        <v>142</v>
      </c>
      <c r="C1578" s="1">
        <v>45385</v>
      </c>
      <c r="D1578" s="2" t="s">
        <v>23</v>
      </c>
      <c r="E1578" t="s">
        <v>34</v>
      </c>
      <c r="G1578" s="3">
        <v>1740</v>
      </c>
      <c r="H1578" t="s">
        <v>172</v>
      </c>
      <c r="I1578" s="3" t="str">
        <f t="shared" si="72"/>
        <v>2024-04</v>
      </c>
      <c r="J1578" s="1">
        <f t="shared" si="73"/>
        <v>45803</v>
      </c>
      <c r="K1578" t="str">
        <f t="shared" si="74"/>
        <v>ACTIVE</v>
      </c>
    </row>
    <row r="1579" spans="1:11">
      <c r="A1579">
        <v>1033</v>
      </c>
      <c r="B1579" t="s">
        <v>55</v>
      </c>
      <c r="C1579" s="1">
        <v>45352</v>
      </c>
      <c r="D1579" s="2" t="s">
        <v>27</v>
      </c>
      <c r="E1579" t="s">
        <v>35</v>
      </c>
      <c r="G1579" s="3">
        <v>5848</v>
      </c>
      <c r="H1579" t="s">
        <v>176</v>
      </c>
      <c r="I1579" s="3" t="str">
        <f t="shared" si="72"/>
        <v>2024-03</v>
      </c>
      <c r="J1579" s="1">
        <f t="shared" si="73"/>
        <v>45824</v>
      </c>
      <c r="K1579" t="str">
        <f t="shared" si="74"/>
        <v>ACTIVE</v>
      </c>
    </row>
    <row r="1580" spans="1:11">
      <c r="A1580">
        <v>157</v>
      </c>
      <c r="B1580" t="s">
        <v>157</v>
      </c>
      <c r="C1580" s="1">
        <v>45325</v>
      </c>
      <c r="D1580" s="2" t="s">
        <v>27</v>
      </c>
      <c r="E1580" t="s">
        <v>30</v>
      </c>
      <c r="G1580" s="3">
        <v>354</v>
      </c>
      <c r="H1580" t="s">
        <v>174</v>
      </c>
      <c r="I1580" s="3" t="str">
        <f t="shared" si="72"/>
        <v>2024-02</v>
      </c>
      <c r="J1580" s="1">
        <f t="shared" si="73"/>
        <v>45729</v>
      </c>
      <c r="K1580" t="str">
        <f t="shared" si="74"/>
        <v>LAPSED</v>
      </c>
    </row>
    <row r="1581" spans="1:11">
      <c r="A1581">
        <v>540</v>
      </c>
      <c r="B1581" t="s">
        <v>129</v>
      </c>
      <c r="C1581" s="1">
        <v>45292</v>
      </c>
      <c r="D1581" s="2" t="s">
        <v>27</v>
      </c>
      <c r="E1581" t="s">
        <v>30</v>
      </c>
      <c r="G1581" s="3">
        <v>1472</v>
      </c>
      <c r="H1581" t="s">
        <v>174</v>
      </c>
      <c r="I1581" s="3" t="str">
        <f t="shared" si="72"/>
        <v>2024-01</v>
      </c>
      <c r="J1581" s="1">
        <f t="shared" si="73"/>
        <v>45812</v>
      </c>
      <c r="K1581" t="str">
        <f t="shared" si="74"/>
        <v>ACTIVE</v>
      </c>
    </row>
    <row r="1582" spans="1:11">
      <c r="A1582">
        <v>1531</v>
      </c>
      <c r="B1582" t="s">
        <v>157</v>
      </c>
      <c r="C1582" s="1">
        <v>45341</v>
      </c>
      <c r="D1582" s="2" t="s">
        <v>27</v>
      </c>
      <c r="E1582" t="s">
        <v>33</v>
      </c>
      <c r="G1582" s="3">
        <v>1052</v>
      </c>
      <c r="H1582" t="s">
        <v>172</v>
      </c>
      <c r="I1582" s="3" t="str">
        <f t="shared" si="72"/>
        <v>2024-02</v>
      </c>
      <c r="J1582" s="1">
        <f t="shared" si="73"/>
        <v>45729</v>
      </c>
      <c r="K1582" t="str">
        <f t="shared" si="74"/>
        <v>LAPSED</v>
      </c>
    </row>
    <row r="1583" spans="1:11">
      <c r="A1583">
        <v>1461</v>
      </c>
      <c r="B1583" t="s">
        <v>67</v>
      </c>
      <c r="C1583" s="1">
        <v>45295</v>
      </c>
      <c r="D1583" s="2" t="s">
        <v>25</v>
      </c>
      <c r="E1583" t="s">
        <v>31</v>
      </c>
      <c r="G1583" s="3">
        <v>1268</v>
      </c>
      <c r="H1583" t="s">
        <v>173</v>
      </c>
      <c r="I1583" s="3" t="str">
        <f t="shared" si="72"/>
        <v>2024-01</v>
      </c>
      <c r="J1583" s="1">
        <f t="shared" si="73"/>
        <v>45794</v>
      </c>
      <c r="K1583" t="str">
        <f t="shared" si="74"/>
        <v>ACTIVE</v>
      </c>
    </row>
    <row r="1584" spans="1:11">
      <c r="A1584">
        <v>1291</v>
      </c>
      <c r="B1584" t="s">
        <v>103</v>
      </c>
      <c r="C1584" s="1">
        <v>45757</v>
      </c>
      <c r="D1584" s="2" t="s">
        <v>24</v>
      </c>
      <c r="E1584" t="s">
        <v>33</v>
      </c>
      <c r="G1584" s="3">
        <v>1372</v>
      </c>
      <c r="H1584" t="s">
        <v>172</v>
      </c>
      <c r="I1584" s="3" t="str">
        <f t="shared" si="72"/>
        <v>2025-04</v>
      </c>
      <c r="J1584" s="1">
        <f t="shared" si="73"/>
        <v>45821</v>
      </c>
      <c r="K1584" t="str">
        <f t="shared" si="74"/>
        <v>ACTIVE</v>
      </c>
    </row>
    <row r="1585" spans="1:11">
      <c r="A1585">
        <v>462</v>
      </c>
      <c r="B1585" t="s">
        <v>106</v>
      </c>
      <c r="C1585" s="1">
        <v>45740</v>
      </c>
      <c r="D1585" s="2" t="s">
        <v>24</v>
      </c>
      <c r="E1585" t="s">
        <v>35</v>
      </c>
      <c r="G1585" s="3">
        <v>263</v>
      </c>
      <c r="H1585" t="s">
        <v>172</v>
      </c>
      <c r="I1585" s="3" t="str">
        <f t="shared" si="72"/>
        <v>2025-03</v>
      </c>
      <c r="J1585" s="1">
        <f t="shared" si="73"/>
        <v>45760</v>
      </c>
      <c r="K1585" t="str">
        <f t="shared" si="74"/>
        <v>ACTIVE</v>
      </c>
    </row>
    <row r="1586" spans="1:11">
      <c r="A1586">
        <v>577</v>
      </c>
      <c r="B1586" t="s">
        <v>110</v>
      </c>
      <c r="C1586" s="1">
        <v>45338</v>
      </c>
      <c r="D1586" s="2" t="s">
        <v>27</v>
      </c>
      <c r="E1586" t="s">
        <v>31</v>
      </c>
      <c r="G1586" s="3">
        <v>848</v>
      </c>
      <c r="H1586" t="s">
        <v>172</v>
      </c>
      <c r="I1586" s="3" t="str">
        <f t="shared" si="72"/>
        <v>2024-02</v>
      </c>
      <c r="J1586" s="1">
        <f t="shared" si="73"/>
        <v>45816</v>
      </c>
      <c r="K1586" t="str">
        <f t="shared" si="74"/>
        <v>ACTIVE</v>
      </c>
    </row>
    <row r="1587" spans="1:11">
      <c r="A1587">
        <v>1363</v>
      </c>
      <c r="B1587" t="s">
        <v>82</v>
      </c>
      <c r="C1587" s="1">
        <v>45709</v>
      </c>
      <c r="D1587" s="2" t="s">
        <v>28</v>
      </c>
      <c r="E1587" t="s">
        <v>34</v>
      </c>
      <c r="G1587" s="3">
        <v>2885</v>
      </c>
      <c r="H1587" t="s">
        <v>174</v>
      </c>
      <c r="I1587" s="3" t="str">
        <f t="shared" si="72"/>
        <v>2025-02</v>
      </c>
      <c r="J1587" s="1">
        <f t="shared" si="73"/>
        <v>45781</v>
      </c>
      <c r="K1587" t="str">
        <f t="shared" si="74"/>
        <v>ACTIVE</v>
      </c>
    </row>
    <row r="1588" spans="1:11">
      <c r="A1588">
        <v>256</v>
      </c>
      <c r="B1588" t="s">
        <v>92</v>
      </c>
      <c r="C1588" s="1">
        <v>45381</v>
      </c>
      <c r="D1588" s="2" t="s">
        <v>25</v>
      </c>
      <c r="E1588" t="s">
        <v>33</v>
      </c>
      <c r="G1588" s="3">
        <v>2249</v>
      </c>
      <c r="H1588" t="s">
        <v>175</v>
      </c>
      <c r="I1588" s="3" t="str">
        <f t="shared" si="72"/>
        <v>2024-03</v>
      </c>
      <c r="J1588" s="1">
        <f t="shared" si="73"/>
        <v>45746</v>
      </c>
      <c r="K1588" t="str">
        <f t="shared" si="74"/>
        <v>ACTIVE</v>
      </c>
    </row>
    <row r="1589" spans="1:11">
      <c r="A1589">
        <v>980</v>
      </c>
      <c r="B1589" t="s">
        <v>71</v>
      </c>
      <c r="C1589" s="1">
        <v>45680</v>
      </c>
      <c r="D1589" s="2" t="s">
        <v>27</v>
      </c>
      <c r="E1589" t="s">
        <v>33</v>
      </c>
      <c r="G1589" s="3">
        <v>254</v>
      </c>
      <c r="H1589" t="s">
        <v>174</v>
      </c>
      <c r="I1589" s="3" t="str">
        <f t="shared" si="72"/>
        <v>2025-01</v>
      </c>
      <c r="J1589" s="1">
        <f t="shared" si="73"/>
        <v>45823</v>
      </c>
      <c r="K1589" t="str">
        <f t="shared" si="74"/>
        <v>ACTIVE</v>
      </c>
    </row>
    <row r="1590" spans="1:11">
      <c r="A1590">
        <v>1186</v>
      </c>
      <c r="B1590" t="s">
        <v>79</v>
      </c>
      <c r="C1590" s="1">
        <v>45745</v>
      </c>
      <c r="D1590" s="2" t="s">
        <v>23</v>
      </c>
      <c r="E1590" t="s">
        <v>33</v>
      </c>
      <c r="G1590" s="3">
        <v>2223</v>
      </c>
      <c r="H1590" t="s">
        <v>172</v>
      </c>
      <c r="I1590" s="3" t="str">
        <f t="shared" si="72"/>
        <v>2025-03</v>
      </c>
      <c r="J1590" s="1">
        <f t="shared" si="73"/>
        <v>45782</v>
      </c>
      <c r="K1590" t="str">
        <f t="shared" si="74"/>
        <v>ACTIVE</v>
      </c>
    </row>
    <row r="1591" spans="1:11">
      <c r="A1591">
        <v>1007</v>
      </c>
      <c r="B1591" t="s">
        <v>105</v>
      </c>
      <c r="C1591" s="1">
        <v>45718</v>
      </c>
      <c r="D1591" s="2" t="s">
        <v>27</v>
      </c>
      <c r="E1591" t="s">
        <v>31</v>
      </c>
      <c r="G1591" s="3">
        <v>2086</v>
      </c>
      <c r="H1591" t="s">
        <v>175</v>
      </c>
      <c r="I1591" s="3" t="str">
        <f t="shared" si="72"/>
        <v>2025-03</v>
      </c>
      <c r="J1591" s="1">
        <f t="shared" si="73"/>
        <v>45816</v>
      </c>
      <c r="K1591" t="str">
        <f t="shared" si="74"/>
        <v>ACTIVE</v>
      </c>
    </row>
    <row r="1592" spans="1:11">
      <c r="A1592">
        <v>1522</v>
      </c>
      <c r="B1592" t="s">
        <v>56</v>
      </c>
      <c r="C1592" s="1">
        <v>45359</v>
      </c>
      <c r="D1592" s="2" t="s">
        <v>28</v>
      </c>
      <c r="E1592" t="s">
        <v>35</v>
      </c>
      <c r="G1592" s="3">
        <v>2726</v>
      </c>
      <c r="H1592" t="s">
        <v>175</v>
      </c>
      <c r="I1592" s="3" t="str">
        <f t="shared" si="72"/>
        <v>2024-03</v>
      </c>
      <c r="J1592" s="1">
        <f t="shared" si="73"/>
        <v>45805</v>
      </c>
      <c r="K1592" t="str">
        <f t="shared" si="74"/>
        <v>ACTIVE</v>
      </c>
    </row>
    <row r="1593" spans="1:11">
      <c r="A1593">
        <v>561</v>
      </c>
      <c r="B1593" t="s">
        <v>69</v>
      </c>
      <c r="C1593" s="1">
        <v>45582</v>
      </c>
      <c r="D1593" s="2" t="s">
        <v>27</v>
      </c>
      <c r="E1593" t="s">
        <v>34</v>
      </c>
      <c r="G1593" s="3">
        <v>524</v>
      </c>
      <c r="H1593" t="s">
        <v>176</v>
      </c>
      <c r="I1593" s="3" t="str">
        <f t="shared" si="72"/>
        <v>2024-10</v>
      </c>
      <c r="J1593" s="1">
        <f t="shared" si="73"/>
        <v>45829</v>
      </c>
      <c r="K1593" t="str">
        <f t="shared" si="74"/>
        <v>ACTIVE</v>
      </c>
    </row>
    <row r="1594" spans="1:11">
      <c r="A1594">
        <v>209</v>
      </c>
      <c r="B1594" t="s">
        <v>88</v>
      </c>
      <c r="C1594" s="1">
        <v>45718</v>
      </c>
      <c r="D1594" s="2" t="s">
        <v>27</v>
      </c>
      <c r="E1594" t="s">
        <v>31</v>
      </c>
      <c r="G1594" s="3">
        <v>655</v>
      </c>
      <c r="H1594" t="s">
        <v>175</v>
      </c>
      <c r="I1594" s="3" t="str">
        <f t="shared" si="72"/>
        <v>2025-03</v>
      </c>
      <c r="J1594" s="1">
        <f t="shared" si="73"/>
        <v>45763</v>
      </c>
      <c r="K1594" t="str">
        <f t="shared" si="74"/>
        <v>ACTIVE</v>
      </c>
    </row>
    <row r="1595" spans="1:11">
      <c r="A1595">
        <v>911</v>
      </c>
      <c r="B1595" t="s">
        <v>81</v>
      </c>
      <c r="C1595" s="1">
        <v>45580</v>
      </c>
      <c r="D1595" s="2" t="s">
        <v>25</v>
      </c>
      <c r="E1595" t="s">
        <v>35</v>
      </c>
      <c r="G1595" s="3">
        <v>4237</v>
      </c>
      <c r="H1595" t="s">
        <v>176</v>
      </c>
      <c r="I1595" s="3" t="str">
        <f t="shared" si="72"/>
        <v>2024-10</v>
      </c>
      <c r="J1595" s="1">
        <f t="shared" si="73"/>
        <v>45787</v>
      </c>
      <c r="K1595" t="str">
        <f t="shared" si="74"/>
        <v>ACTIVE</v>
      </c>
    </row>
    <row r="1596" spans="1:11">
      <c r="A1596">
        <v>1312</v>
      </c>
      <c r="B1596" t="s">
        <v>132</v>
      </c>
      <c r="C1596" s="1">
        <v>45534</v>
      </c>
      <c r="D1596" s="2" t="s">
        <v>25</v>
      </c>
      <c r="E1596" t="s">
        <v>34</v>
      </c>
      <c r="G1596" s="3">
        <v>545</v>
      </c>
      <c r="H1596" t="s">
        <v>174</v>
      </c>
      <c r="I1596" s="3" t="str">
        <f t="shared" si="72"/>
        <v>2024-08</v>
      </c>
      <c r="J1596" s="1">
        <f t="shared" si="73"/>
        <v>45822</v>
      </c>
      <c r="K1596" t="str">
        <f t="shared" si="74"/>
        <v>ACTIVE</v>
      </c>
    </row>
    <row r="1597" spans="1:11">
      <c r="A1597">
        <v>2</v>
      </c>
      <c r="B1597" t="s">
        <v>50</v>
      </c>
      <c r="C1597" s="1">
        <v>45322</v>
      </c>
      <c r="D1597" s="2" t="s">
        <v>27</v>
      </c>
      <c r="E1597" t="s">
        <v>33</v>
      </c>
      <c r="G1597" s="3">
        <v>10408</v>
      </c>
      <c r="H1597" t="s">
        <v>175</v>
      </c>
      <c r="I1597" s="3" t="str">
        <f t="shared" si="72"/>
        <v>2024-01</v>
      </c>
      <c r="J1597" s="1">
        <f t="shared" si="73"/>
        <v>45831</v>
      </c>
      <c r="K1597" t="str">
        <f t="shared" si="74"/>
        <v>ACTIVE</v>
      </c>
    </row>
    <row r="1598" spans="1:11">
      <c r="A1598">
        <v>1366</v>
      </c>
      <c r="B1598" t="s">
        <v>69</v>
      </c>
      <c r="C1598" s="1">
        <v>45296</v>
      </c>
      <c r="D1598" s="2" t="s">
        <v>23</v>
      </c>
      <c r="E1598" t="s">
        <v>30</v>
      </c>
      <c r="G1598" s="3">
        <v>1644</v>
      </c>
      <c r="H1598" t="s">
        <v>174</v>
      </c>
      <c r="I1598" s="3" t="str">
        <f t="shared" si="72"/>
        <v>2024-01</v>
      </c>
      <c r="J1598" s="1">
        <f t="shared" si="73"/>
        <v>45829</v>
      </c>
      <c r="K1598" t="str">
        <f t="shared" si="74"/>
        <v>ACTIVE</v>
      </c>
    </row>
    <row r="1599" spans="1:11">
      <c r="A1599">
        <v>270</v>
      </c>
      <c r="B1599" t="s">
        <v>134</v>
      </c>
      <c r="C1599" s="1">
        <v>45614</v>
      </c>
      <c r="D1599" s="2" t="s">
        <v>27</v>
      </c>
      <c r="E1599" t="s">
        <v>33</v>
      </c>
      <c r="G1599" s="3">
        <v>2645</v>
      </c>
      <c r="H1599" t="s">
        <v>172</v>
      </c>
      <c r="I1599" s="3" t="str">
        <f t="shared" si="72"/>
        <v>2024-11</v>
      </c>
      <c r="J1599" s="1">
        <f t="shared" si="73"/>
        <v>45776</v>
      </c>
      <c r="K1599" t="str">
        <f t="shared" si="74"/>
        <v>ACTIVE</v>
      </c>
    </row>
    <row r="1600" spans="1:11">
      <c r="A1600">
        <v>266</v>
      </c>
      <c r="B1600" t="s">
        <v>101</v>
      </c>
      <c r="C1600" s="1">
        <v>45523</v>
      </c>
      <c r="D1600" s="2" t="s">
        <v>28</v>
      </c>
      <c r="E1600" t="s">
        <v>34</v>
      </c>
      <c r="G1600" s="3">
        <v>539</v>
      </c>
      <c r="H1600" t="s">
        <v>176</v>
      </c>
      <c r="I1600" s="3" t="str">
        <f t="shared" si="72"/>
        <v>2024-08</v>
      </c>
      <c r="J1600" s="1">
        <f t="shared" si="73"/>
        <v>45823</v>
      </c>
      <c r="K1600" t="str">
        <f t="shared" si="74"/>
        <v>ACTIVE</v>
      </c>
    </row>
    <row r="1601" spans="1:11">
      <c r="A1601">
        <v>915</v>
      </c>
      <c r="B1601" t="s">
        <v>77</v>
      </c>
      <c r="C1601" s="1">
        <v>45653</v>
      </c>
      <c r="D1601" s="2" t="s">
        <v>28</v>
      </c>
      <c r="E1601" t="s">
        <v>32</v>
      </c>
      <c r="G1601" s="3">
        <v>323</v>
      </c>
      <c r="H1601" t="s">
        <v>173</v>
      </c>
      <c r="I1601" s="3" t="str">
        <f t="shared" si="72"/>
        <v>2024-12</v>
      </c>
      <c r="J1601" s="1">
        <f t="shared" si="73"/>
        <v>45821</v>
      </c>
      <c r="K1601" t="str">
        <f t="shared" si="74"/>
        <v>ACTIVE</v>
      </c>
    </row>
    <row r="1602" spans="1:11">
      <c r="A1602">
        <v>231</v>
      </c>
      <c r="B1602" t="s">
        <v>93</v>
      </c>
      <c r="C1602" s="1">
        <v>45733</v>
      </c>
      <c r="D1602" s="2" t="s">
        <v>23</v>
      </c>
      <c r="E1602" t="s">
        <v>35</v>
      </c>
      <c r="G1602" s="3">
        <v>9632</v>
      </c>
      <c r="H1602" t="s">
        <v>176</v>
      </c>
      <c r="I1602" s="3" t="str">
        <f t="shared" si="72"/>
        <v>2025-03</v>
      </c>
      <c r="J1602" s="1">
        <f t="shared" si="73"/>
        <v>45830</v>
      </c>
      <c r="K1602" t="str">
        <f t="shared" si="74"/>
        <v>ACTIVE</v>
      </c>
    </row>
    <row r="1603" spans="1:11">
      <c r="A1603">
        <v>1782</v>
      </c>
      <c r="B1603" t="s">
        <v>141</v>
      </c>
      <c r="C1603" s="1">
        <v>45610</v>
      </c>
      <c r="D1603" s="2" t="s">
        <v>25</v>
      </c>
      <c r="E1603" t="s">
        <v>30</v>
      </c>
      <c r="G1603" s="3">
        <v>1198</v>
      </c>
      <c r="H1603" t="s">
        <v>172</v>
      </c>
      <c r="I1603" s="3" t="str">
        <f t="shared" ref="I1603:I1666" si="75">TEXT(C1603, "yyyy-mm")</f>
        <v>2024-11</v>
      </c>
      <c r="J1603" s="1">
        <f t="shared" ref="J1603:J1666" si="76">_xlfn.MAXIFS(C:C, B:B, B1603)</f>
        <v>45773</v>
      </c>
      <c r="K1603" t="str">
        <f t="shared" ref="K1603:K1666" si="77">IF($L$3-J1603&gt;90, "LAPSED","ACTIVE")</f>
        <v>ACTIVE</v>
      </c>
    </row>
    <row r="1604" spans="1:11">
      <c r="A1604">
        <v>1120</v>
      </c>
      <c r="B1604" t="s">
        <v>148</v>
      </c>
      <c r="C1604" s="1">
        <v>45411</v>
      </c>
      <c r="D1604" s="2" t="s">
        <v>26</v>
      </c>
      <c r="E1604" t="s">
        <v>33</v>
      </c>
      <c r="G1604" s="3">
        <v>874</v>
      </c>
      <c r="H1604" t="s">
        <v>175</v>
      </c>
      <c r="I1604" s="3" t="str">
        <f t="shared" si="75"/>
        <v>2024-04</v>
      </c>
      <c r="J1604" s="1">
        <f t="shared" si="76"/>
        <v>45766</v>
      </c>
      <c r="K1604" t="str">
        <f t="shared" si="77"/>
        <v>ACTIVE</v>
      </c>
    </row>
    <row r="1605" spans="1:11">
      <c r="A1605">
        <v>1777</v>
      </c>
      <c r="B1605" t="s">
        <v>61</v>
      </c>
      <c r="C1605" s="1">
        <v>45298</v>
      </c>
      <c r="D1605" s="2" t="s">
        <v>27</v>
      </c>
      <c r="E1605" t="s">
        <v>32</v>
      </c>
      <c r="G1605" s="3">
        <v>1259</v>
      </c>
      <c r="H1605" t="s">
        <v>175</v>
      </c>
      <c r="I1605" s="3" t="str">
        <f t="shared" si="75"/>
        <v>2024-01</v>
      </c>
      <c r="J1605" s="1">
        <f t="shared" si="76"/>
        <v>45815</v>
      </c>
      <c r="K1605" t="str">
        <f t="shared" si="77"/>
        <v>ACTIVE</v>
      </c>
    </row>
    <row r="1606" spans="1:11">
      <c r="A1606">
        <v>865</v>
      </c>
      <c r="B1606" t="s">
        <v>56</v>
      </c>
      <c r="C1606" s="1">
        <v>45571</v>
      </c>
      <c r="D1606" s="2" t="s">
        <v>27</v>
      </c>
      <c r="E1606" t="s">
        <v>31</v>
      </c>
      <c r="G1606" s="3">
        <v>420</v>
      </c>
      <c r="H1606" t="s">
        <v>172</v>
      </c>
      <c r="I1606" s="3" t="str">
        <f t="shared" si="75"/>
        <v>2024-10</v>
      </c>
      <c r="J1606" s="1">
        <f t="shared" si="76"/>
        <v>45805</v>
      </c>
      <c r="K1606" t="str">
        <f t="shared" si="77"/>
        <v>ACTIVE</v>
      </c>
    </row>
    <row r="1607" spans="1:11">
      <c r="A1607">
        <v>1067</v>
      </c>
      <c r="B1607" t="s">
        <v>127</v>
      </c>
      <c r="C1607" s="1">
        <v>45752</v>
      </c>
      <c r="D1607" s="2" t="s">
        <v>28</v>
      </c>
      <c r="E1607" t="s">
        <v>31</v>
      </c>
      <c r="G1607" s="3">
        <v>324</v>
      </c>
      <c r="H1607" t="s">
        <v>172</v>
      </c>
      <c r="I1607" s="3" t="str">
        <f t="shared" si="75"/>
        <v>2025-04</v>
      </c>
      <c r="J1607" s="1">
        <f t="shared" si="76"/>
        <v>45794</v>
      </c>
      <c r="K1607" t="str">
        <f t="shared" si="77"/>
        <v>ACTIVE</v>
      </c>
    </row>
    <row r="1608" spans="1:11">
      <c r="A1608">
        <v>874</v>
      </c>
      <c r="B1608" t="s">
        <v>157</v>
      </c>
      <c r="C1608" s="1">
        <v>45335</v>
      </c>
      <c r="D1608" s="2" t="s">
        <v>28</v>
      </c>
      <c r="E1608" t="s">
        <v>33</v>
      </c>
      <c r="G1608" s="3">
        <v>11615</v>
      </c>
      <c r="H1608" t="s">
        <v>172</v>
      </c>
      <c r="I1608" s="3" t="str">
        <f t="shared" si="75"/>
        <v>2024-02</v>
      </c>
      <c r="J1608" s="1">
        <f t="shared" si="76"/>
        <v>45729</v>
      </c>
      <c r="K1608" t="str">
        <f t="shared" si="77"/>
        <v>LAPSED</v>
      </c>
    </row>
    <row r="1609" spans="1:11">
      <c r="A1609">
        <v>1623</v>
      </c>
      <c r="B1609" t="s">
        <v>130</v>
      </c>
      <c r="C1609" s="1">
        <v>45771</v>
      </c>
      <c r="D1609" s="2" t="s">
        <v>23</v>
      </c>
      <c r="E1609" t="s">
        <v>32</v>
      </c>
      <c r="G1609" s="3">
        <v>886</v>
      </c>
      <c r="H1609" t="s">
        <v>174</v>
      </c>
      <c r="I1609" s="3" t="str">
        <f t="shared" si="75"/>
        <v>2025-04</v>
      </c>
      <c r="J1609" s="1">
        <f t="shared" si="76"/>
        <v>45828</v>
      </c>
      <c r="K1609" t="str">
        <f t="shared" si="77"/>
        <v>ACTIVE</v>
      </c>
    </row>
    <row r="1610" spans="1:11">
      <c r="A1610">
        <v>399</v>
      </c>
      <c r="B1610" t="s">
        <v>65</v>
      </c>
      <c r="C1610" s="1">
        <v>45693</v>
      </c>
      <c r="D1610" s="2" t="s">
        <v>23</v>
      </c>
      <c r="E1610" t="s">
        <v>30</v>
      </c>
      <c r="G1610" s="3">
        <v>2134</v>
      </c>
      <c r="H1610" t="s">
        <v>175</v>
      </c>
      <c r="I1610" s="3" t="str">
        <f t="shared" si="75"/>
        <v>2025-02</v>
      </c>
      <c r="J1610" s="1">
        <f t="shared" si="76"/>
        <v>45813</v>
      </c>
      <c r="K1610" t="str">
        <f t="shared" si="77"/>
        <v>ACTIVE</v>
      </c>
    </row>
    <row r="1611" spans="1:11">
      <c r="A1611">
        <v>1650</v>
      </c>
      <c r="B1611" t="s">
        <v>82</v>
      </c>
      <c r="C1611" s="1">
        <v>45586</v>
      </c>
      <c r="D1611" s="2" t="s">
        <v>23</v>
      </c>
      <c r="E1611" t="s">
        <v>31</v>
      </c>
      <c r="G1611" s="3">
        <v>276</v>
      </c>
      <c r="H1611" t="s">
        <v>173</v>
      </c>
      <c r="I1611" s="3" t="str">
        <f t="shared" si="75"/>
        <v>2024-10</v>
      </c>
      <c r="J1611" s="1">
        <f t="shared" si="76"/>
        <v>45781</v>
      </c>
      <c r="K1611" t="str">
        <f t="shared" si="77"/>
        <v>ACTIVE</v>
      </c>
    </row>
    <row r="1612" spans="1:11">
      <c r="A1612">
        <v>46</v>
      </c>
      <c r="B1612" t="s">
        <v>60</v>
      </c>
      <c r="C1612" s="1">
        <v>45516</v>
      </c>
      <c r="D1612" s="2" t="s">
        <v>23</v>
      </c>
      <c r="E1612" t="s">
        <v>32</v>
      </c>
      <c r="G1612" s="3">
        <v>511</v>
      </c>
      <c r="H1612" t="s">
        <v>176</v>
      </c>
      <c r="I1612" s="3" t="str">
        <f t="shared" si="75"/>
        <v>2024-08</v>
      </c>
      <c r="J1612" s="1">
        <f t="shared" si="76"/>
        <v>45801</v>
      </c>
      <c r="K1612" t="str">
        <f t="shared" si="77"/>
        <v>ACTIVE</v>
      </c>
    </row>
    <row r="1613" spans="1:11">
      <c r="A1613">
        <v>162</v>
      </c>
      <c r="B1613" t="s">
        <v>95</v>
      </c>
      <c r="C1613" s="1">
        <v>45669</v>
      </c>
      <c r="D1613" s="2" t="s">
        <v>23</v>
      </c>
      <c r="E1613" t="s">
        <v>33</v>
      </c>
      <c r="G1613" s="3">
        <v>826</v>
      </c>
      <c r="H1613" t="s">
        <v>173</v>
      </c>
      <c r="I1613" s="3" t="str">
        <f t="shared" si="75"/>
        <v>2025-01</v>
      </c>
      <c r="J1613" s="1">
        <f t="shared" si="76"/>
        <v>45797</v>
      </c>
      <c r="K1613" t="str">
        <f t="shared" si="77"/>
        <v>ACTIVE</v>
      </c>
    </row>
    <row r="1614" spans="1:11">
      <c r="A1614">
        <v>992</v>
      </c>
      <c r="B1614" t="s">
        <v>51</v>
      </c>
      <c r="C1614" s="1">
        <v>45295</v>
      </c>
      <c r="D1614" s="2" t="s">
        <v>27</v>
      </c>
      <c r="E1614" t="s">
        <v>35</v>
      </c>
      <c r="G1614" s="3">
        <v>329</v>
      </c>
      <c r="H1614" t="s">
        <v>172</v>
      </c>
      <c r="I1614" s="3" t="str">
        <f t="shared" si="75"/>
        <v>2024-01</v>
      </c>
      <c r="J1614" s="1">
        <f t="shared" si="76"/>
        <v>45775</v>
      </c>
      <c r="K1614" t="str">
        <f t="shared" si="77"/>
        <v>ACTIVE</v>
      </c>
    </row>
    <row r="1615" spans="1:11">
      <c r="A1615">
        <v>728</v>
      </c>
      <c r="B1615" t="s">
        <v>53</v>
      </c>
      <c r="C1615" s="1">
        <v>45710</v>
      </c>
      <c r="D1615" s="2" t="s">
        <v>25</v>
      </c>
      <c r="E1615" t="s">
        <v>31</v>
      </c>
      <c r="G1615" s="3">
        <v>2040</v>
      </c>
      <c r="H1615" t="s">
        <v>172</v>
      </c>
      <c r="I1615" s="3" t="str">
        <f t="shared" si="75"/>
        <v>2025-02</v>
      </c>
      <c r="J1615" s="1">
        <f t="shared" si="76"/>
        <v>45779</v>
      </c>
      <c r="K1615" t="str">
        <f t="shared" si="77"/>
        <v>ACTIVE</v>
      </c>
    </row>
    <row r="1616" spans="1:11">
      <c r="A1616">
        <v>630</v>
      </c>
      <c r="B1616" t="s">
        <v>100</v>
      </c>
      <c r="C1616" s="1">
        <v>45539</v>
      </c>
      <c r="D1616" s="2" t="s">
        <v>23</v>
      </c>
      <c r="E1616" t="s">
        <v>34</v>
      </c>
      <c r="G1616" s="3">
        <v>1128</v>
      </c>
      <c r="H1616" t="s">
        <v>176</v>
      </c>
      <c r="I1616" s="3" t="str">
        <f t="shared" si="75"/>
        <v>2024-09</v>
      </c>
      <c r="J1616" s="1">
        <f t="shared" si="76"/>
        <v>45779</v>
      </c>
      <c r="K1616" t="str">
        <f t="shared" si="77"/>
        <v>ACTIVE</v>
      </c>
    </row>
    <row r="1617" spans="1:11">
      <c r="A1617">
        <v>289</v>
      </c>
      <c r="B1617" t="s">
        <v>149</v>
      </c>
      <c r="C1617" s="1">
        <v>45614</v>
      </c>
      <c r="D1617" s="2" t="s">
        <v>28</v>
      </c>
      <c r="E1617" t="s">
        <v>30</v>
      </c>
      <c r="G1617" s="3">
        <v>4636</v>
      </c>
      <c r="H1617" t="s">
        <v>174</v>
      </c>
      <c r="I1617" s="3" t="str">
        <f t="shared" si="75"/>
        <v>2024-11</v>
      </c>
      <c r="J1617" s="1">
        <f t="shared" si="76"/>
        <v>45795</v>
      </c>
      <c r="K1617" t="str">
        <f t="shared" si="77"/>
        <v>ACTIVE</v>
      </c>
    </row>
    <row r="1618" spans="1:11">
      <c r="A1618">
        <v>1614</v>
      </c>
      <c r="B1618" t="s">
        <v>97</v>
      </c>
      <c r="C1618" s="1">
        <v>45650</v>
      </c>
      <c r="D1618" s="2" t="s">
        <v>28</v>
      </c>
      <c r="E1618" t="s">
        <v>31</v>
      </c>
      <c r="G1618" s="3">
        <v>2747</v>
      </c>
      <c r="H1618" t="s">
        <v>174</v>
      </c>
      <c r="I1618" s="3" t="str">
        <f t="shared" si="75"/>
        <v>2024-12</v>
      </c>
      <c r="J1618" s="1">
        <f t="shared" si="76"/>
        <v>45794</v>
      </c>
      <c r="K1618" t="str">
        <f t="shared" si="77"/>
        <v>ACTIVE</v>
      </c>
    </row>
    <row r="1619" spans="1:11">
      <c r="A1619">
        <v>1060</v>
      </c>
      <c r="B1619" t="s">
        <v>159</v>
      </c>
      <c r="C1619" s="1">
        <v>45540</v>
      </c>
      <c r="D1619" s="2" t="s">
        <v>24</v>
      </c>
      <c r="E1619" t="s">
        <v>33</v>
      </c>
      <c r="G1619" s="3">
        <v>278</v>
      </c>
      <c r="H1619" t="s">
        <v>176</v>
      </c>
      <c r="I1619" s="3" t="str">
        <f t="shared" si="75"/>
        <v>2024-09</v>
      </c>
      <c r="J1619" s="1">
        <f t="shared" si="76"/>
        <v>45713</v>
      </c>
      <c r="K1619" t="str">
        <f t="shared" si="77"/>
        <v>LAPSED</v>
      </c>
    </row>
    <row r="1620" spans="1:11">
      <c r="A1620">
        <v>1763</v>
      </c>
      <c r="B1620" t="s">
        <v>47</v>
      </c>
      <c r="C1620" s="1">
        <v>45583</v>
      </c>
      <c r="D1620" s="2" t="s">
        <v>25</v>
      </c>
      <c r="E1620" t="s">
        <v>35</v>
      </c>
      <c r="G1620" s="3">
        <v>2627</v>
      </c>
      <c r="H1620" t="s">
        <v>176</v>
      </c>
      <c r="I1620" s="3" t="str">
        <f t="shared" si="75"/>
        <v>2024-10</v>
      </c>
      <c r="J1620" s="1">
        <f t="shared" si="76"/>
        <v>45792</v>
      </c>
      <c r="K1620" t="str">
        <f t="shared" si="77"/>
        <v>ACTIVE</v>
      </c>
    </row>
    <row r="1621" spans="1:11">
      <c r="A1621">
        <v>576</v>
      </c>
      <c r="B1621" t="s">
        <v>90</v>
      </c>
      <c r="C1621" s="1">
        <v>45499</v>
      </c>
      <c r="D1621" s="2" t="s">
        <v>24</v>
      </c>
      <c r="E1621" t="s">
        <v>30</v>
      </c>
      <c r="G1621" s="3">
        <v>697</v>
      </c>
      <c r="H1621" t="s">
        <v>175</v>
      </c>
      <c r="I1621" s="3" t="str">
        <f t="shared" si="75"/>
        <v>2024-07</v>
      </c>
      <c r="J1621" s="1">
        <f t="shared" si="76"/>
        <v>45788</v>
      </c>
      <c r="K1621" t="str">
        <f t="shared" si="77"/>
        <v>ACTIVE</v>
      </c>
    </row>
    <row r="1622" spans="1:11">
      <c r="A1622">
        <v>851</v>
      </c>
      <c r="B1622" t="s">
        <v>60</v>
      </c>
      <c r="C1622" s="1">
        <v>45777</v>
      </c>
      <c r="D1622" s="2" t="s">
        <v>25</v>
      </c>
      <c r="E1622" t="s">
        <v>34</v>
      </c>
      <c r="G1622" s="3">
        <v>10600</v>
      </c>
      <c r="H1622" t="s">
        <v>175</v>
      </c>
      <c r="I1622" s="3" t="str">
        <f t="shared" si="75"/>
        <v>2025-04</v>
      </c>
      <c r="J1622" s="1">
        <f t="shared" si="76"/>
        <v>45801</v>
      </c>
      <c r="K1622" t="str">
        <f t="shared" si="77"/>
        <v>ACTIVE</v>
      </c>
    </row>
    <row r="1623" spans="1:11">
      <c r="A1623">
        <v>1340</v>
      </c>
      <c r="B1623" t="s">
        <v>116</v>
      </c>
      <c r="C1623" s="1">
        <v>45327</v>
      </c>
      <c r="D1623" s="2" t="s">
        <v>24</v>
      </c>
      <c r="E1623" t="s">
        <v>31</v>
      </c>
      <c r="G1623" s="3">
        <v>577</v>
      </c>
      <c r="H1623" t="s">
        <v>176</v>
      </c>
      <c r="I1623" s="3" t="str">
        <f t="shared" si="75"/>
        <v>2024-02</v>
      </c>
      <c r="J1623" s="1">
        <f t="shared" si="76"/>
        <v>45829</v>
      </c>
      <c r="K1623" t="str">
        <f t="shared" si="77"/>
        <v>ACTIVE</v>
      </c>
    </row>
    <row r="1624" spans="1:11">
      <c r="A1624">
        <v>912</v>
      </c>
      <c r="B1624" t="s">
        <v>120</v>
      </c>
      <c r="C1624" s="1">
        <v>45477</v>
      </c>
      <c r="D1624" s="2" t="s">
        <v>28</v>
      </c>
      <c r="E1624" t="s">
        <v>33</v>
      </c>
      <c r="G1624" s="3">
        <v>2625</v>
      </c>
      <c r="H1624" t="s">
        <v>174</v>
      </c>
      <c r="I1624" s="3" t="str">
        <f t="shared" si="75"/>
        <v>2024-07</v>
      </c>
      <c r="J1624" s="1">
        <f t="shared" si="76"/>
        <v>45817</v>
      </c>
      <c r="K1624" t="str">
        <f t="shared" si="77"/>
        <v>ACTIVE</v>
      </c>
    </row>
    <row r="1625" spans="1:11">
      <c r="A1625">
        <v>1255</v>
      </c>
      <c r="B1625" t="s">
        <v>158</v>
      </c>
      <c r="C1625" s="1">
        <v>45525</v>
      </c>
      <c r="D1625" s="2" t="s">
        <v>24</v>
      </c>
      <c r="E1625" t="s">
        <v>30</v>
      </c>
      <c r="G1625" s="3">
        <v>11284</v>
      </c>
      <c r="H1625" t="s">
        <v>172</v>
      </c>
      <c r="I1625" s="3" t="str">
        <f t="shared" si="75"/>
        <v>2024-08</v>
      </c>
      <c r="J1625" s="1">
        <f t="shared" si="76"/>
        <v>45740</v>
      </c>
      <c r="K1625" t="str">
        <f t="shared" si="77"/>
        <v>LAPSED</v>
      </c>
    </row>
    <row r="1626" spans="1:11">
      <c r="A1626">
        <v>1643</v>
      </c>
      <c r="B1626" t="s">
        <v>77</v>
      </c>
      <c r="C1626" s="1">
        <v>45642</v>
      </c>
      <c r="D1626" s="2" t="s">
        <v>24</v>
      </c>
      <c r="E1626" t="s">
        <v>33</v>
      </c>
      <c r="G1626" s="3">
        <v>0</v>
      </c>
      <c r="H1626" t="s">
        <v>174</v>
      </c>
      <c r="I1626" s="3" t="str">
        <f t="shared" si="75"/>
        <v>2024-12</v>
      </c>
      <c r="J1626" s="1">
        <f t="shared" si="76"/>
        <v>45821</v>
      </c>
      <c r="K1626" t="str">
        <f t="shared" si="77"/>
        <v>ACTIVE</v>
      </c>
    </row>
    <row r="1627" spans="1:11">
      <c r="A1627">
        <v>933</v>
      </c>
      <c r="B1627" t="s">
        <v>67</v>
      </c>
      <c r="C1627" s="1">
        <v>45688</v>
      </c>
      <c r="D1627" s="2" t="s">
        <v>27</v>
      </c>
      <c r="E1627" t="s">
        <v>35</v>
      </c>
      <c r="G1627" s="3">
        <v>1183</v>
      </c>
      <c r="H1627" t="s">
        <v>175</v>
      </c>
      <c r="I1627" s="3" t="str">
        <f t="shared" si="75"/>
        <v>2025-01</v>
      </c>
      <c r="J1627" s="1">
        <f t="shared" si="76"/>
        <v>45794</v>
      </c>
      <c r="K1627" t="str">
        <f t="shared" si="77"/>
        <v>ACTIVE</v>
      </c>
    </row>
    <row r="1628" spans="1:11">
      <c r="A1628">
        <v>1101</v>
      </c>
      <c r="B1628" t="s">
        <v>159</v>
      </c>
      <c r="C1628" s="1">
        <v>45501</v>
      </c>
      <c r="D1628" s="2" t="s">
        <v>23</v>
      </c>
      <c r="E1628" t="s">
        <v>30</v>
      </c>
      <c r="G1628" s="3">
        <v>5039</v>
      </c>
      <c r="H1628" t="s">
        <v>174</v>
      </c>
      <c r="I1628" s="3" t="str">
        <f t="shared" si="75"/>
        <v>2024-07</v>
      </c>
      <c r="J1628" s="1">
        <f t="shared" si="76"/>
        <v>45713</v>
      </c>
      <c r="K1628" t="str">
        <f t="shared" si="77"/>
        <v>LAPSED</v>
      </c>
    </row>
    <row r="1629" spans="1:11">
      <c r="A1629">
        <v>1208</v>
      </c>
      <c r="B1629" t="s">
        <v>50</v>
      </c>
      <c r="C1629" s="1">
        <v>45419</v>
      </c>
      <c r="D1629" s="2" t="s">
        <v>27</v>
      </c>
      <c r="E1629" t="s">
        <v>35</v>
      </c>
      <c r="G1629" s="3">
        <v>8487</v>
      </c>
      <c r="H1629" t="s">
        <v>172</v>
      </c>
      <c r="I1629" s="3" t="str">
        <f t="shared" si="75"/>
        <v>2024-05</v>
      </c>
      <c r="J1629" s="1">
        <f t="shared" si="76"/>
        <v>45831</v>
      </c>
      <c r="K1629" t="str">
        <f t="shared" si="77"/>
        <v>ACTIVE</v>
      </c>
    </row>
    <row r="1630" spans="1:11">
      <c r="A1630">
        <v>248</v>
      </c>
      <c r="B1630" t="s">
        <v>111</v>
      </c>
      <c r="C1630" s="1">
        <v>45612</v>
      </c>
      <c r="D1630" s="2" t="s">
        <v>28</v>
      </c>
      <c r="E1630" t="s">
        <v>35</v>
      </c>
      <c r="G1630" s="3">
        <v>776</v>
      </c>
      <c r="H1630" t="s">
        <v>174</v>
      </c>
      <c r="I1630" s="3" t="str">
        <f t="shared" si="75"/>
        <v>2024-11</v>
      </c>
      <c r="J1630" s="1">
        <f t="shared" si="76"/>
        <v>45829</v>
      </c>
      <c r="K1630" t="str">
        <f t="shared" si="77"/>
        <v>ACTIVE</v>
      </c>
    </row>
    <row r="1631" spans="1:11">
      <c r="A1631">
        <v>477</v>
      </c>
      <c r="B1631" t="s">
        <v>134</v>
      </c>
      <c r="C1631" s="1">
        <v>45624</v>
      </c>
      <c r="D1631" s="2" t="s">
        <v>28</v>
      </c>
      <c r="E1631" t="s">
        <v>33</v>
      </c>
      <c r="G1631" s="3">
        <v>339</v>
      </c>
      <c r="H1631" t="s">
        <v>175</v>
      </c>
      <c r="I1631" s="3" t="str">
        <f t="shared" si="75"/>
        <v>2024-11</v>
      </c>
      <c r="J1631" s="1">
        <f t="shared" si="76"/>
        <v>45776</v>
      </c>
      <c r="K1631" t="str">
        <f t="shared" si="77"/>
        <v>ACTIVE</v>
      </c>
    </row>
    <row r="1632" spans="1:11">
      <c r="A1632">
        <v>86</v>
      </c>
      <c r="B1632" t="s">
        <v>85</v>
      </c>
      <c r="C1632" s="1">
        <v>45682</v>
      </c>
      <c r="D1632" s="2" t="s">
        <v>27</v>
      </c>
      <c r="E1632" t="s">
        <v>32</v>
      </c>
      <c r="G1632" s="3">
        <v>425</v>
      </c>
      <c r="H1632" t="s">
        <v>175</v>
      </c>
      <c r="I1632" s="3" t="str">
        <f t="shared" si="75"/>
        <v>2025-01</v>
      </c>
      <c r="J1632" s="1">
        <f t="shared" si="76"/>
        <v>45826</v>
      </c>
      <c r="K1632" t="str">
        <f t="shared" si="77"/>
        <v>ACTIVE</v>
      </c>
    </row>
    <row r="1633" spans="1:11">
      <c r="A1633">
        <v>470</v>
      </c>
      <c r="B1633" t="s">
        <v>118</v>
      </c>
      <c r="C1633" s="1">
        <v>45830</v>
      </c>
      <c r="D1633" s="2" t="s">
        <v>27</v>
      </c>
      <c r="E1633" t="s">
        <v>35</v>
      </c>
      <c r="G1633" s="3">
        <v>1535</v>
      </c>
      <c r="H1633" t="s">
        <v>175</v>
      </c>
      <c r="I1633" s="3" t="str">
        <f t="shared" si="75"/>
        <v>2025-06</v>
      </c>
      <c r="J1633" s="1">
        <f t="shared" si="76"/>
        <v>45830</v>
      </c>
      <c r="K1633" t="str">
        <f t="shared" si="77"/>
        <v>ACTIVE</v>
      </c>
    </row>
    <row r="1634" spans="1:11">
      <c r="A1634">
        <v>226</v>
      </c>
      <c r="B1634" t="s">
        <v>120</v>
      </c>
      <c r="C1634" s="1">
        <v>45690</v>
      </c>
      <c r="D1634" s="2" t="s">
        <v>23</v>
      </c>
      <c r="E1634" t="s">
        <v>31</v>
      </c>
      <c r="G1634" s="3">
        <v>827</v>
      </c>
      <c r="H1634" t="s">
        <v>172</v>
      </c>
      <c r="I1634" s="3" t="str">
        <f t="shared" si="75"/>
        <v>2025-02</v>
      </c>
      <c r="J1634" s="1">
        <f t="shared" si="76"/>
        <v>45817</v>
      </c>
      <c r="K1634" t="str">
        <f t="shared" si="77"/>
        <v>ACTIVE</v>
      </c>
    </row>
    <row r="1635" spans="1:11">
      <c r="A1635">
        <v>775</v>
      </c>
      <c r="B1635" t="s">
        <v>139</v>
      </c>
      <c r="C1635" s="1">
        <v>45421</v>
      </c>
      <c r="D1635" s="2" t="s">
        <v>23</v>
      </c>
      <c r="E1635" t="s">
        <v>35</v>
      </c>
      <c r="G1635" s="3">
        <v>265</v>
      </c>
      <c r="H1635" t="s">
        <v>176</v>
      </c>
      <c r="I1635" s="3" t="str">
        <f t="shared" si="75"/>
        <v>2024-05</v>
      </c>
      <c r="J1635" s="1">
        <f t="shared" si="76"/>
        <v>45830</v>
      </c>
      <c r="K1635" t="str">
        <f t="shared" si="77"/>
        <v>ACTIVE</v>
      </c>
    </row>
    <row r="1636" spans="1:11">
      <c r="A1636">
        <v>332</v>
      </c>
      <c r="B1636" t="s">
        <v>96</v>
      </c>
      <c r="C1636" s="1">
        <v>45301</v>
      </c>
      <c r="D1636" s="2" t="s">
        <v>27</v>
      </c>
      <c r="E1636" t="s">
        <v>30</v>
      </c>
      <c r="G1636" s="3">
        <v>1561</v>
      </c>
      <c r="H1636" t="s">
        <v>176</v>
      </c>
      <c r="I1636" s="3" t="str">
        <f t="shared" si="75"/>
        <v>2024-01</v>
      </c>
      <c r="J1636" s="1">
        <f t="shared" si="76"/>
        <v>45798</v>
      </c>
      <c r="K1636" t="str">
        <f t="shared" si="77"/>
        <v>ACTIVE</v>
      </c>
    </row>
    <row r="1637" spans="1:11">
      <c r="A1637">
        <v>234</v>
      </c>
      <c r="B1637" t="s">
        <v>82</v>
      </c>
      <c r="C1637" s="1">
        <v>45370</v>
      </c>
      <c r="D1637" s="2" t="s">
        <v>24</v>
      </c>
      <c r="E1637" t="s">
        <v>33</v>
      </c>
      <c r="G1637" s="3">
        <v>0</v>
      </c>
      <c r="H1637" t="s">
        <v>172</v>
      </c>
      <c r="I1637" s="3" t="str">
        <f t="shared" si="75"/>
        <v>2024-03</v>
      </c>
      <c r="J1637" s="1">
        <f t="shared" si="76"/>
        <v>45781</v>
      </c>
      <c r="K1637" t="str">
        <f t="shared" si="77"/>
        <v>ACTIVE</v>
      </c>
    </row>
    <row r="1638" spans="1:11">
      <c r="A1638">
        <v>589</v>
      </c>
      <c r="B1638" t="s">
        <v>108</v>
      </c>
      <c r="C1638" s="1">
        <v>45466</v>
      </c>
      <c r="D1638" s="2" t="s">
        <v>23</v>
      </c>
      <c r="E1638" t="s">
        <v>33</v>
      </c>
      <c r="G1638" s="3">
        <v>965</v>
      </c>
      <c r="H1638" t="s">
        <v>175</v>
      </c>
      <c r="I1638" s="3" t="str">
        <f t="shared" si="75"/>
        <v>2024-06</v>
      </c>
      <c r="J1638" s="1">
        <f t="shared" si="76"/>
        <v>45826</v>
      </c>
      <c r="K1638" t="str">
        <f t="shared" si="77"/>
        <v>ACTIVE</v>
      </c>
    </row>
    <row r="1639" spans="1:11">
      <c r="A1639">
        <v>476</v>
      </c>
      <c r="B1639" t="s">
        <v>144</v>
      </c>
      <c r="C1639" s="1">
        <v>45667</v>
      </c>
      <c r="D1639" s="2" t="s">
        <v>23</v>
      </c>
      <c r="E1639" t="s">
        <v>33</v>
      </c>
      <c r="G1639" s="3">
        <v>1805</v>
      </c>
      <c r="H1639" t="s">
        <v>174</v>
      </c>
      <c r="I1639" s="3" t="str">
        <f t="shared" si="75"/>
        <v>2025-01</v>
      </c>
      <c r="J1639" s="1">
        <f t="shared" si="76"/>
        <v>45751</v>
      </c>
      <c r="K1639" t="str">
        <f t="shared" si="77"/>
        <v>ACTIVE</v>
      </c>
    </row>
    <row r="1640" spans="1:11">
      <c r="A1640">
        <v>1285</v>
      </c>
      <c r="B1640" t="s">
        <v>95</v>
      </c>
      <c r="C1640" s="1">
        <v>45650</v>
      </c>
      <c r="D1640" s="2" t="s">
        <v>27</v>
      </c>
      <c r="E1640" t="s">
        <v>30</v>
      </c>
      <c r="G1640" s="3">
        <v>478</v>
      </c>
      <c r="H1640" t="s">
        <v>172</v>
      </c>
      <c r="I1640" s="3" t="str">
        <f t="shared" si="75"/>
        <v>2024-12</v>
      </c>
      <c r="J1640" s="1">
        <f t="shared" si="76"/>
        <v>45797</v>
      </c>
      <c r="K1640" t="str">
        <f t="shared" si="77"/>
        <v>ACTIVE</v>
      </c>
    </row>
    <row r="1641" spans="1:11">
      <c r="A1641">
        <v>600</v>
      </c>
      <c r="B1641" t="s">
        <v>93</v>
      </c>
      <c r="C1641" s="1">
        <v>45591</v>
      </c>
      <c r="D1641" s="2" t="s">
        <v>23</v>
      </c>
      <c r="E1641" t="s">
        <v>31</v>
      </c>
      <c r="G1641" s="3">
        <v>875</v>
      </c>
      <c r="H1641" t="s">
        <v>173</v>
      </c>
      <c r="I1641" s="3" t="str">
        <f t="shared" si="75"/>
        <v>2024-10</v>
      </c>
      <c r="J1641" s="1">
        <f t="shared" si="76"/>
        <v>45830</v>
      </c>
      <c r="K1641" t="str">
        <f t="shared" si="77"/>
        <v>ACTIVE</v>
      </c>
    </row>
    <row r="1642" spans="1:11">
      <c r="A1642">
        <v>422</v>
      </c>
      <c r="B1642" t="s">
        <v>112</v>
      </c>
      <c r="C1642" s="1">
        <v>45529</v>
      </c>
      <c r="D1642" s="2" t="s">
        <v>27</v>
      </c>
      <c r="E1642" t="s">
        <v>30</v>
      </c>
      <c r="G1642" s="3">
        <v>472</v>
      </c>
      <c r="H1642" t="s">
        <v>176</v>
      </c>
      <c r="I1642" s="3" t="str">
        <f t="shared" si="75"/>
        <v>2024-08</v>
      </c>
      <c r="J1642" s="1">
        <f t="shared" si="76"/>
        <v>45815</v>
      </c>
      <c r="K1642" t="str">
        <f t="shared" si="77"/>
        <v>ACTIVE</v>
      </c>
    </row>
    <row r="1643" spans="1:11">
      <c r="A1643">
        <v>183</v>
      </c>
      <c r="B1643" t="s">
        <v>75</v>
      </c>
      <c r="C1643" s="1">
        <v>45522</v>
      </c>
      <c r="D1643" s="2" t="s">
        <v>24</v>
      </c>
      <c r="E1643" t="s">
        <v>30</v>
      </c>
      <c r="G1643" s="3">
        <v>2152</v>
      </c>
      <c r="H1643" t="s">
        <v>173</v>
      </c>
      <c r="I1643" s="3" t="str">
        <f t="shared" si="75"/>
        <v>2024-08</v>
      </c>
      <c r="J1643" s="1">
        <f t="shared" si="76"/>
        <v>45772</v>
      </c>
      <c r="K1643" t="str">
        <f t="shared" si="77"/>
        <v>ACTIVE</v>
      </c>
    </row>
    <row r="1644" spans="1:11">
      <c r="A1644">
        <v>989</v>
      </c>
      <c r="B1644" t="s">
        <v>60</v>
      </c>
      <c r="C1644" s="1">
        <v>45704</v>
      </c>
      <c r="D1644" s="2" t="s">
        <v>23</v>
      </c>
      <c r="E1644" t="s">
        <v>31</v>
      </c>
      <c r="G1644" s="3">
        <v>10430</v>
      </c>
      <c r="H1644" t="s">
        <v>175</v>
      </c>
      <c r="I1644" s="3" t="str">
        <f t="shared" si="75"/>
        <v>2025-02</v>
      </c>
      <c r="J1644" s="1">
        <f t="shared" si="76"/>
        <v>45801</v>
      </c>
      <c r="K1644" t="str">
        <f t="shared" si="77"/>
        <v>ACTIVE</v>
      </c>
    </row>
    <row r="1645" spans="1:11">
      <c r="A1645">
        <v>1001</v>
      </c>
      <c r="B1645" t="s">
        <v>73</v>
      </c>
      <c r="C1645" s="1">
        <v>45647</v>
      </c>
      <c r="D1645" s="2" t="s">
        <v>25</v>
      </c>
      <c r="E1645" t="s">
        <v>34</v>
      </c>
      <c r="G1645" s="3">
        <v>351</v>
      </c>
      <c r="H1645" t="s">
        <v>172</v>
      </c>
      <c r="I1645" s="3" t="str">
        <f t="shared" si="75"/>
        <v>2024-12</v>
      </c>
      <c r="J1645" s="1">
        <f t="shared" si="76"/>
        <v>45800</v>
      </c>
      <c r="K1645" t="str">
        <f t="shared" si="77"/>
        <v>ACTIVE</v>
      </c>
    </row>
    <row r="1646" spans="1:11">
      <c r="A1646">
        <v>1642</v>
      </c>
      <c r="B1646" t="s">
        <v>91</v>
      </c>
      <c r="C1646" s="1">
        <v>45379</v>
      </c>
      <c r="D1646" s="2" t="s">
        <v>28</v>
      </c>
      <c r="E1646" t="s">
        <v>35</v>
      </c>
      <c r="G1646" s="3">
        <v>482</v>
      </c>
      <c r="H1646" t="s">
        <v>172</v>
      </c>
      <c r="I1646" s="3" t="str">
        <f t="shared" si="75"/>
        <v>2024-03</v>
      </c>
      <c r="J1646" s="1">
        <f t="shared" si="76"/>
        <v>45785</v>
      </c>
      <c r="K1646" t="str">
        <f t="shared" si="77"/>
        <v>ACTIVE</v>
      </c>
    </row>
    <row r="1647" spans="1:11">
      <c r="A1647">
        <v>1357</v>
      </c>
      <c r="B1647" t="s">
        <v>71</v>
      </c>
      <c r="C1647" s="1">
        <v>45571</v>
      </c>
      <c r="D1647" s="2" t="s">
        <v>25</v>
      </c>
      <c r="E1647" t="s">
        <v>30</v>
      </c>
      <c r="G1647" s="3">
        <v>248</v>
      </c>
      <c r="H1647" t="s">
        <v>172</v>
      </c>
      <c r="I1647" s="3" t="str">
        <f t="shared" si="75"/>
        <v>2024-10</v>
      </c>
      <c r="J1647" s="1">
        <f t="shared" si="76"/>
        <v>45823</v>
      </c>
      <c r="K1647" t="str">
        <f t="shared" si="77"/>
        <v>ACTIVE</v>
      </c>
    </row>
    <row r="1648" spans="1:11">
      <c r="A1648">
        <v>50</v>
      </c>
      <c r="B1648" t="s">
        <v>160</v>
      </c>
      <c r="C1648" s="1">
        <v>45503</v>
      </c>
      <c r="D1648" s="2" t="s">
        <v>28</v>
      </c>
      <c r="E1648" t="s">
        <v>32</v>
      </c>
      <c r="G1648" s="3">
        <v>571</v>
      </c>
      <c r="H1648" t="s">
        <v>175</v>
      </c>
      <c r="I1648" s="3" t="str">
        <f t="shared" si="75"/>
        <v>2024-07</v>
      </c>
      <c r="J1648" s="1">
        <f t="shared" si="76"/>
        <v>45734</v>
      </c>
      <c r="K1648" t="str">
        <f t="shared" si="77"/>
        <v>LAPSED</v>
      </c>
    </row>
    <row r="1649" spans="1:11">
      <c r="A1649">
        <v>1693</v>
      </c>
      <c r="B1649" t="s">
        <v>65</v>
      </c>
      <c r="C1649" s="1">
        <v>45618</v>
      </c>
      <c r="D1649" s="2" t="s">
        <v>27</v>
      </c>
      <c r="E1649" t="s">
        <v>35</v>
      </c>
      <c r="G1649" s="3">
        <v>485</v>
      </c>
      <c r="H1649" t="s">
        <v>172</v>
      </c>
      <c r="I1649" s="3" t="str">
        <f t="shared" si="75"/>
        <v>2024-11</v>
      </c>
      <c r="J1649" s="1">
        <f t="shared" si="76"/>
        <v>45813</v>
      </c>
      <c r="K1649" t="str">
        <f t="shared" si="77"/>
        <v>ACTIVE</v>
      </c>
    </row>
    <row r="1650" spans="1:11">
      <c r="A1650">
        <v>1030</v>
      </c>
      <c r="B1650" t="s">
        <v>66</v>
      </c>
      <c r="C1650" s="1">
        <v>45802</v>
      </c>
      <c r="D1650" s="2" t="s">
        <v>25</v>
      </c>
      <c r="E1650" t="s">
        <v>35</v>
      </c>
      <c r="G1650" s="3">
        <v>9324</v>
      </c>
      <c r="H1650" t="s">
        <v>172</v>
      </c>
      <c r="I1650" s="3" t="str">
        <f t="shared" si="75"/>
        <v>2025-05</v>
      </c>
      <c r="J1650" s="1">
        <f t="shared" si="76"/>
        <v>45802</v>
      </c>
      <c r="K1650" t="str">
        <f t="shared" si="77"/>
        <v>ACTIVE</v>
      </c>
    </row>
    <row r="1651" spans="1:11">
      <c r="A1651">
        <v>530</v>
      </c>
      <c r="B1651" t="s">
        <v>108</v>
      </c>
      <c r="C1651" s="1">
        <v>45582</v>
      </c>
      <c r="D1651" s="2" t="s">
        <v>27</v>
      </c>
      <c r="E1651" t="s">
        <v>33</v>
      </c>
      <c r="G1651" s="3">
        <v>925</v>
      </c>
      <c r="H1651" t="s">
        <v>174</v>
      </c>
      <c r="I1651" s="3" t="str">
        <f t="shared" si="75"/>
        <v>2024-10</v>
      </c>
      <c r="J1651" s="1">
        <f t="shared" si="76"/>
        <v>45826</v>
      </c>
      <c r="K1651" t="str">
        <f t="shared" si="77"/>
        <v>ACTIVE</v>
      </c>
    </row>
    <row r="1652" spans="1:11">
      <c r="A1652">
        <v>1259</v>
      </c>
      <c r="B1652" t="s">
        <v>131</v>
      </c>
      <c r="C1652" s="1">
        <v>45439</v>
      </c>
      <c r="D1652" s="2" t="s">
        <v>23</v>
      </c>
      <c r="E1652" t="s">
        <v>30</v>
      </c>
      <c r="G1652" s="3">
        <v>5725</v>
      </c>
      <c r="H1652" t="s">
        <v>175</v>
      </c>
      <c r="I1652" s="3" t="str">
        <f t="shared" si="75"/>
        <v>2024-05</v>
      </c>
      <c r="J1652" s="1">
        <f t="shared" si="76"/>
        <v>45807</v>
      </c>
      <c r="K1652" t="str">
        <f t="shared" si="77"/>
        <v>ACTIVE</v>
      </c>
    </row>
    <row r="1653" spans="1:11">
      <c r="A1653">
        <v>487</v>
      </c>
      <c r="B1653" t="s">
        <v>122</v>
      </c>
      <c r="C1653" s="1">
        <v>45436</v>
      </c>
      <c r="D1653" s="2" t="s">
        <v>25</v>
      </c>
      <c r="E1653" t="s">
        <v>32</v>
      </c>
      <c r="G1653" s="3">
        <v>8174</v>
      </c>
      <c r="H1653" t="s">
        <v>172</v>
      </c>
      <c r="I1653" s="3" t="str">
        <f t="shared" si="75"/>
        <v>2024-05</v>
      </c>
      <c r="J1653" s="1">
        <f t="shared" si="76"/>
        <v>45793</v>
      </c>
      <c r="K1653" t="str">
        <f t="shared" si="77"/>
        <v>ACTIVE</v>
      </c>
    </row>
    <row r="1654" spans="1:11">
      <c r="A1654">
        <v>1761</v>
      </c>
      <c r="B1654" t="s">
        <v>116</v>
      </c>
      <c r="C1654" s="1">
        <v>45666</v>
      </c>
      <c r="D1654" s="2" t="s">
        <v>25</v>
      </c>
      <c r="E1654" t="s">
        <v>33</v>
      </c>
      <c r="G1654" s="3">
        <v>819</v>
      </c>
      <c r="H1654" t="s">
        <v>173</v>
      </c>
      <c r="I1654" s="3" t="str">
        <f t="shared" si="75"/>
        <v>2025-01</v>
      </c>
      <c r="J1654" s="1">
        <f t="shared" si="76"/>
        <v>45829</v>
      </c>
      <c r="K1654" t="str">
        <f t="shared" si="77"/>
        <v>ACTIVE</v>
      </c>
    </row>
    <row r="1655" spans="1:11">
      <c r="A1655">
        <v>498</v>
      </c>
      <c r="B1655" t="s">
        <v>139</v>
      </c>
      <c r="C1655" s="1">
        <v>45806</v>
      </c>
      <c r="D1655" s="2" t="s">
        <v>23</v>
      </c>
      <c r="E1655" t="s">
        <v>32</v>
      </c>
      <c r="G1655" s="3">
        <v>4368</v>
      </c>
      <c r="H1655" t="s">
        <v>173</v>
      </c>
      <c r="I1655" s="3" t="str">
        <f t="shared" si="75"/>
        <v>2025-05</v>
      </c>
      <c r="J1655" s="1">
        <f t="shared" si="76"/>
        <v>45830</v>
      </c>
      <c r="K1655" t="str">
        <f t="shared" si="77"/>
        <v>ACTIVE</v>
      </c>
    </row>
    <row r="1656" spans="1:11">
      <c r="A1656">
        <v>1647</v>
      </c>
      <c r="B1656" t="s">
        <v>105</v>
      </c>
      <c r="C1656" s="1">
        <v>45714</v>
      </c>
      <c r="D1656" s="2" t="s">
        <v>26</v>
      </c>
      <c r="E1656" t="s">
        <v>34</v>
      </c>
      <c r="G1656" s="3">
        <v>288</v>
      </c>
      <c r="H1656" t="s">
        <v>176</v>
      </c>
      <c r="I1656" s="3" t="str">
        <f t="shared" si="75"/>
        <v>2025-02</v>
      </c>
      <c r="J1656" s="1">
        <f t="shared" si="76"/>
        <v>45816</v>
      </c>
      <c r="K1656" t="str">
        <f t="shared" si="77"/>
        <v>ACTIVE</v>
      </c>
    </row>
    <row r="1657" spans="1:11">
      <c r="A1657">
        <v>107</v>
      </c>
      <c r="B1657" t="s">
        <v>60</v>
      </c>
      <c r="C1657" s="1">
        <v>45308</v>
      </c>
      <c r="D1657" s="2" t="s">
        <v>24</v>
      </c>
      <c r="E1657" t="s">
        <v>34</v>
      </c>
      <c r="G1657" s="3">
        <v>1645</v>
      </c>
      <c r="H1657" t="s">
        <v>175</v>
      </c>
      <c r="I1657" s="3" t="str">
        <f t="shared" si="75"/>
        <v>2024-01</v>
      </c>
      <c r="J1657" s="1">
        <f t="shared" si="76"/>
        <v>45801</v>
      </c>
      <c r="K1657" t="str">
        <f t="shared" si="77"/>
        <v>ACTIVE</v>
      </c>
    </row>
    <row r="1658" spans="1:11">
      <c r="A1658">
        <v>444</v>
      </c>
      <c r="B1658" t="s">
        <v>102</v>
      </c>
      <c r="C1658" s="1">
        <v>45698</v>
      </c>
      <c r="D1658" s="2" t="s">
        <v>25</v>
      </c>
      <c r="E1658" t="s">
        <v>34</v>
      </c>
      <c r="G1658" s="3">
        <v>2618</v>
      </c>
      <c r="H1658" t="s">
        <v>176</v>
      </c>
      <c r="I1658" s="3" t="str">
        <f t="shared" si="75"/>
        <v>2025-02</v>
      </c>
      <c r="J1658" s="1">
        <f t="shared" si="76"/>
        <v>45793</v>
      </c>
      <c r="K1658" t="str">
        <f t="shared" si="77"/>
        <v>ACTIVE</v>
      </c>
    </row>
    <row r="1659" spans="1:11">
      <c r="A1659">
        <v>1513</v>
      </c>
      <c r="B1659" t="s">
        <v>158</v>
      </c>
      <c r="C1659" s="1">
        <v>45318</v>
      </c>
      <c r="D1659" s="2" t="s">
        <v>27</v>
      </c>
      <c r="E1659" t="s">
        <v>31</v>
      </c>
      <c r="G1659" s="3">
        <v>4758</v>
      </c>
      <c r="H1659" t="s">
        <v>176</v>
      </c>
      <c r="I1659" s="3" t="str">
        <f t="shared" si="75"/>
        <v>2024-01</v>
      </c>
      <c r="J1659" s="1">
        <f t="shared" si="76"/>
        <v>45740</v>
      </c>
      <c r="K1659" t="str">
        <f t="shared" si="77"/>
        <v>LAPSED</v>
      </c>
    </row>
    <row r="1660" spans="1:11">
      <c r="A1660">
        <v>647</v>
      </c>
      <c r="B1660" t="s">
        <v>146</v>
      </c>
      <c r="C1660" s="1">
        <v>45819</v>
      </c>
      <c r="D1660" s="2" t="s">
        <v>28</v>
      </c>
      <c r="E1660" t="s">
        <v>31</v>
      </c>
      <c r="G1660" s="3">
        <v>539</v>
      </c>
      <c r="H1660" t="s">
        <v>175</v>
      </c>
      <c r="I1660" s="3" t="str">
        <f t="shared" si="75"/>
        <v>2025-06</v>
      </c>
      <c r="J1660" s="1">
        <f t="shared" si="76"/>
        <v>45819</v>
      </c>
      <c r="K1660" t="str">
        <f t="shared" si="77"/>
        <v>ACTIVE</v>
      </c>
    </row>
    <row r="1661" spans="1:11">
      <c r="A1661">
        <v>1037</v>
      </c>
      <c r="B1661" t="s">
        <v>54</v>
      </c>
      <c r="C1661" s="1">
        <v>45740</v>
      </c>
      <c r="D1661" s="2" t="s">
        <v>26</v>
      </c>
      <c r="E1661" t="s">
        <v>31</v>
      </c>
      <c r="G1661" s="3">
        <v>4387</v>
      </c>
      <c r="H1661" t="s">
        <v>173</v>
      </c>
      <c r="I1661" s="3" t="str">
        <f t="shared" si="75"/>
        <v>2025-03</v>
      </c>
      <c r="J1661" s="1">
        <f t="shared" si="76"/>
        <v>45825</v>
      </c>
      <c r="K1661" t="str">
        <f t="shared" si="77"/>
        <v>ACTIVE</v>
      </c>
    </row>
    <row r="1662" spans="1:11">
      <c r="A1662">
        <v>727</v>
      </c>
      <c r="B1662" t="s">
        <v>122</v>
      </c>
      <c r="C1662" s="1">
        <v>45412</v>
      </c>
      <c r="D1662" s="2" t="s">
        <v>27</v>
      </c>
      <c r="E1662" t="s">
        <v>32</v>
      </c>
      <c r="G1662" s="3">
        <v>244</v>
      </c>
      <c r="H1662" t="s">
        <v>172</v>
      </c>
      <c r="I1662" s="3" t="str">
        <f t="shared" si="75"/>
        <v>2024-04</v>
      </c>
      <c r="J1662" s="1">
        <f t="shared" si="76"/>
        <v>45793</v>
      </c>
      <c r="K1662" t="str">
        <f t="shared" si="77"/>
        <v>ACTIVE</v>
      </c>
    </row>
    <row r="1663" spans="1:11">
      <c r="A1663">
        <v>283</v>
      </c>
      <c r="B1663" t="s">
        <v>60</v>
      </c>
      <c r="C1663" s="1">
        <v>45345</v>
      </c>
      <c r="D1663" s="2" t="s">
        <v>27</v>
      </c>
      <c r="E1663" t="s">
        <v>35</v>
      </c>
      <c r="G1663" s="3">
        <v>591</v>
      </c>
      <c r="H1663" t="s">
        <v>176</v>
      </c>
      <c r="I1663" s="3" t="str">
        <f t="shared" si="75"/>
        <v>2024-02</v>
      </c>
      <c r="J1663" s="1">
        <f t="shared" si="76"/>
        <v>45801</v>
      </c>
      <c r="K1663" t="str">
        <f t="shared" si="77"/>
        <v>ACTIVE</v>
      </c>
    </row>
    <row r="1664" spans="1:11">
      <c r="A1664">
        <v>30</v>
      </c>
      <c r="B1664" t="s">
        <v>157</v>
      </c>
      <c r="C1664" s="1">
        <v>45580</v>
      </c>
      <c r="D1664" s="2" t="s">
        <v>27</v>
      </c>
      <c r="E1664" t="s">
        <v>30</v>
      </c>
      <c r="G1664" s="3">
        <v>4407</v>
      </c>
      <c r="H1664" t="s">
        <v>174</v>
      </c>
      <c r="I1664" s="3" t="str">
        <f t="shared" si="75"/>
        <v>2024-10</v>
      </c>
      <c r="J1664" s="1">
        <f t="shared" si="76"/>
        <v>45729</v>
      </c>
      <c r="K1664" t="str">
        <f t="shared" si="77"/>
        <v>LAPSED</v>
      </c>
    </row>
    <row r="1665" spans="1:11">
      <c r="A1665">
        <v>170</v>
      </c>
      <c r="B1665" t="s">
        <v>67</v>
      </c>
      <c r="C1665" s="1">
        <v>45618</v>
      </c>
      <c r="D1665" s="2" t="s">
        <v>28</v>
      </c>
      <c r="E1665" t="s">
        <v>34</v>
      </c>
      <c r="G1665" s="3">
        <v>2450</v>
      </c>
      <c r="H1665" t="s">
        <v>172</v>
      </c>
      <c r="I1665" s="3" t="str">
        <f t="shared" si="75"/>
        <v>2024-11</v>
      </c>
      <c r="J1665" s="1">
        <f t="shared" si="76"/>
        <v>45794</v>
      </c>
      <c r="K1665" t="str">
        <f t="shared" si="77"/>
        <v>ACTIVE</v>
      </c>
    </row>
    <row r="1666" spans="1:11">
      <c r="A1666">
        <v>1002</v>
      </c>
      <c r="B1666" t="s">
        <v>75</v>
      </c>
      <c r="C1666" s="1">
        <v>45458</v>
      </c>
      <c r="D1666" s="2" t="s">
        <v>28</v>
      </c>
      <c r="E1666" t="s">
        <v>31</v>
      </c>
      <c r="G1666" s="3">
        <v>1120</v>
      </c>
      <c r="H1666" t="s">
        <v>176</v>
      </c>
      <c r="I1666" s="3" t="str">
        <f t="shared" si="75"/>
        <v>2024-06</v>
      </c>
      <c r="J1666" s="1">
        <f t="shared" si="76"/>
        <v>45772</v>
      </c>
      <c r="K1666" t="str">
        <f t="shared" si="77"/>
        <v>ACTIVE</v>
      </c>
    </row>
    <row r="1667" spans="1:11">
      <c r="A1667">
        <v>1205</v>
      </c>
      <c r="B1667" t="s">
        <v>132</v>
      </c>
      <c r="C1667" s="1">
        <v>45332</v>
      </c>
      <c r="D1667" s="2" t="s">
        <v>27</v>
      </c>
      <c r="E1667" t="s">
        <v>35</v>
      </c>
      <c r="G1667" s="3">
        <v>5909</v>
      </c>
      <c r="H1667" t="s">
        <v>174</v>
      </c>
      <c r="I1667" s="3" t="str">
        <f t="shared" ref="I1667:I1730" si="78">TEXT(C1667, "yyyy-mm")</f>
        <v>2024-02</v>
      </c>
      <c r="J1667" s="1">
        <f t="shared" ref="J1667:J1730" si="79">_xlfn.MAXIFS(C:C, B:B, B1667)</f>
        <v>45822</v>
      </c>
      <c r="K1667" t="str">
        <f t="shared" ref="K1667:K1730" si="80">IF($L$3-J1667&gt;90, "LAPSED","ACTIVE")</f>
        <v>ACTIVE</v>
      </c>
    </row>
    <row r="1668" spans="1:11">
      <c r="A1668">
        <v>101</v>
      </c>
      <c r="B1668" t="s">
        <v>75</v>
      </c>
      <c r="C1668" s="1">
        <v>45330</v>
      </c>
      <c r="D1668" s="2" t="s">
        <v>28</v>
      </c>
      <c r="E1668" t="s">
        <v>34</v>
      </c>
      <c r="G1668" s="3">
        <v>894</v>
      </c>
      <c r="H1668" t="s">
        <v>175</v>
      </c>
      <c r="I1668" s="3" t="str">
        <f t="shared" si="78"/>
        <v>2024-02</v>
      </c>
      <c r="J1668" s="1">
        <f t="shared" si="79"/>
        <v>45772</v>
      </c>
      <c r="K1668" t="str">
        <f t="shared" si="80"/>
        <v>ACTIVE</v>
      </c>
    </row>
    <row r="1669" spans="1:11">
      <c r="A1669">
        <v>198</v>
      </c>
      <c r="B1669" t="s">
        <v>59</v>
      </c>
      <c r="C1669" s="1">
        <v>45445</v>
      </c>
      <c r="D1669" s="2" t="s">
        <v>24</v>
      </c>
      <c r="E1669" t="s">
        <v>35</v>
      </c>
      <c r="G1669" s="3">
        <v>254</v>
      </c>
      <c r="H1669" t="s">
        <v>172</v>
      </c>
      <c r="I1669" s="3" t="str">
        <f t="shared" si="78"/>
        <v>2024-06</v>
      </c>
      <c r="J1669" s="1">
        <f t="shared" si="79"/>
        <v>45829</v>
      </c>
      <c r="K1669" t="str">
        <f t="shared" si="80"/>
        <v>ACTIVE</v>
      </c>
    </row>
    <row r="1670" spans="1:11">
      <c r="A1670">
        <v>496</v>
      </c>
      <c r="B1670" t="s">
        <v>130</v>
      </c>
      <c r="C1670" s="1">
        <v>45322</v>
      </c>
      <c r="D1670" s="2" t="s">
        <v>24</v>
      </c>
      <c r="E1670" t="s">
        <v>32</v>
      </c>
      <c r="G1670" s="3">
        <v>691</v>
      </c>
      <c r="H1670" t="s">
        <v>174</v>
      </c>
      <c r="I1670" s="3" t="str">
        <f t="shared" si="78"/>
        <v>2024-01</v>
      </c>
      <c r="J1670" s="1">
        <f t="shared" si="79"/>
        <v>45828</v>
      </c>
      <c r="K1670" t="str">
        <f t="shared" si="80"/>
        <v>ACTIVE</v>
      </c>
    </row>
    <row r="1671" spans="1:11">
      <c r="A1671">
        <v>648</v>
      </c>
      <c r="B1671" t="s">
        <v>135</v>
      </c>
      <c r="C1671" s="1">
        <v>45392</v>
      </c>
      <c r="D1671" s="2" t="s">
        <v>28</v>
      </c>
      <c r="E1671" t="s">
        <v>34</v>
      </c>
      <c r="G1671" s="3">
        <v>1869</v>
      </c>
      <c r="H1671" t="s">
        <v>175</v>
      </c>
      <c r="I1671" s="3" t="str">
        <f t="shared" si="78"/>
        <v>2024-04</v>
      </c>
      <c r="J1671" s="1">
        <f t="shared" si="79"/>
        <v>45785</v>
      </c>
      <c r="K1671" t="str">
        <f t="shared" si="80"/>
        <v>ACTIVE</v>
      </c>
    </row>
    <row r="1672" spans="1:11">
      <c r="A1672">
        <v>988</v>
      </c>
      <c r="B1672" t="s">
        <v>78</v>
      </c>
      <c r="C1672" s="1">
        <v>45812</v>
      </c>
      <c r="D1672" s="2" t="s">
        <v>25</v>
      </c>
      <c r="E1672" t="s">
        <v>32</v>
      </c>
      <c r="G1672" s="3">
        <v>2370</v>
      </c>
      <c r="H1672" t="s">
        <v>176</v>
      </c>
      <c r="I1672" s="3" t="str">
        <f t="shared" si="78"/>
        <v>2025-06</v>
      </c>
      <c r="J1672" s="1">
        <f t="shared" si="79"/>
        <v>45821</v>
      </c>
      <c r="K1672" t="str">
        <f t="shared" si="80"/>
        <v>ACTIVE</v>
      </c>
    </row>
    <row r="1673" spans="1:11">
      <c r="A1673">
        <v>45</v>
      </c>
      <c r="B1673" t="s">
        <v>125</v>
      </c>
      <c r="C1673" s="1">
        <v>45491</v>
      </c>
      <c r="D1673" s="2" t="s">
        <v>28</v>
      </c>
      <c r="E1673" t="s">
        <v>32</v>
      </c>
      <c r="G1673" s="3">
        <v>673</v>
      </c>
      <c r="H1673" t="s">
        <v>176</v>
      </c>
      <c r="I1673" s="3" t="str">
        <f t="shared" si="78"/>
        <v>2024-07</v>
      </c>
      <c r="J1673" s="1">
        <f t="shared" si="79"/>
        <v>45784</v>
      </c>
      <c r="K1673" t="str">
        <f t="shared" si="80"/>
        <v>ACTIVE</v>
      </c>
    </row>
    <row r="1674" spans="1:11">
      <c r="A1674">
        <v>1745</v>
      </c>
      <c r="B1674" t="s">
        <v>66</v>
      </c>
      <c r="C1674" s="1">
        <v>45592</v>
      </c>
      <c r="D1674" s="2" t="s">
        <v>27</v>
      </c>
      <c r="E1674" t="s">
        <v>35</v>
      </c>
      <c r="G1674" s="3">
        <v>9873</v>
      </c>
      <c r="H1674" t="s">
        <v>175</v>
      </c>
      <c r="I1674" s="3" t="str">
        <f t="shared" si="78"/>
        <v>2024-10</v>
      </c>
      <c r="J1674" s="1">
        <f t="shared" si="79"/>
        <v>45802</v>
      </c>
      <c r="K1674" t="str">
        <f t="shared" si="80"/>
        <v>ACTIVE</v>
      </c>
    </row>
    <row r="1675" spans="1:11">
      <c r="A1675">
        <v>711</v>
      </c>
      <c r="B1675" t="s">
        <v>52</v>
      </c>
      <c r="C1675" s="1">
        <v>45811</v>
      </c>
      <c r="D1675" s="2" t="s">
        <v>27</v>
      </c>
      <c r="E1675" t="s">
        <v>30</v>
      </c>
      <c r="G1675" s="3">
        <v>1148</v>
      </c>
      <c r="H1675" t="s">
        <v>174</v>
      </c>
      <c r="I1675" s="3" t="str">
        <f t="shared" si="78"/>
        <v>2025-06</v>
      </c>
      <c r="J1675" s="1">
        <f t="shared" si="79"/>
        <v>45811</v>
      </c>
      <c r="K1675" t="str">
        <f t="shared" si="80"/>
        <v>ACTIVE</v>
      </c>
    </row>
    <row r="1676" spans="1:11">
      <c r="A1676">
        <v>374</v>
      </c>
      <c r="B1676" t="s">
        <v>143</v>
      </c>
      <c r="C1676" s="1">
        <v>45584</v>
      </c>
      <c r="D1676" s="2" t="s">
        <v>28</v>
      </c>
      <c r="E1676" t="s">
        <v>34</v>
      </c>
      <c r="G1676" s="3">
        <v>8426</v>
      </c>
      <c r="H1676" t="s">
        <v>173</v>
      </c>
      <c r="I1676" s="3" t="str">
        <f t="shared" si="78"/>
        <v>2024-10</v>
      </c>
      <c r="J1676" s="1">
        <f t="shared" si="79"/>
        <v>45764</v>
      </c>
      <c r="K1676" t="str">
        <f t="shared" si="80"/>
        <v>ACTIVE</v>
      </c>
    </row>
    <row r="1677" spans="1:11">
      <c r="A1677">
        <v>679</v>
      </c>
      <c r="B1677" t="s">
        <v>142</v>
      </c>
      <c r="C1677" s="1">
        <v>45803</v>
      </c>
      <c r="D1677" s="2" t="s">
        <v>24</v>
      </c>
      <c r="E1677" t="s">
        <v>30</v>
      </c>
      <c r="G1677" s="3">
        <v>5852</v>
      </c>
      <c r="H1677" t="s">
        <v>174</v>
      </c>
      <c r="I1677" s="3" t="str">
        <f t="shared" si="78"/>
        <v>2025-05</v>
      </c>
      <c r="J1677" s="1">
        <f t="shared" si="79"/>
        <v>45803</v>
      </c>
      <c r="K1677" t="str">
        <f t="shared" si="80"/>
        <v>ACTIVE</v>
      </c>
    </row>
    <row r="1678" spans="1:11">
      <c r="A1678">
        <v>567</v>
      </c>
      <c r="B1678" t="s">
        <v>57</v>
      </c>
      <c r="C1678" s="1">
        <v>45801</v>
      </c>
      <c r="D1678" s="2" t="s">
        <v>25</v>
      </c>
      <c r="E1678" t="s">
        <v>34</v>
      </c>
      <c r="G1678" s="3">
        <v>680</v>
      </c>
      <c r="H1678" t="s">
        <v>174</v>
      </c>
      <c r="I1678" s="3" t="str">
        <f t="shared" si="78"/>
        <v>2025-05</v>
      </c>
      <c r="J1678" s="1">
        <f t="shared" si="79"/>
        <v>45808</v>
      </c>
      <c r="K1678" t="str">
        <f t="shared" si="80"/>
        <v>ACTIVE</v>
      </c>
    </row>
    <row r="1679" spans="1:11">
      <c r="A1679">
        <v>1673</v>
      </c>
      <c r="B1679" t="s">
        <v>158</v>
      </c>
      <c r="C1679" s="1">
        <v>45546</v>
      </c>
      <c r="D1679" s="2" t="s">
        <v>24</v>
      </c>
      <c r="E1679" t="s">
        <v>35</v>
      </c>
      <c r="G1679" s="3">
        <v>608</v>
      </c>
      <c r="H1679" t="s">
        <v>173</v>
      </c>
      <c r="I1679" s="3" t="str">
        <f t="shared" si="78"/>
        <v>2024-09</v>
      </c>
      <c r="J1679" s="1">
        <f t="shared" si="79"/>
        <v>45740</v>
      </c>
      <c r="K1679" t="str">
        <f t="shared" si="80"/>
        <v>LAPSED</v>
      </c>
    </row>
    <row r="1680" spans="1:11">
      <c r="A1680">
        <v>848</v>
      </c>
      <c r="B1680" t="s">
        <v>123</v>
      </c>
      <c r="C1680" s="1">
        <v>45491</v>
      </c>
      <c r="D1680" s="2" t="s">
        <v>23</v>
      </c>
      <c r="E1680" t="s">
        <v>32</v>
      </c>
      <c r="G1680" s="3">
        <v>852</v>
      </c>
      <c r="H1680" t="s">
        <v>175</v>
      </c>
      <c r="I1680" s="3" t="str">
        <f t="shared" si="78"/>
        <v>2024-07</v>
      </c>
      <c r="J1680" s="1">
        <f t="shared" si="79"/>
        <v>45772</v>
      </c>
      <c r="K1680" t="str">
        <f t="shared" si="80"/>
        <v>ACTIVE</v>
      </c>
    </row>
    <row r="1681" spans="1:11">
      <c r="A1681">
        <v>461</v>
      </c>
      <c r="B1681" t="s">
        <v>135</v>
      </c>
      <c r="C1681" s="1">
        <v>45647</v>
      </c>
      <c r="D1681" s="2" t="s">
        <v>28</v>
      </c>
      <c r="E1681" t="s">
        <v>30</v>
      </c>
      <c r="G1681" s="3">
        <v>1617</v>
      </c>
      <c r="H1681" t="s">
        <v>173</v>
      </c>
      <c r="I1681" s="3" t="str">
        <f t="shared" si="78"/>
        <v>2024-12</v>
      </c>
      <c r="J1681" s="1">
        <f t="shared" si="79"/>
        <v>45785</v>
      </c>
      <c r="K1681" t="str">
        <f t="shared" si="80"/>
        <v>ACTIVE</v>
      </c>
    </row>
    <row r="1682" spans="1:11">
      <c r="A1682">
        <v>1438</v>
      </c>
      <c r="B1682" t="s">
        <v>149</v>
      </c>
      <c r="C1682" s="1">
        <v>45795</v>
      </c>
      <c r="D1682" s="2" t="s">
        <v>28</v>
      </c>
      <c r="E1682" t="s">
        <v>35</v>
      </c>
      <c r="G1682" s="3">
        <v>1924</v>
      </c>
      <c r="H1682" t="s">
        <v>172</v>
      </c>
      <c r="I1682" s="3" t="str">
        <f t="shared" si="78"/>
        <v>2025-05</v>
      </c>
      <c r="J1682" s="1">
        <f t="shared" si="79"/>
        <v>45795</v>
      </c>
      <c r="K1682" t="str">
        <f t="shared" si="80"/>
        <v>ACTIVE</v>
      </c>
    </row>
    <row r="1683" spans="1:11">
      <c r="A1683">
        <v>1156</v>
      </c>
      <c r="B1683" t="s">
        <v>57</v>
      </c>
      <c r="C1683" s="1">
        <v>45322</v>
      </c>
      <c r="D1683" s="2" t="s">
        <v>23</v>
      </c>
      <c r="E1683" t="s">
        <v>35</v>
      </c>
      <c r="G1683" s="3">
        <v>1575</v>
      </c>
      <c r="H1683" t="s">
        <v>175</v>
      </c>
      <c r="I1683" s="3" t="str">
        <f t="shared" si="78"/>
        <v>2024-01</v>
      </c>
      <c r="J1683" s="1">
        <f t="shared" si="79"/>
        <v>45808</v>
      </c>
      <c r="K1683" t="str">
        <f t="shared" si="80"/>
        <v>ACTIVE</v>
      </c>
    </row>
    <row r="1684" spans="1:11">
      <c r="A1684">
        <v>40</v>
      </c>
      <c r="B1684" t="s">
        <v>47</v>
      </c>
      <c r="C1684" s="1">
        <v>45733</v>
      </c>
      <c r="D1684" s="2" t="s">
        <v>24</v>
      </c>
      <c r="E1684" t="s">
        <v>35</v>
      </c>
      <c r="G1684" s="3">
        <v>5327</v>
      </c>
      <c r="H1684" t="s">
        <v>176</v>
      </c>
      <c r="I1684" s="3" t="str">
        <f t="shared" si="78"/>
        <v>2025-03</v>
      </c>
      <c r="J1684" s="1">
        <f t="shared" si="79"/>
        <v>45792</v>
      </c>
      <c r="K1684" t="str">
        <f t="shared" si="80"/>
        <v>ACTIVE</v>
      </c>
    </row>
    <row r="1685" spans="1:11">
      <c r="A1685">
        <v>435</v>
      </c>
      <c r="B1685" t="s">
        <v>82</v>
      </c>
      <c r="C1685" s="1">
        <v>45673</v>
      </c>
      <c r="D1685" s="2" t="s">
        <v>28</v>
      </c>
      <c r="E1685" t="s">
        <v>31</v>
      </c>
      <c r="G1685" s="3">
        <v>262</v>
      </c>
      <c r="H1685" t="s">
        <v>172</v>
      </c>
      <c r="I1685" s="3" t="str">
        <f t="shared" si="78"/>
        <v>2025-01</v>
      </c>
      <c r="J1685" s="1">
        <f t="shared" si="79"/>
        <v>45781</v>
      </c>
      <c r="K1685" t="str">
        <f t="shared" si="80"/>
        <v>ACTIVE</v>
      </c>
    </row>
    <row r="1686" spans="1:11">
      <c r="A1686">
        <v>974</v>
      </c>
      <c r="B1686" t="s">
        <v>89</v>
      </c>
      <c r="C1686" s="1">
        <v>45573</v>
      </c>
      <c r="D1686" s="2" t="s">
        <v>26</v>
      </c>
      <c r="E1686" t="s">
        <v>34</v>
      </c>
      <c r="G1686" s="3">
        <v>261</v>
      </c>
      <c r="H1686" t="s">
        <v>174</v>
      </c>
      <c r="I1686" s="3" t="str">
        <f t="shared" si="78"/>
        <v>2024-10</v>
      </c>
      <c r="J1686" s="1">
        <f t="shared" si="79"/>
        <v>45826</v>
      </c>
      <c r="K1686" t="str">
        <f t="shared" si="80"/>
        <v>ACTIVE</v>
      </c>
    </row>
    <row r="1687" spans="1:11">
      <c r="A1687">
        <v>1240</v>
      </c>
      <c r="B1687" t="s">
        <v>108</v>
      </c>
      <c r="C1687" s="1">
        <v>45392</v>
      </c>
      <c r="D1687" s="2" t="s">
        <v>25</v>
      </c>
      <c r="E1687" t="s">
        <v>34</v>
      </c>
      <c r="G1687" s="3">
        <v>1889</v>
      </c>
      <c r="H1687" t="s">
        <v>175</v>
      </c>
      <c r="I1687" s="3" t="str">
        <f t="shared" si="78"/>
        <v>2024-04</v>
      </c>
      <c r="J1687" s="1">
        <f t="shared" si="79"/>
        <v>45826</v>
      </c>
      <c r="K1687" t="str">
        <f t="shared" si="80"/>
        <v>ACTIVE</v>
      </c>
    </row>
    <row r="1688" spans="1:11">
      <c r="A1688">
        <v>1008</v>
      </c>
      <c r="B1688" t="s">
        <v>51</v>
      </c>
      <c r="C1688" s="1">
        <v>45739</v>
      </c>
      <c r="D1688" s="2" t="s">
        <v>27</v>
      </c>
      <c r="E1688" t="s">
        <v>35</v>
      </c>
      <c r="G1688" s="3">
        <v>323</v>
      </c>
      <c r="H1688" t="s">
        <v>175</v>
      </c>
      <c r="I1688" s="3" t="str">
        <f t="shared" si="78"/>
        <v>2025-03</v>
      </c>
      <c r="J1688" s="1">
        <f t="shared" si="79"/>
        <v>45775</v>
      </c>
      <c r="K1688" t="str">
        <f t="shared" si="80"/>
        <v>ACTIVE</v>
      </c>
    </row>
    <row r="1689" spans="1:11">
      <c r="A1689">
        <v>1580</v>
      </c>
      <c r="B1689" t="s">
        <v>155</v>
      </c>
      <c r="C1689" s="1">
        <v>45434</v>
      </c>
      <c r="D1689" s="2" t="s">
        <v>23</v>
      </c>
      <c r="E1689" t="s">
        <v>32</v>
      </c>
      <c r="G1689" s="3">
        <v>331</v>
      </c>
      <c r="H1689" t="s">
        <v>176</v>
      </c>
      <c r="I1689" s="3" t="str">
        <f t="shared" si="78"/>
        <v>2024-05</v>
      </c>
      <c r="J1689" s="1">
        <f t="shared" si="79"/>
        <v>45698</v>
      </c>
      <c r="K1689" t="str">
        <f t="shared" si="80"/>
        <v>LAPSED</v>
      </c>
    </row>
    <row r="1690" spans="1:11">
      <c r="A1690">
        <v>1591</v>
      </c>
      <c r="B1690" t="s">
        <v>115</v>
      </c>
      <c r="C1690" s="1">
        <v>45482</v>
      </c>
      <c r="D1690" s="2" t="s">
        <v>27</v>
      </c>
      <c r="E1690" t="s">
        <v>30</v>
      </c>
      <c r="G1690" s="3">
        <v>1610</v>
      </c>
      <c r="H1690" t="s">
        <v>175</v>
      </c>
      <c r="I1690" s="3" t="str">
        <f t="shared" si="78"/>
        <v>2024-07</v>
      </c>
      <c r="J1690" s="1">
        <f t="shared" si="79"/>
        <v>45810</v>
      </c>
      <c r="K1690" t="str">
        <f t="shared" si="80"/>
        <v>ACTIVE</v>
      </c>
    </row>
    <row r="1691" spans="1:11">
      <c r="A1691">
        <v>1499</v>
      </c>
      <c r="B1691" t="s">
        <v>114</v>
      </c>
      <c r="C1691" s="1">
        <v>45391</v>
      </c>
      <c r="D1691" s="2" t="s">
        <v>23</v>
      </c>
      <c r="E1691" t="s">
        <v>34</v>
      </c>
      <c r="G1691" s="3">
        <v>2193</v>
      </c>
      <c r="H1691" t="s">
        <v>172</v>
      </c>
      <c r="I1691" s="3" t="str">
        <f t="shared" si="78"/>
        <v>2024-04</v>
      </c>
      <c r="J1691" s="1">
        <f t="shared" si="79"/>
        <v>45815</v>
      </c>
      <c r="K1691" t="str">
        <f t="shared" si="80"/>
        <v>ACTIVE</v>
      </c>
    </row>
    <row r="1692" spans="1:11">
      <c r="A1692">
        <v>457</v>
      </c>
      <c r="B1692" t="s">
        <v>54</v>
      </c>
      <c r="C1692" s="1">
        <v>45825</v>
      </c>
      <c r="D1692" s="2" t="s">
        <v>24</v>
      </c>
      <c r="E1692" t="s">
        <v>32</v>
      </c>
      <c r="G1692" s="3">
        <v>2199</v>
      </c>
      <c r="H1692" t="s">
        <v>176</v>
      </c>
      <c r="I1692" s="3" t="str">
        <f t="shared" si="78"/>
        <v>2025-06</v>
      </c>
      <c r="J1692" s="1">
        <f t="shared" si="79"/>
        <v>45825</v>
      </c>
      <c r="K1692" t="str">
        <f t="shared" si="80"/>
        <v>ACTIVE</v>
      </c>
    </row>
    <row r="1693" spans="1:11">
      <c r="A1693">
        <v>261</v>
      </c>
      <c r="B1693" t="s">
        <v>126</v>
      </c>
      <c r="C1693" s="1">
        <v>45387</v>
      </c>
      <c r="D1693" s="2" t="s">
        <v>28</v>
      </c>
      <c r="E1693" t="s">
        <v>30</v>
      </c>
      <c r="G1693" s="3">
        <v>5700</v>
      </c>
      <c r="H1693" t="s">
        <v>175</v>
      </c>
      <c r="I1693" s="3" t="str">
        <f t="shared" si="78"/>
        <v>2024-04</v>
      </c>
      <c r="J1693" s="1">
        <f t="shared" si="79"/>
        <v>45827</v>
      </c>
      <c r="K1693" t="str">
        <f t="shared" si="80"/>
        <v>ACTIVE</v>
      </c>
    </row>
    <row r="1694" spans="1:11">
      <c r="A1694">
        <v>36</v>
      </c>
      <c r="B1694" t="s">
        <v>80</v>
      </c>
      <c r="C1694" s="1">
        <v>45763</v>
      </c>
      <c r="D1694" s="2" t="s">
        <v>24</v>
      </c>
      <c r="E1694" t="s">
        <v>33</v>
      </c>
      <c r="G1694" s="3">
        <v>1619</v>
      </c>
      <c r="H1694" t="s">
        <v>172</v>
      </c>
      <c r="I1694" s="3" t="str">
        <f t="shared" si="78"/>
        <v>2025-04</v>
      </c>
      <c r="J1694" s="1">
        <f t="shared" si="79"/>
        <v>45788</v>
      </c>
      <c r="K1694" t="str">
        <f t="shared" si="80"/>
        <v>ACTIVE</v>
      </c>
    </row>
    <row r="1695" spans="1:11">
      <c r="A1695">
        <v>828</v>
      </c>
      <c r="B1695" t="s">
        <v>146</v>
      </c>
      <c r="C1695" s="1">
        <v>45557</v>
      </c>
      <c r="D1695" s="2" t="s">
        <v>28</v>
      </c>
      <c r="E1695" t="s">
        <v>32</v>
      </c>
      <c r="G1695" s="3">
        <v>1147</v>
      </c>
      <c r="H1695" t="s">
        <v>172</v>
      </c>
      <c r="I1695" s="3" t="str">
        <f t="shared" si="78"/>
        <v>2024-09</v>
      </c>
      <c r="J1695" s="1">
        <f t="shared" si="79"/>
        <v>45819</v>
      </c>
      <c r="K1695" t="str">
        <f t="shared" si="80"/>
        <v>ACTIVE</v>
      </c>
    </row>
    <row r="1696" spans="1:11">
      <c r="A1696">
        <v>310</v>
      </c>
      <c r="B1696" t="s">
        <v>85</v>
      </c>
      <c r="C1696" s="1">
        <v>45341</v>
      </c>
      <c r="D1696" s="2" t="s">
        <v>28</v>
      </c>
      <c r="E1696" t="s">
        <v>30</v>
      </c>
      <c r="G1696" s="3">
        <v>891</v>
      </c>
      <c r="H1696" t="s">
        <v>173</v>
      </c>
      <c r="I1696" s="3" t="str">
        <f t="shared" si="78"/>
        <v>2024-02</v>
      </c>
      <c r="J1696" s="1">
        <f t="shared" si="79"/>
        <v>45826</v>
      </c>
      <c r="K1696" t="str">
        <f t="shared" si="80"/>
        <v>ACTIVE</v>
      </c>
    </row>
    <row r="1697" spans="1:11">
      <c r="A1697">
        <v>277</v>
      </c>
      <c r="B1697" t="s">
        <v>53</v>
      </c>
      <c r="C1697" s="1">
        <v>45736</v>
      </c>
      <c r="D1697" s="2" t="s">
        <v>28</v>
      </c>
      <c r="E1697" t="s">
        <v>35</v>
      </c>
      <c r="G1697" s="3">
        <v>462</v>
      </c>
      <c r="H1697" t="s">
        <v>172</v>
      </c>
      <c r="I1697" s="3" t="str">
        <f t="shared" si="78"/>
        <v>2025-03</v>
      </c>
      <c r="J1697" s="1">
        <f t="shared" si="79"/>
        <v>45779</v>
      </c>
      <c r="K1697" t="str">
        <f t="shared" si="80"/>
        <v>ACTIVE</v>
      </c>
    </row>
    <row r="1698" spans="1:11">
      <c r="A1698">
        <v>637</v>
      </c>
      <c r="B1698" t="s">
        <v>158</v>
      </c>
      <c r="C1698" s="1">
        <v>45726</v>
      </c>
      <c r="D1698" s="2" t="s">
        <v>28</v>
      </c>
      <c r="E1698" t="s">
        <v>31</v>
      </c>
      <c r="G1698" s="3">
        <v>2756</v>
      </c>
      <c r="H1698" t="s">
        <v>173</v>
      </c>
      <c r="I1698" s="3" t="str">
        <f t="shared" si="78"/>
        <v>2025-03</v>
      </c>
      <c r="J1698" s="1">
        <f t="shared" si="79"/>
        <v>45740</v>
      </c>
      <c r="K1698" t="str">
        <f t="shared" si="80"/>
        <v>LAPSED</v>
      </c>
    </row>
    <row r="1699" spans="1:11">
      <c r="A1699">
        <v>655</v>
      </c>
      <c r="B1699" t="s">
        <v>69</v>
      </c>
      <c r="C1699" s="1">
        <v>45456</v>
      </c>
      <c r="D1699" s="2" t="s">
        <v>23</v>
      </c>
      <c r="E1699" t="s">
        <v>33</v>
      </c>
      <c r="G1699" s="3">
        <v>672</v>
      </c>
      <c r="H1699" t="s">
        <v>172</v>
      </c>
      <c r="I1699" s="3" t="str">
        <f t="shared" si="78"/>
        <v>2024-06</v>
      </c>
      <c r="J1699" s="1">
        <f t="shared" si="79"/>
        <v>45829</v>
      </c>
      <c r="K1699" t="str">
        <f t="shared" si="80"/>
        <v>ACTIVE</v>
      </c>
    </row>
    <row r="1700" spans="1:11">
      <c r="A1700">
        <v>623</v>
      </c>
      <c r="B1700" t="s">
        <v>148</v>
      </c>
      <c r="C1700" s="1">
        <v>45640</v>
      </c>
      <c r="D1700" s="2" t="s">
        <v>27</v>
      </c>
      <c r="E1700" t="s">
        <v>34</v>
      </c>
      <c r="G1700" s="3">
        <v>1724</v>
      </c>
      <c r="H1700" t="s">
        <v>172</v>
      </c>
      <c r="I1700" s="3" t="str">
        <f t="shared" si="78"/>
        <v>2024-12</v>
      </c>
      <c r="J1700" s="1">
        <f t="shared" si="79"/>
        <v>45766</v>
      </c>
      <c r="K1700" t="str">
        <f t="shared" si="80"/>
        <v>ACTIVE</v>
      </c>
    </row>
    <row r="1701" spans="1:11">
      <c r="A1701">
        <v>845</v>
      </c>
      <c r="B1701" t="s">
        <v>114</v>
      </c>
      <c r="C1701" s="1">
        <v>45781</v>
      </c>
      <c r="D1701" s="2" t="s">
        <v>27</v>
      </c>
      <c r="E1701" t="s">
        <v>32</v>
      </c>
      <c r="G1701" s="3">
        <v>2704</v>
      </c>
      <c r="H1701" t="s">
        <v>173</v>
      </c>
      <c r="I1701" s="3" t="str">
        <f t="shared" si="78"/>
        <v>2025-05</v>
      </c>
      <c r="J1701" s="1">
        <f t="shared" si="79"/>
        <v>45815</v>
      </c>
      <c r="K1701" t="str">
        <f t="shared" si="80"/>
        <v>ACTIVE</v>
      </c>
    </row>
    <row r="1702" spans="1:11">
      <c r="A1702">
        <v>394</v>
      </c>
      <c r="B1702" t="s">
        <v>78</v>
      </c>
      <c r="C1702" s="1">
        <v>45790</v>
      </c>
      <c r="D1702" s="2" t="s">
        <v>24</v>
      </c>
      <c r="E1702" t="s">
        <v>33</v>
      </c>
      <c r="G1702" s="3">
        <v>1680</v>
      </c>
      <c r="H1702" t="s">
        <v>175</v>
      </c>
      <c r="I1702" s="3" t="str">
        <f t="shared" si="78"/>
        <v>2025-05</v>
      </c>
      <c r="J1702" s="1">
        <f t="shared" si="79"/>
        <v>45821</v>
      </c>
      <c r="K1702" t="str">
        <f t="shared" si="80"/>
        <v>ACTIVE</v>
      </c>
    </row>
    <row r="1703" spans="1:11">
      <c r="A1703">
        <v>108</v>
      </c>
      <c r="B1703" t="s">
        <v>93</v>
      </c>
      <c r="C1703" s="1">
        <v>45403</v>
      </c>
      <c r="D1703" s="2" t="s">
        <v>23</v>
      </c>
      <c r="E1703" t="s">
        <v>33</v>
      </c>
      <c r="G1703" s="3">
        <v>545</v>
      </c>
      <c r="H1703" t="s">
        <v>175</v>
      </c>
      <c r="I1703" s="3" t="str">
        <f t="shared" si="78"/>
        <v>2024-04</v>
      </c>
      <c r="J1703" s="1">
        <f t="shared" si="79"/>
        <v>45830</v>
      </c>
      <c r="K1703" t="str">
        <f t="shared" si="80"/>
        <v>ACTIVE</v>
      </c>
    </row>
    <row r="1704" spans="1:11">
      <c r="A1704">
        <v>350</v>
      </c>
      <c r="B1704" t="s">
        <v>118</v>
      </c>
      <c r="C1704" s="1">
        <v>45395</v>
      </c>
      <c r="D1704" s="2" t="s">
        <v>23</v>
      </c>
      <c r="E1704" t="s">
        <v>31</v>
      </c>
      <c r="G1704" s="3">
        <v>1451</v>
      </c>
      <c r="H1704" t="s">
        <v>176</v>
      </c>
      <c r="I1704" s="3" t="str">
        <f t="shared" si="78"/>
        <v>2024-04</v>
      </c>
      <c r="J1704" s="1">
        <f t="shared" si="79"/>
        <v>45830</v>
      </c>
      <c r="K1704" t="str">
        <f t="shared" si="80"/>
        <v>ACTIVE</v>
      </c>
    </row>
    <row r="1705" spans="1:11">
      <c r="A1705">
        <v>525</v>
      </c>
      <c r="B1705" t="s">
        <v>146</v>
      </c>
      <c r="C1705" s="1">
        <v>45786</v>
      </c>
      <c r="D1705" s="2" t="s">
        <v>23</v>
      </c>
      <c r="E1705" t="s">
        <v>33</v>
      </c>
      <c r="G1705" s="3">
        <v>1872</v>
      </c>
      <c r="H1705" t="s">
        <v>173</v>
      </c>
      <c r="I1705" s="3" t="str">
        <f t="shared" si="78"/>
        <v>2025-05</v>
      </c>
      <c r="J1705" s="1">
        <f t="shared" si="79"/>
        <v>45819</v>
      </c>
      <c r="K1705" t="str">
        <f t="shared" si="80"/>
        <v>ACTIVE</v>
      </c>
    </row>
    <row r="1706" spans="1:11">
      <c r="A1706">
        <v>785</v>
      </c>
      <c r="B1706" t="s">
        <v>79</v>
      </c>
      <c r="C1706" s="1">
        <v>45764</v>
      </c>
      <c r="D1706" s="2" t="s">
        <v>25</v>
      </c>
      <c r="E1706" t="s">
        <v>31</v>
      </c>
      <c r="G1706" s="3">
        <v>1943</v>
      </c>
      <c r="H1706" t="s">
        <v>173</v>
      </c>
      <c r="I1706" s="3" t="str">
        <f t="shared" si="78"/>
        <v>2025-04</v>
      </c>
      <c r="J1706" s="1">
        <f t="shared" si="79"/>
        <v>45782</v>
      </c>
      <c r="K1706" t="str">
        <f t="shared" si="80"/>
        <v>ACTIVE</v>
      </c>
    </row>
    <row r="1707" spans="1:11">
      <c r="A1707">
        <v>48</v>
      </c>
      <c r="B1707" t="s">
        <v>138</v>
      </c>
      <c r="C1707" s="1">
        <v>45545</v>
      </c>
      <c r="D1707" s="2" t="s">
        <v>24</v>
      </c>
      <c r="E1707" t="s">
        <v>35</v>
      </c>
      <c r="G1707" s="3">
        <v>315</v>
      </c>
      <c r="H1707" t="s">
        <v>174</v>
      </c>
      <c r="I1707" s="3" t="str">
        <f t="shared" si="78"/>
        <v>2024-09</v>
      </c>
      <c r="J1707" s="1">
        <f t="shared" si="79"/>
        <v>45798</v>
      </c>
      <c r="K1707" t="str">
        <f t="shared" si="80"/>
        <v>ACTIVE</v>
      </c>
    </row>
    <row r="1708" spans="1:11">
      <c r="A1708">
        <v>204</v>
      </c>
      <c r="B1708" t="s">
        <v>137</v>
      </c>
      <c r="C1708" s="1">
        <v>45680</v>
      </c>
      <c r="D1708" s="2" t="s">
        <v>27</v>
      </c>
      <c r="E1708" t="s">
        <v>33</v>
      </c>
      <c r="G1708" s="3">
        <v>282</v>
      </c>
      <c r="H1708" t="s">
        <v>174</v>
      </c>
      <c r="I1708" s="3" t="str">
        <f t="shared" si="78"/>
        <v>2025-01</v>
      </c>
      <c r="J1708" s="1">
        <f t="shared" si="79"/>
        <v>45819</v>
      </c>
      <c r="K1708" t="str">
        <f t="shared" si="80"/>
        <v>ACTIVE</v>
      </c>
    </row>
    <row r="1709" spans="1:11">
      <c r="A1709">
        <v>1656</v>
      </c>
      <c r="B1709" t="s">
        <v>108</v>
      </c>
      <c r="C1709" s="1">
        <v>45568</v>
      </c>
      <c r="D1709" s="2" t="s">
        <v>25</v>
      </c>
      <c r="E1709" t="s">
        <v>31</v>
      </c>
      <c r="G1709" s="3">
        <v>2134</v>
      </c>
      <c r="H1709" t="s">
        <v>176</v>
      </c>
      <c r="I1709" s="3" t="str">
        <f t="shared" si="78"/>
        <v>2024-10</v>
      </c>
      <c r="J1709" s="1">
        <f t="shared" si="79"/>
        <v>45826</v>
      </c>
      <c r="K1709" t="str">
        <f t="shared" si="80"/>
        <v>ACTIVE</v>
      </c>
    </row>
    <row r="1710" spans="1:11">
      <c r="A1710">
        <v>22</v>
      </c>
      <c r="B1710" t="s">
        <v>149</v>
      </c>
      <c r="C1710" s="1">
        <v>45387</v>
      </c>
      <c r="D1710" s="2" t="s">
        <v>26</v>
      </c>
      <c r="E1710" t="s">
        <v>33</v>
      </c>
      <c r="G1710" s="3">
        <v>746</v>
      </c>
      <c r="H1710" t="s">
        <v>172</v>
      </c>
      <c r="I1710" s="3" t="str">
        <f t="shared" si="78"/>
        <v>2024-04</v>
      </c>
      <c r="J1710" s="1">
        <f t="shared" si="79"/>
        <v>45795</v>
      </c>
      <c r="K1710" t="str">
        <f t="shared" si="80"/>
        <v>ACTIVE</v>
      </c>
    </row>
    <row r="1711" spans="1:11">
      <c r="A1711">
        <v>403</v>
      </c>
      <c r="B1711" t="s">
        <v>109</v>
      </c>
      <c r="C1711" s="1">
        <v>45561</v>
      </c>
      <c r="D1711" s="2" t="s">
        <v>23</v>
      </c>
      <c r="E1711" t="s">
        <v>35</v>
      </c>
      <c r="G1711" s="3">
        <v>1426</v>
      </c>
      <c r="H1711" t="s">
        <v>173</v>
      </c>
      <c r="I1711" s="3" t="str">
        <f t="shared" si="78"/>
        <v>2024-09</v>
      </c>
      <c r="J1711" s="1">
        <f t="shared" si="79"/>
        <v>45776</v>
      </c>
      <c r="K1711" t="str">
        <f t="shared" si="80"/>
        <v>ACTIVE</v>
      </c>
    </row>
    <row r="1712" spans="1:11">
      <c r="A1712">
        <v>1108</v>
      </c>
      <c r="B1712" t="s">
        <v>155</v>
      </c>
      <c r="C1712" s="1">
        <v>45292</v>
      </c>
      <c r="D1712" s="2" t="s">
        <v>25</v>
      </c>
      <c r="E1712" t="s">
        <v>34</v>
      </c>
      <c r="G1712" s="3">
        <v>1507</v>
      </c>
      <c r="H1712" t="s">
        <v>173</v>
      </c>
      <c r="I1712" s="3" t="str">
        <f t="shared" si="78"/>
        <v>2024-01</v>
      </c>
      <c r="J1712" s="1">
        <f t="shared" si="79"/>
        <v>45698</v>
      </c>
      <c r="K1712" t="str">
        <f t="shared" si="80"/>
        <v>LAPSED</v>
      </c>
    </row>
    <row r="1713" spans="1:11">
      <c r="A1713">
        <v>1155</v>
      </c>
      <c r="B1713" t="s">
        <v>114</v>
      </c>
      <c r="C1713" s="1">
        <v>45372</v>
      </c>
      <c r="D1713" s="2" t="s">
        <v>28</v>
      </c>
      <c r="E1713" t="s">
        <v>35</v>
      </c>
      <c r="G1713" s="3">
        <v>4166</v>
      </c>
      <c r="H1713" t="s">
        <v>175</v>
      </c>
      <c r="I1713" s="3" t="str">
        <f t="shared" si="78"/>
        <v>2024-03</v>
      </c>
      <c r="J1713" s="1">
        <f t="shared" si="79"/>
        <v>45815</v>
      </c>
      <c r="K1713" t="str">
        <f t="shared" si="80"/>
        <v>ACTIVE</v>
      </c>
    </row>
    <row r="1714" spans="1:11">
      <c r="A1714">
        <v>1440</v>
      </c>
      <c r="B1714" t="s">
        <v>45</v>
      </c>
      <c r="C1714" s="1">
        <v>45447</v>
      </c>
      <c r="D1714" s="2" t="s">
        <v>25</v>
      </c>
      <c r="E1714" t="s">
        <v>32</v>
      </c>
      <c r="G1714" s="3">
        <v>1220</v>
      </c>
      <c r="H1714" t="s">
        <v>174</v>
      </c>
      <c r="I1714" s="3" t="str">
        <f t="shared" si="78"/>
        <v>2024-06</v>
      </c>
      <c r="J1714" s="1">
        <f t="shared" si="79"/>
        <v>45829</v>
      </c>
      <c r="K1714" t="str">
        <f t="shared" si="80"/>
        <v>ACTIVE</v>
      </c>
    </row>
    <row r="1715" spans="1:11">
      <c r="A1715">
        <v>990</v>
      </c>
      <c r="B1715" t="s">
        <v>53</v>
      </c>
      <c r="C1715" s="1">
        <v>45516</v>
      </c>
      <c r="D1715" s="2" t="s">
        <v>25</v>
      </c>
      <c r="E1715" t="s">
        <v>34</v>
      </c>
      <c r="G1715" s="3">
        <v>2239</v>
      </c>
      <c r="H1715" t="s">
        <v>175</v>
      </c>
      <c r="I1715" s="3" t="str">
        <f t="shared" si="78"/>
        <v>2024-08</v>
      </c>
      <c r="J1715" s="1">
        <f t="shared" si="79"/>
        <v>45779</v>
      </c>
      <c r="K1715" t="str">
        <f t="shared" si="80"/>
        <v>ACTIVE</v>
      </c>
    </row>
    <row r="1716" spans="1:11">
      <c r="A1716">
        <v>742</v>
      </c>
      <c r="B1716" t="s">
        <v>147</v>
      </c>
      <c r="C1716" s="1">
        <v>45725</v>
      </c>
      <c r="D1716" s="2" t="s">
        <v>23</v>
      </c>
      <c r="E1716" t="s">
        <v>32</v>
      </c>
      <c r="G1716" s="3">
        <v>400</v>
      </c>
      <c r="H1716" t="s">
        <v>173</v>
      </c>
      <c r="I1716" s="3" t="str">
        <f t="shared" si="78"/>
        <v>2025-03</v>
      </c>
      <c r="J1716" s="1">
        <f t="shared" si="79"/>
        <v>45752</v>
      </c>
      <c r="K1716" t="str">
        <f t="shared" si="80"/>
        <v>ACTIVE</v>
      </c>
    </row>
    <row r="1717" spans="1:11">
      <c r="A1717">
        <v>1722</v>
      </c>
      <c r="B1717" t="s">
        <v>62</v>
      </c>
      <c r="C1717" s="1">
        <v>45433</v>
      </c>
      <c r="D1717" s="2" t="s">
        <v>26</v>
      </c>
      <c r="E1717" t="s">
        <v>31</v>
      </c>
      <c r="G1717" s="3">
        <v>860</v>
      </c>
      <c r="H1717" t="s">
        <v>175</v>
      </c>
      <c r="I1717" s="3" t="str">
        <f t="shared" si="78"/>
        <v>2024-05</v>
      </c>
      <c r="J1717" s="1">
        <f t="shared" si="79"/>
        <v>45815</v>
      </c>
      <c r="K1717" t="str">
        <f t="shared" si="80"/>
        <v>ACTIVE</v>
      </c>
    </row>
    <row r="1718" spans="1:11">
      <c r="A1718">
        <v>1311</v>
      </c>
      <c r="B1718" t="s">
        <v>141</v>
      </c>
      <c r="C1718" s="1">
        <v>45618</v>
      </c>
      <c r="D1718" s="2" t="s">
        <v>23</v>
      </c>
      <c r="E1718" t="s">
        <v>34</v>
      </c>
      <c r="G1718" s="3">
        <v>562</v>
      </c>
      <c r="H1718" t="s">
        <v>176</v>
      </c>
      <c r="I1718" s="3" t="str">
        <f t="shared" si="78"/>
        <v>2024-11</v>
      </c>
      <c r="J1718" s="1">
        <f t="shared" si="79"/>
        <v>45773</v>
      </c>
      <c r="K1718" t="str">
        <f t="shared" si="80"/>
        <v>ACTIVE</v>
      </c>
    </row>
    <row r="1719" spans="1:11">
      <c r="A1719">
        <v>1148</v>
      </c>
      <c r="B1719" t="s">
        <v>84</v>
      </c>
      <c r="C1719" s="1">
        <v>45395</v>
      </c>
      <c r="D1719" s="2" t="s">
        <v>23</v>
      </c>
      <c r="E1719" t="s">
        <v>30</v>
      </c>
      <c r="G1719" s="3">
        <v>935</v>
      </c>
      <c r="H1719" t="s">
        <v>174</v>
      </c>
      <c r="I1719" s="3" t="str">
        <f t="shared" si="78"/>
        <v>2024-04</v>
      </c>
      <c r="J1719" s="1">
        <f t="shared" si="79"/>
        <v>45827</v>
      </c>
      <c r="K1719" t="str">
        <f t="shared" si="80"/>
        <v>ACTIVE</v>
      </c>
    </row>
    <row r="1720" spans="1:11">
      <c r="A1720">
        <v>34</v>
      </c>
      <c r="B1720" t="s">
        <v>113</v>
      </c>
      <c r="C1720" s="1">
        <v>45708</v>
      </c>
      <c r="D1720" s="2" t="s">
        <v>27</v>
      </c>
      <c r="E1720" t="s">
        <v>33</v>
      </c>
      <c r="G1720" s="3">
        <v>1786</v>
      </c>
      <c r="H1720" t="s">
        <v>172</v>
      </c>
      <c r="I1720" s="3" t="str">
        <f t="shared" si="78"/>
        <v>2025-02</v>
      </c>
      <c r="J1720" s="1">
        <f t="shared" si="79"/>
        <v>45788</v>
      </c>
      <c r="K1720" t="str">
        <f t="shared" si="80"/>
        <v>ACTIVE</v>
      </c>
    </row>
    <row r="1721" spans="1:11">
      <c r="A1721">
        <v>788</v>
      </c>
      <c r="B1721" t="s">
        <v>84</v>
      </c>
      <c r="C1721" s="1">
        <v>45692</v>
      </c>
      <c r="D1721" s="2" t="s">
        <v>27</v>
      </c>
      <c r="E1721" t="s">
        <v>32</v>
      </c>
      <c r="G1721" s="3">
        <v>1014</v>
      </c>
      <c r="H1721" t="s">
        <v>172</v>
      </c>
      <c r="I1721" s="3" t="str">
        <f t="shared" si="78"/>
        <v>2025-02</v>
      </c>
      <c r="J1721" s="1">
        <f t="shared" si="79"/>
        <v>45827</v>
      </c>
      <c r="K1721" t="str">
        <f t="shared" si="80"/>
        <v>ACTIVE</v>
      </c>
    </row>
    <row r="1722" spans="1:11">
      <c r="A1722">
        <v>1541</v>
      </c>
      <c r="B1722" t="s">
        <v>53</v>
      </c>
      <c r="C1722" s="1">
        <v>45390</v>
      </c>
      <c r="D1722" s="2" t="s">
        <v>27</v>
      </c>
      <c r="E1722" t="s">
        <v>32</v>
      </c>
      <c r="G1722" s="3">
        <v>588</v>
      </c>
      <c r="H1722" t="s">
        <v>172</v>
      </c>
      <c r="I1722" s="3" t="str">
        <f t="shared" si="78"/>
        <v>2024-04</v>
      </c>
      <c r="J1722" s="1">
        <f t="shared" si="79"/>
        <v>45779</v>
      </c>
      <c r="K1722" t="str">
        <f t="shared" si="80"/>
        <v>ACTIVE</v>
      </c>
    </row>
    <row r="1723" spans="1:11">
      <c r="A1723">
        <v>924</v>
      </c>
      <c r="B1723" t="s">
        <v>90</v>
      </c>
      <c r="C1723" s="1">
        <v>45524</v>
      </c>
      <c r="D1723" s="2" t="s">
        <v>27</v>
      </c>
      <c r="E1723" t="s">
        <v>31</v>
      </c>
      <c r="G1723" s="3">
        <v>1009</v>
      </c>
      <c r="H1723" t="s">
        <v>172</v>
      </c>
      <c r="I1723" s="3" t="str">
        <f t="shared" si="78"/>
        <v>2024-08</v>
      </c>
      <c r="J1723" s="1">
        <f t="shared" si="79"/>
        <v>45788</v>
      </c>
      <c r="K1723" t="str">
        <f t="shared" si="80"/>
        <v>ACTIVE</v>
      </c>
    </row>
    <row r="1724" spans="1:11">
      <c r="A1724">
        <v>1044</v>
      </c>
      <c r="B1724" t="s">
        <v>75</v>
      </c>
      <c r="C1724" s="1">
        <v>45685</v>
      </c>
      <c r="D1724" s="2" t="s">
        <v>25</v>
      </c>
      <c r="E1724" t="s">
        <v>34</v>
      </c>
      <c r="G1724" s="3">
        <v>2855</v>
      </c>
      <c r="H1724" t="s">
        <v>173</v>
      </c>
      <c r="I1724" s="3" t="str">
        <f t="shared" si="78"/>
        <v>2025-01</v>
      </c>
      <c r="J1724" s="1">
        <f t="shared" si="79"/>
        <v>45772</v>
      </c>
      <c r="K1724" t="str">
        <f t="shared" si="80"/>
        <v>ACTIVE</v>
      </c>
    </row>
    <row r="1725" spans="1:11">
      <c r="A1725">
        <v>1742</v>
      </c>
      <c r="B1725" t="s">
        <v>39</v>
      </c>
      <c r="C1725" s="1">
        <v>45672</v>
      </c>
      <c r="D1725" s="2" t="s">
        <v>23</v>
      </c>
      <c r="E1725" t="s">
        <v>33</v>
      </c>
      <c r="G1725" s="3">
        <v>346</v>
      </c>
      <c r="H1725" t="s">
        <v>176</v>
      </c>
      <c r="I1725" s="3" t="str">
        <f t="shared" si="78"/>
        <v>2025-01</v>
      </c>
      <c r="J1725" s="1">
        <f t="shared" si="79"/>
        <v>45795</v>
      </c>
      <c r="K1725" t="str">
        <f t="shared" si="80"/>
        <v>ACTIVE</v>
      </c>
    </row>
    <row r="1726" spans="1:11">
      <c r="A1726">
        <v>1244</v>
      </c>
      <c r="B1726" t="s">
        <v>64</v>
      </c>
      <c r="C1726" s="1">
        <v>45456</v>
      </c>
      <c r="D1726" s="2" t="s">
        <v>23</v>
      </c>
      <c r="E1726" t="s">
        <v>35</v>
      </c>
      <c r="G1726" s="3">
        <v>5481</v>
      </c>
      <c r="H1726" t="s">
        <v>174</v>
      </c>
      <c r="I1726" s="3" t="str">
        <f t="shared" si="78"/>
        <v>2024-06</v>
      </c>
      <c r="J1726" s="1">
        <f t="shared" si="79"/>
        <v>45814</v>
      </c>
      <c r="K1726" t="str">
        <f t="shared" si="80"/>
        <v>ACTIVE</v>
      </c>
    </row>
    <row r="1727" spans="1:11">
      <c r="A1727">
        <v>580</v>
      </c>
      <c r="B1727" t="s">
        <v>67</v>
      </c>
      <c r="C1727" s="1">
        <v>45713</v>
      </c>
      <c r="D1727" s="2" t="s">
        <v>27</v>
      </c>
      <c r="E1727" t="s">
        <v>35</v>
      </c>
      <c r="G1727" s="3">
        <v>519</v>
      </c>
      <c r="H1727" t="s">
        <v>173</v>
      </c>
      <c r="I1727" s="3" t="str">
        <f t="shared" si="78"/>
        <v>2025-02</v>
      </c>
      <c r="J1727" s="1">
        <f t="shared" si="79"/>
        <v>45794</v>
      </c>
      <c r="K1727" t="str">
        <f t="shared" si="80"/>
        <v>ACTIVE</v>
      </c>
    </row>
    <row r="1728" spans="1:11">
      <c r="A1728">
        <v>482</v>
      </c>
      <c r="B1728" t="s">
        <v>86</v>
      </c>
      <c r="C1728" s="1">
        <v>45791</v>
      </c>
      <c r="D1728" s="2" t="s">
        <v>23</v>
      </c>
      <c r="E1728" t="s">
        <v>33</v>
      </c>
      <c r="G1728" s="3">
        <v>10464</v>
      </c>
      <c r="H1728" t="s">
        <v>175</v>
      </c>
      <c r="I1728" s="3" t="str">
        <f t="shared" si="78"/>
        <v>2025-05</v>
      </c>
      <c r="J1728" s="1">
        <f t="shared" si="79"/>
        <v>45819</v>
      </c>
      <c r="K1728" t="str">
        <f t="shared" si="80"/>
        <v>ACTIVE</v>
      </c>
    </row>
    <row r="1729" spans="1:11">
      <c r="A1729">
        <v>932</v>
      </c>
      <c r="B1729" t="s">
        <v>150</v>
      </c>
      <c r="C1729" s="1">
        <v>45827</v>
      </c>
      <c r="D1729" s="2" t="s">
        <v>24</v>
      </c>
      <c r="E1729" t="s">
        <v>32</v>
      </c>
      <c r="G1729" s="3">
        <v>1403</v>
      </c>
      <c r="H1729" t="s">
        <v>174</v>
      </c>
      <c r="I1729" s="3" t="str">
        <f t="shared" si="78"/>
        <v>2025-06</v>
      </c>
      <c r="J1729" s="1">
        <f t="shared" si="79"/>
        <v>45827</v>
      </c>
      <c r="K1729" t="str">
        <f t="shared" si="80"/>
        <v>ACTIVE</v>
      </c>
    </row>
    <row r="1730" spans="1:11">
      <c r="A1730">
        <v>357</v>
      </c>
      <c r="B1730" t="s">
        <v>53</v>
      </c>
      <c r="C1730" s="1">
        <v>45462</v>
      </c>
      <c r="D1730" s="2" t="s">
        <v>27</v>
      </c>
      <c r="E1730" t="s">
        <v>30</v>
      </c>
      <c r="G1730" s="3">
        <v>596</v>
      </c>
      <c r="H1730" t="s">
        <v>172</v>
      </c>
      <c r="I1730" s="3" t="str">
        <f t="shared" si="78"/>
        <v>2024-06</v>
      </c>
      <c r="J1730" s="1">
        <f t="shared" si="79"/>
        <v>45779</v>
      </c>
      <c r="K1730" t="str">
        <f t="shared" si="80"/>
        <v>ACTIVE</v>
      </c>
    </row>
    <row r="1731" spans="1:11">
      <c r="A1731">
        <v>1686</v>
      </c>
      <c r="B1731" t="s">
        <v>110</v>
      </c>
      <c r="C1731" s="1">
        <v>45640</v>
      </c>
      <c r="D1731" s="2" t="s">
        <v>24</v>
      </c>
      <c r="E1731" t="s">
        <v>31</v>
      </c>
      <c r="G1731" s="3">
        <v>422</v>
      </c>
      <c r="H1731" t="s">
        <v>175</v>
      </c>
      <c r="I1731" s="3" t="str">
        <f t="shared" ref="I1731:I1794" si="81">TEXT(C1731, "yyyy-mm")</f>
        <v>2024-12</v>
      </c>
      <c r="J1731" s="1">
        <f t="shared" ref="J1731:J1794" si="82">_xlfn.MAXIFS(C:C, B:B, B1731)</f>
        <v>45816</v>
      </c>
      <c r="K1731" t="str">
        <f t="shared" ref="K1731:K1794" si="83">IF($L$3-J1731&gt;90, "LAPSED","ACTIVE")</f>
        <v>ACTIVE</v>
      </c>
    </row>
    <row r="1732" spans="1:11">
      <c r="A1732">
        <v>1249</v>
      </c>
      <c r="B1732" t="s">
        <v>103</v>
      </c>
      <c r="C1732" s="1">
        <v>45640</v>
      </c>
      <c r="D1732" s="2" t="s">
        <v>24</v>
      </c>
      <c r="E1732" t="s">
        <v>32</v>
      </c>
      <c r="G1732" s="3">
        <v>1753</v>
      </c>
      <c r="H1732" t="s">
        <v>176</v>
      </c>
      <c r="I1732" s="3" t="str">
        <f t="shared" si="81"/>
        <v>2024-12</v>
      </c>
      <c r="J1732" s="1">
        <f t="shared" si="82"/>
        <v>45821</v>
      </c>
      <c r="K1732" t="str">
        <f t="shared" si="83"/>
        <v>ACTIVE</v>
      </c>
    </row>
    <row r="1733" spans="1:11">
      <c r="A1733">
        <v>760</v>
      </c>
      <c r="B1733" t="s">
        <v>106</v>
      </c>
      <c r="C1733" s="1">
        <v>45349</v>
      </c>
      <c r="D1733" s="2" t="s">
        <v>25</v>
      </c>
      <c r="E1733" t="s">
        <v>31</v>
      </c>
      <c r="G1733" s="3">
        <v>721</v>
      </c>
      <c r="H1733" t="s">
        <v>175</v>
      </c>
      <c r="I1733" s="3" t="str">
        <f t="shared" si="81"/>
        <v>2024-02</v>
      </c>
      <c r="J1733" s="1">
        <f t="shared" si="82"/>
        <v>45760</v>
      </c>
      <c r="K1733" t="str">
        <f t="shared" si="83"/>
        <v>ACTIVE</v>
      </c>
    </row>
    <row r="1734" spans="1:11">
      <c r="A1734">
        <v>93</v>
      </c>
      <c r="B1734" t="s">
        <v>52</v>
      </c>
      <c r="C1734" s="1">
        <v>45786</v>
      </c>
      <c r="D1734" s="2" t="s">
        <v>26</v>
      </c>
      <c r="E1734" t="s">
        <v>32</v>
      </c>
      <c r="G1734" s="3">
        <v>5150</v>
      </c>
      <c r="H1734" t="s">
        <v>174</v>
      </c>
      <c r="I1734" s="3" t="str">
        <f t="shared" si="81"/>
        <v>2025-05</v>
      </c>
      <c r="J1734" s="1">
        <f t="shared" si="82"/>
        <v>45811</v>
      </c>
      <c r="K1734" t="str">
        <f t="shared" si="83"/>
        <v>ACTIVE</v>
      </c>
    </row>
    <row r="1735" spans="1:11">
      <c r="A1735">
        <v>1176</v>
      </c>
      <c r="B1735" t="s">
        <v>57</v>
      </c>
      <c r="C1735" s="1">
        <v>45521</v>
      </c>
      <c r="D1735" s="2" t="s">
        <v>26</v>
      </c>
      <c r="E1735" t="s">
        <v>35</v>
      </c>
      <c r="G1735" s="3">
        <v>1060</v>
      </c>
      <c r="H1735" t="s">
        <v>174</v>
      </c>
      <c r="I1735" s="3" t="str">
        <f t="shared" si="81"/>
        <v>2024-08</v>
      </c>
      <c r="J1735" s="1">
        <f t="shared" si="82"/>
        <v>45808</v>
      </c>
      <c r="K1735" t="str">
        <f t="shared" si="83"/>
        <v>ACTIVE</v>
      </c>
    </row>
    <row r="1736" spans="1:11">
      <c r="A1736">
        <v>1416</v>
      </c>
      <c r="B1736" t="s">
        <v>133</v>
      </c>
      <c r="C1736" s="1">
        <v>45543</v>
      </c>
      <c r="D1736" s="2" t="s">
        <v>25</v>
      </c>
      <c r="E1736" t="s">
        <v>31</v>
      </c>
      <c r="G1736" s="3">
        <v>1660</v>
      </c>
      <c r="H1736" t="s">
        <v>175</v>
      </c>
      <c r="I1736" s="3" t="str">
        <f t="shared" si="81"/>
        <v>2024-09</v>
      </c>
      <c r="J1736" s="1">
        <f t="shared" si="82"/>
        <v>45788</v>
      </c>
      <c r="K1736" t="str">
        <f t="shared" si="83"/>
        <v>ACTIVE</v>
      </c>
    </row>
    <row r="1737" spans="1:11">
      <c r="A1737">
        <v>1342</v>
      </c>
      <c r="B1737" t="s">
        <v>129</v>
      </c>
      <c r="C1737" s="1">
        <v>45643</v>
      </c>
      <c r="D1737" s="2" t="s">
        <v>25</v>
      </c>
      <c r="E1737" t="s">
        <v>32</v>
      </c>
      <c r="G1737" s="3">
        <v>764</v>
      </c>
      <c r="H1737" t="s">
        <v>175</v>
      </c>
      <c r="I1737" s="3" t="str">
        <f t="shared" si="81"/>
        <v>2024-12</v>
      </c>
      <c r="J1737" s="1">
        <f t="shared" si="82"/>
        <v>45812</v>
      </c>
      <c r="K1737" t="str">
        <f t="shared" si="83"/>
        <v>ACTIVE</v>
      </c>
    </row>
    <row r="1738" spans="1:11">
      <c r="A1738">
        <v>1473</v>
      </c>
      <c r="B1738" t="s">
        <v>76</v>
      </c>
      <c r="C1738" s="1">
        <v>45575</v>
      </c>
      <c r="D1738" s="2" t="s">
        <v>23</v>
      </c>
      <c r="E1738" t="s">
        <v>35</v>
      </c>
      <c r="G1738" s="3">
        <v>1125</v>
      </c>
      <c r="H1738" t="s">
        <v>175</v>
      </c>
      <c r="I1738" s="3" t="str">
        <f t="shared" si="81"/>
        <v>2024-10</v>
      </c>
      <c r="J1738" s="1">
        <f t="shared" si="82"/>
        <v>45792</v>
      </c>
      <c r="K1738" t="str">
        <f t="shared" si="83"/>
        <v>ACTIVE</v>
      </c>
    </row>
    <row r="1739" spans="1:11">
      <c r="A1739">
        <v>804</v>
      </c>
      <c r="B1739" t="s">
        <v>143</v>
      </c>
      <c r="C1739" s="1">
        <v>45517</v>
      </c>
      <c r="D1739" s="2" t="s">
        <v>25</v>
      </c>
      <c r="E1739" t="s">
        <v>30</v>
      </c>
      <c r="G1739" s="3">
        <v>1634</v>
      </c>
      <c r="H1739" t="s">
        <v>176</v>
      </c>
      <c r="I1739" s="3" t="str">
        <f t="shared" si="81"/>
        <v>2024-08</v>
      </c>
      <c r="J1739" s="1">
        <f t="shared" si="82"/>
        <v>45764</v>
      </c>
      <c r="K1739" t="str">
        <f t="shared" si="83"/>
        <v>ACTIVE</v>
      </c>
    </row>
    <row r="1740" spans="1:11">
      <c r="A1740">
        <v>746</v>
      </c>
      <c r="B1740" t="s">
        <v>71</v>
      </c>
      <c r="C1740" s="1">
        <v>45755</v>
      </c>
      <c r="D1740" s="2" t="s">
        <v>27</v>
      </c>
      <c r="E1740" t="s">
        <v>30</v>
      </c>
      <c r="G1740" s="3">
        <v>4683</v>
      </c>
      <c r="H1740" t="s">
        <v>173</v>
      </c>
      <c r="I1740" s="3" t="str">
        <f t="shared" si="81"/>
        <v>2025-04</v>
      </c>
      <c r="J1740" s="1">
        <f t="shared" si="82"/>
        <v>45823</v>
      </c>
      <c r="K1740" t="str">
        <f t="shared" si="83"/>
        <v>ACTIVE</v>
      </c>
    </row>
    <row r="1741" spans="1:11">
      <c r="A1741">
        <v>1547</v>
      </c>
      <c r="B1741" t="s">
        <v>157</v>
      </c>
      <c r="C1741" s="1">
        <v>45310</v>
      </c>
      <c r="D1741" s="2" t="s">
        <v>25</v>
      </c>
      <c r="E1741" t="s">
        <v>35</v>
      </c>
      <c r="G1741" s="3">
        <v>5986</v>
      </c>
      <c r="H1741" t="s">
        <v>175</v>
      </c>
      <c r="I1741" s="3" t="str">
        <f t="shared" si="81"/>
        <v>2024-01</v>
      </c>
      <c r="J1741" s="1">
        <f t="shared" si="82"/>
        <v>45729</v>
      </c>
      <c r="K1741" t="str">
        <f t="shared" si="83"/>
        <v>LAPSED</v>
      </c>
    </row>
    <row r="1742" spans="1:11">
      <c r="A1742">
        <v>280</v>
      </c>
      <c r="B1742" t="s">
        <v>83</v>
      </c>
      <c r="C1742" s="1">
        <v>45462</v>
      </c>
      <c r="D1742" s="2" t="s">
        <v>27</v>
      </c>
      <c r="E1742" t="s">
        <v>31</v>
      </c>
      <c r="G1742" s="3">
        <v>1158</v>
      </c>
      <c r="H1742" t="s">
        <v>176</v>
      </c>
      <c r="I1742" s="3" t="str">
        <f t="shared" si="81"/>
        <v>2024-06</v>
      </c>
      <c r="J1742" s="1">
        <f t="shared" si="82"/>
        <v>45816</v>
      </c>
      <c r="K1742" t="str">
        <f t="shared" si="83"/>
        <v>ACTIVE</v>
      </c>
    </row>
    <row r="1743" spans="1:11">
      <c r="A1743">
        <v>1608</v>
      </c>
      <c r="B1743" t="s">
        <v>106</v>
      </c>
      <c r="C1743" s="1">
        <v>45727</v>
      </c>
      <c r="D1743" s="2" t="s">
        <v>27</v>
      </c>
      <c r="E1743" t="s">
        <v>30</v>
      </c>
      <c r="G1743" s="3">
        <v>914</v>
      </c>
      <c r="H1743" t="s">
        <v>174</v>
      </c>
      <c r="I1743" s="3" t="str">
        <f t="shared" si="81"/>
        <v>2025-03</v>
      </c>
      <c r="J1743" s="1">
        <f t="shared" si="82"/>
        <v>45760</v>
      </c>
      <c r="K1743" t="str">
        <f t="shared" si="83"/>
        <v>ACTIVE</v>
      </c>
    </row>
    <row r="1744" spans="1:11">
      <c r="A1744">
        <v>765</v>
      </c>
      <c r="B1744" t="s">
        <v>40</v>
      </c>
      <c r="C1744" s="1">
        <v>45669</v>
      </c>
      <c r="D1744" s="2" t="s">
        <v>23</v>
      </c>
      <c r="E1744" t="s">
        <v>35</v>
      </c>
      <c r="G1744" s="3">
        <v>1234</v>
      </c>
      <c r="H1744" t="s">
        <v>175</v>
      </c>
      <c r="I1744" s="3" t="str">
        <f t="shared" si="81"/>
        <v>2025-01</v>
      </c>
      <c r="J1744" s="1">
        <f t="shared" si="82"/>
        <v>45759</v>
      </c>
      <c r="K1744" t="str">
        <f t="shared" si="83"/>
        <v>ACTIVE</v>
      </c>
    </row>
    <row r="1745" spans="1:11">
      <c r="A1745">
        <v>605</v>
      </c>
      <c r="B1745" t="s">
        <v>56</v>
      </c>
      <c r="C1745" s="1">
        <v>45340</v>
      </c>
      <c r="D1745" s="2" t="s">
        <v>24</v>
      </c>
      <c r="E1745" t="s">
        <v>31</v>
      </c>
      <c r="G1745" s="3">
        <v>355</v>
      </c>
      <c r="H1745" t="s">
        <v>175</v>
      </c>
      <c r="I1745" s="3" t="str">
        <f t="shared" si="81"/>
        <v>2024-02</v>
      </c>
      <c r="J1745" s="1">
        <f t="shared" si="82"/>
        <v>45805</v>
      </c>
      <c r="K1745" t="str">
        <f t="shared" si="83"/>
        <v>ACTIVE</v>
      </c>
    </row>
    <row r="1746" spans="1:11">
      <c r="A1746">
        <v>1793</v>
      </c>
      <c r="B1746" t="s">
        <v>94</v>
      </c>
      <c r="C1746" s="1">
        <v>45694</v>
      </c>
      <c r="D1746" s="2" t="s">
        <v>25</v>
      </c>
      <c r="E1746" t="s">
        <v>32</v>
      </c>
      <c r="G1746" s="3">
        <v>2160</v>
      </c>
      <c r="H1746" t="s">
        <v>172</v>
      </c>
      <c r="I1746" s="3" t="str">
        <f t="shared" si="81"/>
        <v>2025-02</v>
      </c>
      <c r="J1746" s="1">
        <f t="shared" si="82"/>
        <v>45824</v>
      </c>
      <c r="K1746" t="str">
        <f t="shared" si="83"/>
        <v>ACTIVE</v>
      </c>
    </row>
    <row r="1747" spans="1:11">
      <c r="A1747">
        <v>1374</v>
      </c>
      <c r="B1747" t="s">
        <v>84</v>
      </c>
      <c r="C1747" s="1">
        <v>45757</v>
      </c>
      <c r="D1747" s="2" t="s">
        <v>24</v>
      </c>
      <c r="E1747" t="s">
        <v>33</v>
      </c>
      <c r="G1747" s="3">
        <v>244</v>
      </c>
      <c r="H1747" t="s">
        <v>174</v>
      </c>
      <c r="I1747" s="3" t="str">
        <f t="shared" si="81"/>
        <v>2025-04</v>
      </c>
      <c r="J1747" s="1">
        <f t="shared" si="82"/>
        <v>45827</v>
      </c>
      <c r="K1747" t="str">
        <f t="shared" si="83"/>
        <v>ACTIVE</v>
      </c>
    </row>
    <row r="1748" spans="1:11">
      <c r="A1748">
        <v>1399</v>
      </c>
      <c r="B1748" t="s">
        <v>90</v>
      </c>
      <c r="C1748" s="1">
        <v>45344</v>
      </c>
      <c r="D1748" s="2" t="s">
        <v>28</v>
      </c>
      <c r="E1748" t="s">
        <v>35</v>
      </c>
      <c r="G1748" s="3">
        <v>991</v>
      </c>
      <c r="H1748" t="s">
        <v>173</v>
      </c>
      <c r="I1748" s="3" t="str">
        <f t="shared" si="81"/>
        <v>2024-02</v>
      </c>
      <c r="J1748" s="1">
        <f t="shared" si="82"/>
        <v>45788</v>
      </c>
      <c r="K1748" t="str">
        <f t="shared" si="83"/>
        <v>ACTIVE</v>
      </c>
    </row>
    <row r="1749" spans="1:11">
      <c r="A1749">
        <v>401</v>
      </c>
      <c r="B1749" t="s">
        <v>81</v>
      </c>
      <c r="C1749" s="1">
        <v>45787</v>
      </c>
      <c r="D1749" s="2" t="s">
        <v>25</v>
      </c>
      <c r="E1749" t="s">
        <v>33</v>
      </c>
      <c r="G1749" s="3">
        <v>268</v>
      </c>
      <c r="H1749" t="s">
        <v>174</v>
      </c>
      <c r="I1749" s="3" t="str">
        <f t="shared" si="81"/>
        <v>2025-05</v>
      </c>
      <c r="J1749" s="1">
        <f t="shared" si="82"/>
        <v>45787</v>
      </c>
      <c r="K1749" t="str">
        <f t="shared" si="83"/>
        <v>ACTIVE</v>
      </c>
    </row>
    <row r="1750" spans="1:11">
      <c r="A1750">
        <v>1729</v>
      </c>
      <c r="B1750" t="s">
        <v>133</v>
      </c>
      <c r="C1750" s="1">
        <v>45788</v>
      </c>
      <c r="D1750" s="2" t="s">
        <v>23</v>
      </c>
      <c r="E1750" t="s">
        <v>34</v>
      </c>
      <c r="G1750" s="3">
        <v>4061</v>
      </c>
      <c r="H1750" t="s">
        <v>175</v>
      </c>
      <c r="I1750" s="3" t="str">
        <f t="shared" si="81"/>
        <v>2025-05</v>
      </c>
      <c r="J1750" s="1">
        <f t="shared" si="82"/>
        <v>45788</v>
      </c>
      <c r="K1750" t="str">
        <f t="shared" si="83"/>
        <v>ACTIVE</v>
      </c>
    </row>
    <row r="1751" spans="1:11">
      <c r="A1751">
        <v>258</v>
      </c>
      <c r="B1751" t="s">
        <v>108</v>
      </c>
      <c r="C1751" s="1">
        <v>45588</v>
      </c>
      <c r="D1751" s="2" t="s">
        <v>24</v>
      </c>
      <c r="E1751" t="s">
        <v>35</v>
      </c>
      <c r="G1751" s="3">
        <v>854</v>
      </c>
      <c r="H1751" t="s">
        <v>173</v>
      </c>
      <c r="I1751" s="3" t="str">
        <f t="shared" si="81"/>
        <v>2024-10</v>
      </c>
      <c r="J1751" s="1">
        <f t="shared" si="82"/>
        <v>45826</v>
      </c>
      <c r="K1751" t="str">
        <f t="shared" si="83"/>
        <v>ACTIVE</v>
      </c>
    </row>
    <row r="1752" spans="1:11">
      <c r="A1752">
        <v>945</v>
      </c>
      <c r="B1752" t="s">
        <v>123</v>
      </c>
      <c r="C1752" s="1">
        <v>45456</v>
      </c>
      <c r="D1752" s="2" t="s">
        <v>28</v>
      </c>
      <c r="E1752" t="s">
        <v>31</v>
      </c>
      <c r="G1752" s="3">
        <v>847</v>
      </c>
      <c r="H1752" t="s">
        <v>175</v>
      </c>
      <c r="I1752" s="3" t="str">
        <f t="shared" si="81"/>
        <v>2024-06</v>
      </c>
      <c r="J1752" s="1">
        <f t="shared" si="82"/>
        <v>45772</v>
      </c>
      <c r="K1752" t="str">
        <f t="shared" si="83"/>
        <v>ACTIVE</v>
      </c>
    </row>
    <row r="1753" spans="1:11">
      <c r="A1753">
        <v>1097</v>
      </c>
      <c r="B1753" t="s">
        <v>71</v>
      </c>
      <c r="C1753" s="1">
        <v>45297</v>
      </c>
      <c r="D1753" s="2" t="s">
        <v>27</v>
      </c>
      <c r="E1753" t="s">
        <v>35</v>
      </c>
      <c r="G1753" s="3">
        <v>305</v>
      </c>
      <c r="H1753" t="s">
        <v>174</v>
      </c>
      <c r="I1753" s="3" t="str">
        <f t="shared" si="81"/>
        <v>2024-01</v>
      </c>
      <c r="J1753" s="1">
        <f t="shared" si="82"/>
        <v>45823</v>
      </c>
      <c r="K1753" t="str">
        <f t="shared" si="83"/>
        <v>ACTIVE</v>
      </c>
    </row>
    <row r="1754" spans="1:11">
      <c r="A1754">
        <v>1220</v>
      </c>
      <c r="B1754" t="s">
        <v>78</v>
      </c>
      <c r="C1754" s="1">
        <v>45600</v>
      </c>
      <c r="D1754" s="2" t="s">
        <v>28</v>
      </c>
      <c r="E1754" t="s">
        <v>30</v>
      </c>
      <c r="G1754" s="3">
        <v>10068</v>
      </c>
      <c r="H1754" t="s">
        <v>174</v>
      </c>
      <c r="I1754" s="3" t="str">
        <f t="shared" si="81"/>
        <v>2024-11</v>
      </c>
      <c r="J1754" s="1">
        <f t="shared" si="82"/>
        <v>45821</v>
      </c>
      <c r="K1754" t="str">
        <f t="shared" si="83"/>
        <v>ACTIVE</v>
      </c>
    </row>
    <row r="1755" spans="1:11">
      <c r="A1755">
        <v>1508</v>
      </c>
      <c r="B1755" t="s">
        <v>140</v>
      </c>
      <c r="C1755" s="1">
        <v>45812</v>
      </c>
      <c r="D1755" s="2" t="s">
        <v>23</v>
      </c>
      <c r="E1755" t="s">
        <v>35</v>
      </c>
      <c r="G1755" s="3">
        <v>897</v>
      </c>
      <c r="H1755" t="s">
        <v>175</v>
      </c>
      <c r="I1755" s="3" t="str">
        <f t="shared" si="81"/>
        <v>2025-06</v>
      </c>
      <c r="J1755" s="1">
        <f t="shared" si="82"/>
        <v>45812</v>
      </c>
      <c r="K1755" t="str">
        <f t="shared" si="83"/>
        <v>ACTIVE</v>
      </c>
    </row>
    <row r="1756" spans="1:11">
      <c r="A1756">
        <v>1162</v>
      </c>
      <c r="B1756" t="s">
        <v>41</v>
      </c>
      <c r="C1756" s="1">
        <v>45710</v>
      </c>
      <c r="D1756" s="2" t="s">
        <v>24</v>
      </c>
      <c r="E1756" t="s">
        <v>35</v>
      </c>
      <c r="G1756" s="3">
        <v>1733</v>
      </c>
      <c r="H1756" t="s">
        <v>173</v>
      </c>
      <c r="I1756" s="3" t="str">
        <f t="shared" si="81"/>
        <v>2025-02</v>
      </c>
      <c r="J1756" s="1">
        <f t="shared" si="82"/>
        <v>45785</v>
      </c>
      <c r="K1756" t="str">
        <f t="shared" si="83"/>
        <v>ACTIVE</v>
      </c>
    </row>
    <row r="1757" spans="1:11">
      <c r="A1757">
        <v>495</v>
      </c>
      <c r="B1757" t="s">
        <v>117</v>
      </c>
      <c r="C1757" s="1">
        <v>45440</v>
      </c>
      <c r="D1757" s="2" t="s">
        <v>23</v>
      </c>
      <c r="E1757" t="s">
        <v>33</v>
      </c>
      <c r="G1757" s="3">
        <v>4136</v>
      </c>
      <c r="H1757" t="s">
        <v>175</v>
      </c>
      <c r="I1757" s="3" t="str">
        <f t="shared" si="81"/>
        <v>2024-05</v>
      </c>
      <c r="J1757" s="1">
        <f t="shared" si="82"/>
        <v>45790</v>
      </c>
      <c r="K1757" t="str">
        <f t="shared" si="83"/>
        <v>ACTIVE</v>
      </c>
    </row>
    <row r="1758" spans="1:11">
      <c r="A1758">
        <v>773</v>
      </c>
      <c r="B1758" t="s">
        <v>143</v>
      </c>
      <c r="C1758" s="1">
        <v>45736</v>
      </c>
      <c r="D1758" s="2" t="s">
        <v>25</v>
      </c>
      <c r="E1758" t="s">
        <v>34</v>
      </c>
      <c r="G1758" s="3">
        <v>1730</v>
      </c>
      <c r="H1758" t="s">
        <v>172</v>
      </c>
      <c r="I1758" s="3" t="str">
        <f t="shared" si="81"/>
        <v>2025-03</v>
      </c>
      <c r="J1758" s="1">
        <f t="shared" si="82"/>
        <v>45764</v>
      </c>
      <c r="K1758" t="str">
        <f t="shared" si="83"/>
        <v>ACTIVE</v>
      </c>
    </row>
    <row r="1759" spans="1:11">
      <c r="A1759">
        <v>551</v>
      </c>
      <c r="B1759" t="s">
        <v>159</v>
      </c>
      <c r="C1759" s="1">
        <v>45653</v>
      </c>
      <c r="D1759" s="2" t="s">
        <v>24</v>
      </c>
      <c r="E1759" t="s">
        <v>31</v>
      </c>
      <c r="G1759" s="3">
        <v>1221</v>
      </c>
      <c r="H1759" t="s">
        <v>175</v>
      </c>
      <c r="I1759" s="3" t="str">
        <f t="shared" si="81"/>
        <v>2024-12</v>
      </c>
      <c r="J1759" s="1">
        <f t="shared" si="82"/>
        <v>45713</v>
      </c>
      <c r="K1759" t="str">
        <f t="shared" si="83"/>
        <v>LAPSED</v>
      </c>
    </row>
    <row r="1760" spans="1:11">
      <c r="A1760">
        <v>1487</v>
      </c>
      <c r="B1760" t="s">
        <v>71</v>
      </c>
      <c r="C1760" s="1">
        <v>45691</v>
      </c>
      <c r="D1760" s="2" t="s">
        <v>27</v>
      </c>
      <c r="E1760" t="s">
        <v>32</v>
      </c>
      <c r="G1760" s="3">
        <v>1951</v>
      </c>
      <c r="H1760" t="s">
        <v>172</v>
      </c>
      <c r="I1760" s="3" t="str">
        <f t="shared" si="81"/>
        <v>2025-02</v>
      </c>
      <c r="J1760" s="1">
        <f t="shared" si="82"/>
        <v>45823</v>
      </c>
      <c r="K1760" t="str">
        <f t="shared" si="83"/>
        <v>ACTIVE</v>
      </c>
    </row>
    <row r="1761" spans="1:11">
      <c r="A1761">
        <v>202</v>
      </c>
      <c r="B1761" t="s">
        <v>93</v>
      </c>
      <c r="C1761" s="1">
        <v>45683</v>
      </c>
      <c r="D1761" s="2" t="s">
        <v>28</v>
      </c>
      <c r="E1761" t="s">
        <v>32</v>
      </c>
      <c r="G1761" s="3">
        <v>1073</v>
      </c>
      <c r="H1761" t="s">
        <v>175</v>
      </c>
      <c r="I1761" s="3" t="str">
        <f t="shared" si="81"/>
        <v>2025-01</v>
      </c>
      <c r="J1761" s="1">
        <f t="shared" si="82"/>
        <v>45830</v>
      </c>
      <c r="K1761" t="str">
        <f t="shared" si="83"/>
        <v>ACTIVE</v>
      </c>
    </row>
    <row r="1762" spans="1:11">
      <c r="A1762">
        <v>313</v>
      </c>
      <c r="B1762" t="s">
        <v>124</v>
      </c>
      <c r="C1762" s="1">
        <v>45786</v>
      </c>
      <c r="D1762" s="2" t="s">
        <v>25</v>
      </c>
      <c r="E1762" t="s">
        <v>32</v>
      </c>
      <c r="G1762" s="3">
        <v>1564</v>
      </c>
      <c r="H1762" t="s">
        <v>173</v>
      </c>
      <c r="I1762" s="3" t="str">
        <f t="shared" si="81"/>
        <v>2025-05</v>
      </c>
      <c r="J1762" s="1">
        <f t="shared" si="82"/>
        <v>45793</v>
      </c>
      <c r="K1762" t="str">
        <f t="shared" si="83"/>
        <v>ACTIVE</v>
      </c>
    </row>
    <row r="1763" spans="1:11">
      <c r="A1763">
        <v>291</v>
      </c>
      <c r="B1763" t="s">
        <v>70</v>
      </c>
      <c r="C1763" s="1">
        <v>45766</v>
      </c>
      <c r="D1763" s="2" t="s">
        <v>25</v>
      </c>
      <c r="E1763" t="s">
        <v>34</v>
      </c>
      <c r="G1763" s="3">
        <v>1685</v>
      </c>
      <c r="H1763" t="s">
        <v>174</v>
      </c>
      <c r="I1763" s="3" t="str">
        <f t="shared" si="81"/>
        <v>2025-04</v>
      </c>
      <c r="J1763" s="1">
        <f t="shared" si="82"/>
        <v>45829</v>
      </c>
      <c r="K1763" t="str">
        <f t="shared" si="83"/>
        <v>ACTIVE</v>
      </c>
    </row>
    <row r="1764" spans="1:11">
      <c r="A1764">
        <v>1214</v>
      </c>
      <c r="B1764" t="s">
        <v>82</v>
      </c>
      <c r="C1764" s="1">
        <v>45477</v>
      </c>
      <c r="D1764" s="2" t="s">
        <v>25</v>
      </c>
      <c r="E1764" t="s">
        <v>33</v>
      </c>
      <c r="G1764" s="3">
        <v>500</v>
      </c>
      <c r="H1764" t="s">
        <v>174</v>
      </c>
      <c r="I1764" s="3" t="str">
        <f t="shared" si="81"/>
        <v>2024-07</v>
      </c>
      <c r="J1764" s="1">
        <f t="shared" si="82"/>
        <v>45781</v>
      </c>
      <c r="K1764" t="str">
        <f t="shared" si="83"/>
        <v>ACTIVE</v>
      </c>
    </row>
    <row r="1765" spans="1:11">
      <c r="A1765">
        <v>764</v>
      </c>
      <c r="B1765" t="s">
        <v>109</v>
      </c>
      <c r="C1765" s="1">
        <v>45611</v>
      </c>
      <c r="D1765" s="2" t="s">
        <v>28</v>
      </c>
      <c r="E1765" t="s">
        <v>35</v>
      </c>
      <c r="G1765" s="3">
        <v>4622</v>
      </c>
      <c r="H1765" t="s">
        <v>175</v>
      </c>
      <c r="I1765" s="3" t="str">
        <f t="shared" si="81"/>
        <v>2024-11</v>
      </c>
      <c r="J1765" s="1">
        <f t="shared" si="82"/>
        <v>45776</v>
      </c>
      <c r="K1765" t="str">
        <f t="shared" si="83"/>
        <v>ACTIVE</v>
      </c>
    </row>
    <row r="1766" spans="1:11">
      <c r="A1766">
        <v>1137</v>
      </c>
      <c r="B1766" t="s">
        <v>79</v>
      </c>
      <c r="C1766" s="1">
        <v>45662</v>
      </c>
      <c r="D1766" s="2" t="s">
        <v>23</v>
      </c>
      <c r="E1766" t="s">
        <v>34</v>
      </c>
      <c r="G1766" s="3">
        <v>874</v>
      </c>
      <c r="H1766" t="s">
        <v>172</v>
      </c>
      <c r="I1766" s="3" t="str">
        <f t="shared" si="81"/>
        <v>2025-01</v>
      </c>
      <c r="J1766" s="1">
        <f t="shared" si="82"/>
        <v>45782</v>
      </c>
      <c r="K1766" t="str">
        <f t="shared" si="83"/>
        <v>ACTIVE</v>
      </c>
    </row>
    <row r="1767" spans="1:11">
      <c r="A1767">
        <v>950</v>
      </c>
      <c r="B1767" t="s">
        <v>53</v>
      </c>
      <c r="C1767" s="1">
        <v>45635</v>
      </c>
      <c r="D1767" s="2" t="s">
        <v>27</v>
      </c>
      <c r="E1767" t="s">
        <v>32</v>
      </c>
      <c r="G1767" s="3">
        <v>712</v>
      </c>
      <c r="H1767" t="s">
        <v>175</v>
      </c>
      <c r="I1767" s="3" t="str">
        <f t="shared" si="81"/>
        <v>2024-12</v>
      </c>
      <c r="J1767" s="1">
        <f t="shared" si="82"/>
        <v>45779</v>
      </c>
      <c r="K1767" t="str">
        <f t="shared" si="83"/>
        <v>ACTIVE</v>
      </c>
    </row>
    <row r="1768" spans="1:11">
      <c r="A1768">
        <v>184</v>
      </c>
      <c r="B1768" t="s">
        <v>73</v>
      </c>
      <c r="C1768" s="1">
        <v>45572</v>
      </c>
      <c r="D1768" s="2" t="s">
        <v>25</v>
      </c>
      <c r="E1768" t="s">
        <v>35</v>
      </c>
      <c r="G1768" s="3">
        <v>9519</v>
      </c>
      <c r="H1768" t="s">
        <v>173</v>
      </c>
      <c r="I1768" s="3" t="str">
        <f t="shared" si="81"/>
        <v>2024-10</v>
      </c>
      <c r="J1768" s="1">
        <f t="shared" si="82"/>
        <v>45800</v>
      </c>
      <c r="K1768" t="str">
        <f t="shared" si="83"/>
        <v>ACTIVE</v>
      </c>
    </row>
    <row r="1769" spans="1:11">
      <c r="A1769">
        <v>1177</v>
      </c>
      <c r="B1769" t="s">
        <v>145</v>
      </c>
      <c r="C1769" s="1">
        <v>45828</v>
      </c>
      <c r="D1769" s="2" t="s">
        <v>27</v>
      </c>
      <c r="E1769" t="s">
        <v>30</v>
      </c>
      <c r="G1769" s="3">
        <v>1891</v>
      </c>
      <c r="H1769" t="s">
        <v>176</v>
      </c>
      <c r="I1769" s="3" t="str">
        <f t="shared" si="81"/>
        <v>2025-06</v>
      </c>
      <c r="J1769" s="1">
        <f t="shared" si="82"/>
        <v>45828</v>
      </c>
      <c r="K1769" t="str">
        <f t="shared" si="83"/>
        <v>ACTIVE</v>
      </c>
    </row>
    <row r="1770" spans="1:11">
      <c r="A1770">
        <v>1350</v>
      </c>
      <c r="B1770" t="s">
        <v>160</v>
      </c>
      <c r="C1770" s="1">
        <v>45597</v>
      </c>
      <c r="D1770" s="2" t="s">
        <v>27</v>
      </c>
      <c r="E1770" t="s">
        <v>35</v>
      </c>
      <c r="G1770" s="3">
        <v>2361</v>
      </c>
      <c r="H1770" t="s">
        <v>176</v>
      </c>
      <c r="I1770" s="3" t="str">
        <f t="shared" si="81"/>
        <v>2024-11</v>
      </c>
      <c r="J1770" s="1">
        <f t="shared" si="82"/>
        <v>45734</v>
      </c>
      <c r="K1770" t="str">
        <f t="shared" si="83"/>
        <v>LAPSED</v>
      </c>
    </row>
    <row r="1771" spans="1:11">
      <c r="A1771">
        <v>1728</v>
      </c>
      <c r="B1771" t="s">
        <v>102</v>
      </c>
      <c r="C1771" s="1">
        <v>45307</v>
      </c>
      <c r="D1771" s="2" t="s">
        <v>27</v>
      </c>
      <c r="E1771" t="s">
        <v>35</v>
      </c>
      <c r="G1771" s="3">
        <v>767</v>
      </c>
      <c r="H1771" t="s">
        <v>175</v>
      </c>
      <c r="I1771" s="3" t="str">
        <f t="shared" si="81"/>
        <v>2024-01</v>
      </c>
      <c r="J1771" s="1">
        <f t="shared" si="82"/>
        <v>45793</v>
      </c>
      <c r="K1771" t="str">
        <f t="shared" si="83"/>
        <v>ACTIVE</v>
      </c>
    </row>
    <row r="1772" spans="1:11">
      <c r="A1772">
        <v>1069</v>
      </c>
      <c r="B1772" t="s">
        <v>66</v>
      </c>
      <c r="C1772" s="1">
        <v>45391</v>
      </c>
      <c r="D1772" s="2" t="s">
        <v>24</v>
      </c>
      <c r="E1772" t="s">
        <v>32</v>
      </c>
      <c r="G1772" s="3">
        <v>4097</v>
      </c>
      <c r="H1772" t="s">
        <v>175</v>
      </c>
      <c r="I1772" s="3" t="str">
        <f t="shared" si="81"/>
        <v>2024-04</v>
      </c>
      <c r="J1772" s="1">
        <f t="shared" si="82"/>
        <v>45802</v>
      </c>
      <c r="K1772" t="str">
        <f t="shared" si="83"/>
        <v>ACTIVE</v>
      </c>
    </row>
    <row r="1773" spans="1:11">
      <c r="A1773">
        <v>1469</v>
      </c>
      <c r="B1773" t="s">
        <v>68</v>
      </c>
      <c r="C1773" s="1">
        <v>45616</v>
      </c>
      <c r="D1773" s="2" t="s">
        <v>24</v>
      </c>
      <c r="E1773" t="s">
        <v>35</v>
      </c>
      <c r="G1773" s="3">
        <v>688</v>
      </c>
      <c r="H1773" t="s">
        <v>176</v>
      </c>
      <c r="I1773" s="3" t="str">
        <f t="shared" si="81"/>
        <v>2024-11</v>
      </c>
      <c r="J1773" s="1">
        <f t="shared" si="82"/>
        <v>45776</v>
      </c>
      <c r="K1773" t="str">
        <f t="shared" si="83"/>
        <v>ACTIVE</v>
      </c>
    </row>
    <row r="1774" spans="1:11">
      <c r="A1774">
        <v>1031</v>
      </c>
      <c r="B1774" t="s">
        <v>47</v>
      </c>
      <c r="C1774" s="1">
        <v>45658</v>
      </c>
      <c r="D1774" s="2" t="s">
        <v>27</v>
      </c>
      <c r="E1774" t="s">
        <v>31</v>
      </c>
      <c r="G1774" s="3">
        <v>1014</v>
      </c>
      <c r="H1774" t="s">
        <v>172</v>
      </c>
      <c r="I1774" s="3" t="str">
        <f t="shared" si="81"/>
        <v>2025-01</v>
      </c>
      <c r="J1774" s="1">
        <f t="shared" si="82"/>
        <v>45792</v>
      </c>
      <c r="K1774" t="str">
        <f t="shared" si="83"/>
        <v>ACTIVE</v>
      </c>
    </row>
    <row r="1775" spans="1:11">
      <c r="A1775">
        <v>251</v>
      </c>
      <c r="B1775" t="s">
        <v>106</v>
      </c>
      <c r="C1775" s="1">
        <v>45469</v>
      </c>
      <c r="D1775" s="2" t="s">
        <v>27</v>
      </c>
      <c r="E1775" t="s">
        <v>32</v>
      </c>
      <c r="G1775" s="3">
        <v>2140</v>
      </c>
      <c r="H1775" t="s">
        <v>174</v>
      </c>
      <c r="I1775" s="3" t="str">
        <f t="shared" si="81"/>
        <v>2024-06</v>
      </c>
      <c r="J1775" s="1">
        <f t="shared" si="82"/>
        <v>45760</v>
      </c>
      <c r="K1775" t="str">
        <f t="shared" si="83"/>
        <v>ACTIVE</v>
      </c>
    </row>
    <row r="1776" spans="1:11">
      <c r="A1776">
        <v>824</v>
      </c>
      <c r="B1776" t="s">
        <v>160</v>
      </c>
      <c r="C1776" s="1">
        <v>45461</v>
      </c>
      <c r="D1776" s="2" t="s">
        <v>28</v>
      </c>
      <c r="E1776" t="s">
        <v>31</v>
      </c>
      <c r="G1776" s="3">
        <v>2501</v>
      </c>
      <c r="H1776" t="s">
        <v>175</v>
      </c>
      <c r="I1776" s="3" t="str">
        <f t="shared" si="81"/>
        <v>2024-06</v>
      </c>
      <c r="J1776" s="1">
        <f t="shared" si="82"/>
        <v>45734</v>
      </c>
      <c r="K1776" t="str">
        <f t="shared" si="83"/>
        <v>LAPSED</v>
      </c>
    </row>
    <row r="1777" spans="1:11">
      <c r="A1777">
        <v>1100</v>
      </c>
      <c r="B1777" t="s">
        <v>54</v>
      </c>
      <c r="C1777" s="1">
        <v>45595</v>
      </c>
      <c r="D1777" s="2" t="s">
        <v>28</v>
      </c>
      <c r="E1777" t="s">
        <v>31</v>
      </c>
      <c r="G1777" s="3">
        <v>2522</v>
      </c>
      <c r="H1777" t="s">
        <v>175</v>
      </c>
      <c r="I1777" s="3" t="str">
        <f t="shared" si="81"/>
        <v>2024-10</v>
      </c>
      <c r="J1777" s="1">
        <f t="shared" si="82"/>
        <v>45825</v>
      </c>
      <c r="K1777" t="str">
        <f t="shared" si="83"/>
        <v>ACTIVE</v>
      </c>
    </row>
    <row r="1778" spans="1:11">
      <c r="A1778">
        <v>1537</v>
      </c>
      <c r="B1778" t="s">
        <v>52</v>
      </c>
      <c r="C1778" s="1">
        <v>45585</v>
      </c>
      <c r="D1778" s="2" t="s">
        <v>23</v>
      </c>
      <c r="E1778" t="s">
        <v>31</v>
      </c>
      <c r="G1778" s="3">
        <v>1785</v>
      </c>
      <c r="H1778" t="s">
        <v>175</v>
      </c>
      <c r="I1778" s="3" t="str">
        <f t="shared" si="81"/>
        <v>2024-10</v>
      </c>
      <c r="J1778" s="1">
        <f t="shared" si="82"/>
        <v>45811</v>
      </c>
      <c r="K1778" t="str">
        <f t="shared" si="83"/>
        <v>ACTIVE</v>
      </c>
    </row>
    <row r="1779" spans="1:11">
      <c r="A1779">
        <v>941</v>
      </c>
      <c r="B1779" t="s">
        <v>53</v>
      </c>
      <c r="C1779" s="1">
        <v>45779</v>
      </c>
      <c r="D1779" s="2" t="s">
        <v>24</v>
      </c>
      <c r="E1779" t="s">
        <v>32</v>
      </c>
      <c r="G1779" s="3">
        <v>509</v>
      </c>
      <c r="H1779" t="s">
        <v>173</v>
      </c>
      <c r="I1779" s="3" t="str">
        <f t="shared" si="81"/>
        <v>2025-05</v>
      </c>
      <c r="J1779" s="1">
        <f t="shared" si="82"/>
        <v>45779</v>
      </c>
      <c r="K1779" t="str">
        <f t="shared" si="83"/>
        <v>ACTIVE</v>
      </c>
    </row>
    <row r="1780" spans="1:11">
      <c r="A1780">
        <v>392</v>
      </c>
      <c r="B1780" t="s">
        <v>76</v>
      </c>
      <c r="C1780" s="1">
        <v>45379</v>
      </c>
      <c r="D1780" s="2" t="s">
        <v>27</v>
      </c>
      <c r="E1780" t="s">
        <v>30</v>
      </c>
      <c r="G1780" s="3">
        <v>4423</v>
      </c>
      <c r="H1780" t="s">
        <v>175</v>
      </c>
      <c r="I1780" s="3" t="str">
        <f t="shared" si="81"/>
        <v>2024-03</v>
      </c>
      <c r="J1780" s="1">
        <f t="shared" si="82"/>
        <v>45792</v>
      </c>
      <c r="K1780" t="str">
        <f t="shared" si="83"/>
        <v>ACTIVE</v>
      </c>
    </row>
    <row r="1781" spans="1:11">
      <c r="A1781">
        <v>1457</v>
      </c>
      <c r="B1781" t="s">
        <v>131</v>
      </c>
      <c r="C1781" s="1">
        <v>45605</v>
      </c>
      <c r="D1781" s="2" t="s">
        <v>23</v>
      </c>
      <c r="E1781" t="s">
        <v>30</v>
      </c>
      <c r="G1781" s="3">
        <v>499</v>
      </c>
      <c r="H1781" t="s">
        <v>175</v>
      </c>
      <c r="I1781" s="3" t="str">
        <f t="shared" si="81"/>
        <v>2024-11</v>
      </c>
      <c r="J1781" s="1">
        <f t="shared" si="82"/>
        <v>45807</v>
      </c>
      <c r="K1781" t="str">
        <f t="shared" si="83"/>
        <v>ACTIVE</v>
      </c>
    </row>
    <row r="1782" spans="1:11">
      <c r="A1782">
        <v>1093</v>
      </c>
      <c r="B1782" t="s">
        <v>84</v>
      </c>
      <c r="C1782" s="1">
        <v>45542</v>
      </c>
      <c r="D1782" s="2" t="s">
        <v>25</v>
      </c>
      <c r="E1782" t="s">
        <v>32</v>
      </c>
      <c r="G1782" s="3">
        <v>885</v>
      </c>
      <c r="H1782" t="s">
        <v>175</v>
      </c>
      <c r="I1782" s="3" t="str">
        <f t="shared" si="81"/>
        <v>2024-09</v>
      </c>
      <c r="J1782" s="1">
        <f t="shared" si="82"/>
        <v>45827</v>
      </c>
      <c r="K1782" t="str">
        <f t="shared" si="83"/>
        <v>ACTIVE</v>
      </c>
    </row>
    <row r="1783" spans="1:11">
      <c r="A1783">
        <v>1192</v>
      </c>
      <c r="B1783" t="s">
        <v>113</v>
      </c>
      <c r="C1783" s="1">
        <v>45512</v>
      </c>
      <c r="D1783" s="2" t="s">
        <v>23</v>
      </c>
      <c r="E1783" t="s">
        <v>32</v>
      </c>
      <c r="G1783" s="3">
        <v>2107</v>
      </c>
      <c r="H1783" t="s">
        <v>172</v>
      </c>
      <c r="I1783" s="3" t="str">
        <f t="shared" si="81"/>
        <v>2024-08</v>
      </c>
      <c r="J1783" s="1">
        <f t="shared" si="82"/>
        <v>45788</v>
      </c>
      <c r="K1783" t="str">
        <f t="shared" si="83"/>
        <v>ACTIVE</v>
      </c>
    </row>
    <row r="1784" spans="1:11">
      <c r="A1784">
        <v>905</v>
      </c>
      <c r="B1784" t="s">
        <v>47</v>
      </c>
      <c r="C1784" s="1">
        <v>45484</v>
      </c>
      <c r="D1784" s="2" t="s">
        <v>27</v>
      </c>
      <c r="E1784" t="s">
        <v>34</v>
      </c>
      <c r="G1784" s="3">
        <v>674</v>
      </c>
      <c r="H1784" t="s">
        <v>173</v>
      </c>
      <c r="I1784" s="3" t="str">
        <f t="shared" si="81"/>
        <v>2024-07</v>
      </c>
      <c r="J1784" s="1">
        <f t="shared" si="82"/>
        <v>45792</v>
      </c>
      <c r="K1784" t="str">
        <f t="shared" si="83"/>
        <v>ACTIVE</v>
      </c>
    </row>
    <row r="1785" spans="1:11">
      <c r="A1785">
        <v>731</v>
      </c>
      <c r="B1785" t="s">
        <v>130</v>
      </c>
      <c r="C1785" s="1">
        <v>45427</v>
      </c>
      <c r="D1785" s="2" t="s">
        <v>27</v>
      </c>
      <c r="E1785" t="s">
        <v>35</v>
      </c>
      <c r="G1785" s="3">
        <v>331</v>
      </c>
      <c r="H1785" t="s">
        <v>173</v>
      </c>
      <c r="I1785" s="3" t="str">
        <f t="shared" si="81"/>
        <v>2024-05</v>
      </c>
      <c r="J1785" s="1">
        <f t="shared" si="82"/>
        <v>45828</v>
      </c>
      <c r="K1785" t="str">
        <f t="shared" si="83"/>
        <v>ACTIVE</v>
      </c>
    </row>
    <row r="1786" spans="1:11">
      <c r="A1786">
        <v>555</v>
      </c>
      <c r="B1786" t="s">
        <v>56</v>
      </c>
      <c r="C1786" s="1">
        <v>45378</v>
      </c>
      <c r="D1786" s="2" t="s">
        <v>23</v>
      </c>
      <c r="E1786" t="s">
        <v>33</v>
      </c>
      <c r="G1786" s="3">
        <v>330</v>
      </c>
      <c r="H1786" t="s">
        <v>173</v>
      </c>
      <c r="I1786" s="3" t="str">
        <f t="shared" si="81"/>
        <v>2024-03</v>
      </c>
      <c r="J1786" s="1">
        <f t="shared" si="82"/>
        <v>45805</v>
      </c>
      <c r="K1786" t="str">
        <f t="shared" si="83"/>
        <v>ACTIVE</v>
      </c>
    </row>
    <row r="1787" spans="1:11">
      <c r="A1787">
        <v>367</v>
      </c>
      <c r="B1787" t="s">
        <v>55</v>
      </c>
      <c r="C1787" s="1">
        <v>45796</v>
      </c>
      <c r="D1787" s="2" t="s">
        <v>28</v>
      </c>
      <c r="E1787" t="s">
        <v>34</v>
      </c>
      <c r="G1787" s="3">
        <v>2611</v>
      </c>
      <c r="H1787" t="s">
        <v>172</v>
      </c>
      <c r="I1787" s="3" t="str">
        <f t="shared" si="81"/>
        <v>2025-05</v>
      </c>
      <c r="J1787" s="1">
        <f t="shared" si="82"/>
        <v>45824</v>
      </c>
      <c r="K1787" t="str">
        <f t="shared" si="83"/>
        <v>ACTIVE</v>
      </c>
    </row>
    <row r="1788" spans="1:11">
      <c r="A1788">
        <v>346</v>
      </c>
      <c r="B1788" t="s">
        <v>94</v>
      </c>
      <c r="C1788" s="1">
        <v>45589</v>
      </c>
      <c r="D1788" s="2" t="s">
        <v>23</v>
      </c>
      <c r="E1788" t="s">
        <v>35</v>
      </c>
      <c r="G1788" s="3">
        <v>9351</v>
      </c>
      <c r="H1788" t="s">
        <v>172</v>
      </c>
      <c r="I1788" s="3" t="str">
        <f t="shared" si="81"/>
        <v>2024-10</v>
      </c>
      <c r="J1788" s="1">
        <f t="shared" si="82"/>
        <v>45824</v>
      </c>
      <c r="K1788" t="str">
        <f t="shared" si="83"/>
        <v>ACTIVE</v>
      </c>
    </row>
    <row r="1789" spans="1:11">
      <c r="A1789">
        <v>1609</v>
      </c>
      <c r="B1789" t="s">
        <v>56</v>
      </c>
      <c r="C1789" s="1">
        <v>45794</v>
      </c>
      <c r="D1789" s="2" t="s">
        <v>28</v>
      </c>
      <c r="E1789" t="s">
        <v>30</v>
      </c>
      <c r="G1789" s="3">
        <v>1938</v>
      </c>
      <c r="H1789" t="s">
        <v>173</v>
      </c>
      <c r="I1789" s="3" t="str">
        <f t="shared" si="81"/>
        <v>2025-05</v>
      </c>
      <c r="J1789" s="1">
        <f t="shared" si="82"/>
        <v>45805</v>
      </c>
      <c r="K1789" t="str">
        <f t="shared" si="83"/>
        <v>ACTIVE</v>
      </c>
    </row>
    <row r="1790" spans="1:11">
      <c r="A1790">
        <v>536</v>
      </c>
      <c r="B1790" t="s">
        <v>155</v>
      </c>
      <c r="C1790" s="1">
        <v>45401</v>
      </c>
      <c r="D1790" s="2" t="s">
        <v>23</v>
      </c>
      <c r="E1790" t="s">
        <v>30</v>
      </c>
      <c r="G1790" s="3">
        <v>1117</v>
      </c>
      <c r="H1790" t="s">
        <v>175</v>
      </c>
      <c r="I1790" s="3" t="str">
        <f t="shared" si="81"/>
        <v>2024-04</v>
      </c>
      <c r="J1790" s="1">
        <f t="shared" si="82"/>
        <v>45698</v>
      </c>
      <c r="K1790" t="str">
        <f t="shared" si="83"/>
        <v>LAPSED</v>
      </c>
    </row>
    <row r="1791" spans="1:11">
      <c r="A1791">
        <v>1423</v>
      </c>
      <c r="B1791" t="s">
        <v>98</v>
      </c>
      <c r="C1791" s="1">
        <v>45550</v>
      </c>
      <c r="D1791" s="2" t="s">
        <v>28</v>
      </c>
      <c r="E1791" t="s">
        <v>32</v>
      </c>
      <c r="G1791" s="3">
        <v>285</v>
      </c>
      <c r="H1791" t="s">
        <v>172</v>
      </c>
      <c r="I1791" s="3" t="str">
        <f t="shared" si="81"/>
        <v>2024-09</v>
      </c>
      <c r="J1791" s="1">
        <f t="shared" si="82"/>
        <v>45767</v>
      </c>
      <c r="K1791" t="str">
        <f t="shared" si="83"/>
        <v>ACTIVE</v>
      </c>
    </row>
    <row r="1792" spans="1:11">
      <c r="A1792">
        <v>1210</v>
      </c>
      <c r="B1792" t="s">
        <v>159</v>
      </c>
      <c r="C1792" s="1">
        <v>45681</v>
      </c>
      <c r="D1792" s="2" t="s">
        <v>28</v>
      </c>
      <c r="E1792" t="s">
        <v>32</v>
      </c>
      <c r="G1792" s="3">
        <v>942</v>
      </c>
      <c r="H1792" t="s">
        <v>174</v>
      </c>
      <c r="I1792" s="3" t="str">
        <f t="shared" si="81"/>
        <v>2025-01</v>
      </c>
      <c r="J1792" s="1">
        <f t="shared" si="82"/>
        <v>45713</v>
      </c>
      <c r="K1792" t="str">
        <f t="shared" si="83"/>
        <v>LAPSED</v>
      </c>
    </row>
    <row r="1793" spans="1:11">
      <c r="A1793">
        <v>1373</v>
      </c>
      <c r="B1793" t="s">
        <v>43</v>
      </c>
      <c r="C1793" s="1">
        <v>45681</v>
      </c>
      <c r="D1793" s="2" t="s">
        <v>28</v>
      </c>
      <c r="E1793" t="s">
        <v>34</v>
      </c>
      <c r="G1793" s="3">
        <v>270</v>
      </c>
      <c r="H1793" t="s">
        <v>176</v>
      </c>
      <c r="I1793" s="3" t="str">
        <f t="shared" si="81"/>
        <v>2025-01</v>
      </c>
      <c r="J1793" s="1">
        <f t="shared" si="82"/>
        <v>45818</v>
      </c>
      <c r="K1793" t="str">
        <f t="shared" si="83"/>
        <v>ACTIVE</v>
      </c>
    </row>
    <row r="1794" spans="1:11">
      <c r="A1794">
        <v>1640</v>
      </c>
      <c r="B1794" t="s">
        <v>139</v>
      </c>
      <c r="C1794" s="1">
        <v>45509</v>
      </c>
      <c r="D1794" s="2" t="s">
        <v>25</v>
      </c>
      <c r="E1794" t="s">
        <v>31</v>
      </c>
      <c r="G1794" s="3">
        <v>1155</v>
      </c>
      <c r="H1794" t="s">
        <v>172</v>
      </c>
      <c r="I1794" s="3" t="str">
        <f t="shared" si="81"/>
        <v>2024-08</v>
      </c>
      <c r="J1794" s="1">
        <f t="shared" si="82"/>
        <v>45830</v>
      </c>
      <c r="K1794" t="str">
        <f t="shared" si="83"/>
        <v>ACTIVE</v>
      </c>
    </row>
    <row r="1795" spans="1:11">
      <c r="A1795">
        <v>920</v>
      </c>
      <c r="B1795" t="s">
        <v>83</v>
      </c>
      <c r="C1795" s="1">
        <v>45726</v>
      </c>
      <c r="D1795" s="2" t="s">
        <v>25</v>
      </c>
      <c r="E1795" t="s">
        <v>30</v>
      </c>
      <c r="G1795" s="3">
        <v>1065</v>
      </c>
      <c r="H1795" t="s">
        <v>176</v>
      </c>
      <c r="I1795" s="3" t="str">
        <f t="shared" ref="I1795:I1801" si="84">TEXT(C1795, "yyyy-mm")</f>
        <v>2025-03</v>
      </c>
      <c r="J1795" s="1">
        <f t="shared" ref="J1795:J1801" si="85">_xlfn.MAXIFS(C:C, B:B, B1795)</f>
        <v>45816</v>
      </c>
      <c r="K1795" t="str">
        <f t="shared" ref="K1795:K1802" si="86">IF($L$3-J1795&gt;90, "LAPSED","ACTIVE")</f>
        <v>ACTIVE</v>
      </c>
    </row>
    <row r="1796" spans="1:11">
      <c r="A1796">
        <v>212</v>
      </c>
      <c r="B1796" t="s">
        <v>62</v>
      </c>
      <c r="C1796" s="1">
        <v>45366</v>
      </c>
      <c r="D1796" s="2" t="s">
        <v>26</v>
      </c>
      <c r="E1796" t="s">
        <v>30</v>
      </c>
      <c r="G1796" s="3">
        <v>8868</v>
      </c>
      <c r="H1796" t="s">
        <v>172</v>
      </c>
      <c r="I1796" s="3" t="str">
        <f t="shared" si="84"/>
        <v>2024-03</v>
      </c>
      <c r="J1796" s="1">
        <f t="shared" si="85"/>
        <v>45815</v>
      </c>
      <c r="K1796" t="str">
        <f t="shared" si="86"/>
        <v>ACTIVE</v>
      </c>
    </row>
    <row r="1797" spans="1:11">
      <c r="A1797">
        <v>1604</v>
      </c>
      <c r="B1797" t="s">
        <v>156</v>
      </c>
      <c r="C1797" s="1">
        <v>45637</v>
      </c>
      <c r="D1797" s="2" t="s">
        <v>24</v>
      </c>
      <c r="E1797" t="s">
        <v>30</v>
      </c>
      <c r="G1797" s="3">
        <v>2541</v>
      </c>
      <c r="H1797" t="s">
        <v>174</v>
      </c>
      <c r="I1797" s="3" t="str">
        <f t="shared" si="84"/>
        <v>2024-12</v>
      </c>
      <c r="J1797" s="1">
        <f t="shared" si="85"/>
        <v>45738</v>
      </c>
      <c r="K1797" t="str">
        <f t="shared" si="86"/>
        <v>LAPSED</v>
      </c>
    </row>
    <row r="1798" spans="1:11">
      <c r="A1798">
        <v>503</v>
      </c>
      <c r="B1798" t="s">
        <v>74</v>
      </c>
      <c r="C1798" s="1">
        <v>45724</v>
      </c>
      <c r="D1798" s="2" t="s">
        <v>23</v>
      </c>
      <c r="E1798" t="s">
        <v>34</v>
      </c>
      <c r="G1798" s="3">
        <v>11615</v>
      </c>
      <c r="H1798" t="s">
        <v>173</v>
      </c>
      <c r="I1798" s="3" t="str">
        <f t="shared" si="84"/>
        <v>2025-03</v>
      </c>
      <c r="J1798" s="1">
        <f t="shared" si="85"/>
        <v>45773</v>
      </c>
      <c r="K1798" t="str">
        <f t="shared" si="86"/>
        <v>ACTIVE</v>
      </c>
    </row>
    <row r="1799" spans="1:11">
      <c r="A1799">
        <v>538</v>
      </c>
      <c r="B1799" t="s">
        <v>60</v>
      </c>
      <c r="C1799" s="1">
        <v>45533</v>
      </c>
      <c r="D1799" s="2" t="s">
        <v>25</v>
      </c>
      <c r="E1799" t="s">
        <v>30</v>
      </c>
      <c r="G1799" s="3">
        <v>254</v>
      </c>
      <c r="H1799" t="s">
        <v>175</v>
      </c>
      <c r="I1799" s="3" t="str">
        <f t="shared" si="84"/>
        <v>2024-08</v>
      </c>
      <c r="J1799" s="1">
        <f t="shared" si="85"/>
        <v>45801</v>
      </c>
      <c r="K1799" t="str">
        <f t="shared" si="86"/>
        <v>ACTIVE</v>
      </c>
    </row>
    <row r="1800" spans="1:11">
      <c r="A1800">
        <v>1221</v>
      </c>
      <c r="B1800" t="s">
        <v>128</v>
      </c>
      <c r="C1800" s="1">
        <v>45327</v>
      </c>
      <c r="D1800" s="2" t="s">
        <v>28</v>
      </c>
      <c r="E1800" t="s">
        <v>30</v>
      </c>
      <c r="G1800" s="3">
        <v>559</v>
      </c>
      <c r="H1800" t="s">
        <v>172</v>
      </c>
      <c r="I1800" s="3" t="str">
        <f t="shared" si="84"/>
        <v>2024-02</v>
      </c>
      <c r="J1800" s="1">
        <f t="shared" si="85"/>
        <v>45812</v>
      </c>
      <c r="K1800" t="str">
        <f t="shared" si="86"/>
        <v>ACTIVE</v>
      </c>
    </row>
    <row r="1801" spans="1:11">
      <c r="A1801">
        <v>176</v>
      </c>
      <c r="B1801" t="s">
        <v>100</v>
      </c>
      <c r="C1801" s="1">
        <v>45703</v>
      </c>
      <c r="D1801" s="2" t="s">
        <v>25</v>
      </c>
      <c r="E1801" t="s">
        <v>34</v>
      </c>
      <c r="G1801" s="3">
        <v>427</v>
      </c>
      <c r="H1801" t="s">
        <v>174</v>
      </c>
      <c r="I1801" s="3" t="str">
        <f t="shared" si="84"/>
        <v>2025-02</v>
      </c>
      <c r="J1801" s="1">
        <f t="shared" si="85"/>
        <v>45779</v>
      </c>
      <c r="K1801" t="str">
        <f t="shared" si="86"/>
        <v>ACTIVE</v>
      </c>
    </row>
    <row r="1802" spans="1:11">
      <c r="C1802"/>
    </row>
    <row r="1803" spans="1:11">
      <c r="C1803"/>
    </row>
    <row r="1804" spans="1:11">
      <c r="C1804"/>
    </row>
    <row r="1805" spans="1:11">
      <c r="C1805"/>
    </row>
    <row r="1806" spans="1:11">
      <c r="C1806"/>
    </row>
    <row r="1807" spans="1:11">
      <c r="C1807"/>
    </row>
    <row r="1808" spans="1:11">
      <c r="C1808"/>
    </row>
    <row r="1809" spans="3:3">
      <c r="C1809"/>
    </row>
    <row r="1810" spans="3:3">
      <c r="C1810"/>
    </row>
    <row r="1811" spans="3:3">
      <c r="C1811"/>
    </row>
    <row r="1812" spans="3:3">
      <c r="C1812"/>
    </row>
    <row r="1813" spans="3:3">
      <c r="C1813"/>
    </row>
    <row r="1814" spans="3:3">
      <c r="C1814"/>
    </row>
    <row r="1815" spans="3:3">
      <c r="C1815"/>
    </row>
    <row r="1816" spans="3:3">
      <c r="C18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CB76-E3BE-4312-84C5-D54140CFBE55}">
  <dimension ref="B9:P50"/>
  <sheetViews>
    <sheetView showGridLines="0" workbookViewId="0"/>
  </sheetViews>
  <sheetFormatPr defaultRowHeight="15"/>
  <cols>
    <col min="2" max="2" width="11.140625" bestFit="1" customWidth="1"/>
    <col min="3" max="3" width="36.5703125" bestFit="1" customWidth="1"/>
    <col min="9" max="9" width="11.140625" bestFit="1" customWidth="1"/>
    <col min="10" max="10" width="13.5703125" bestFit="1" customWidth="1"/>
    <col min="11" max="11" width="20.42578125" bestFit="1" customWidth="1"/>
    <col min="12" max="12" width="15.28515625" bestFit="1" customWidth="1"/>
  </cols>
  <sheetData>
    <row r="9" spans="2:16" ht="15" customHeight="1">
      <c r="B9" s="13">
        <f>Raw_Data!P2</f>
        <v>4694553</v>
      </c>
      <c r="C9" s="9"/>
      <c r="D9" s="9"/>
      <c r="F9" s="9">
        <v>115</v>
      </c>
      <c r="G9" s="9"/>
      <c r="H9" s="9"/>
      <c r="J9" s="15">
        <f>115/123</f>
        <v>0.93495934959349591</v>
      </c>
      <c r="K9" s="16"/>
      <c r="L9" s="16"/>
      <c r="N9" s="18">
        <f>AVERAGEIF(Raw_Data!G:G,"&lt;&gt;0")</f>
        <v>2650.7922077922076</v>
      </c>
      <c r="O9" s="18"/>
      <c r="P9" s="18"/>
    </row>
    <row r="10" spans="2:16" ht="15" customHeight="1">
      <c r="B10" s="9"/>
      <c r="C10" s="9"/>
      <c r="D10" s="9"/>
      <c r="F10" s="9"/>
      <c r="G10" s="9"/>
      <c r="H10" s="9"/>
      <c r="J10" s="16"/>
      <c r="K10" s="16"/>
      <c r="L10" s="16"/>
      <c r="N10" s="18"/>
      <c r="O10" s="18"/>
      <c r="P10" s="18"/>
    </row>
    <row r="11" spans="2:16" ht="15" customHeight="1">
      <c r="B11" s="9"/>
      <c r="C11" s="9"/>
      <c r="D11" s="9"/>
      <c r="F11" s="9"/>
      <c r="G11" s="9"/>
      <c r="H11" s="9"/>
      <c r="J11" s="16"/>
      <c r="K11" s="16"/>
      <c r="L11" s="16"/>
      <c r="N11" s="18"/>
      <c r="O11" s="18"/>
      <c r="P11" s="18"/>
    </row>
    <row r="12" spans="2:16" ht="15" customHeight="1">
      <c r="B12" s="9"/>
      <c r="C12" s="9"/>
      <c r="D12" s="9"/>
      <c r="F12" s="9"/>
      <c r="G12" s="9"/>
      <c r="H12" s="9"/>
      <c r="J12" s="16"/>
      <c r="K12" s="16"/>
      <c r="L12" s="16"/>
      <c r="N12" s="18"/>
      <c r="O12" s="18"/>
      <c r="P12" s="18"/>
    </row>
    <row r="13" spans="2:16">
      <c r="B13" s="10" t="s">
        <v>177</v>
      </c>
      <c r="C13" s="10"/>
      <c r="D13" s="10"/>
      <c r="F13" s="14" t="s">
        <v>178</v>
      </c>
      <c r="G13" s="14"/>
      <c r="H13" s="14"/>
      <c r="J13" s="17" t="s">
        <v>179</v>
      </c>
      <c r="K13" s="17"/>
      <c r="L13" s="17"/>
      <c r="N13" s="10" t="s">
        <v>180</v>
      </c>
      <c r="O13" s="10"/>
      <c r="P13" s="10"/>
    </row>
    <row r="14" spans="2:16" ht="36">
      <c r="C14" s="7"/>
    </row>
    <row r="15" spans="2:16">
      <c r="B15" s="11" t="s">
        <v>181</v>
      </c>
      <c r="C15" s="11"/>
      <c r="D15" s="11"/>
      <c r="E15" s="11"/>
      <c r="F15" s="11"/>
      <c r="G15" s="11"/>
      <c r="H15" s="11"/>
      <c r="J15" s="12" t="s">
        <v>182</v>
      </c>
      <c r="K15" s="12"/>
      <c r="L15" s="12"/>
    </row>
    <row r="16" spans="2:16">
      <c r="J16" t="s">
        <v>183</v>
      </c>
      <c r="K16" s="1" t="s">
        <v>184</v>
      </c>
      <c r="L16" t="s">
        <v>185</v>
      </c>
    </row>
    <row r="17" spans="5:12">
      <c r="J17" t="s">
        <v>153</v>
      </c>
      <c r="K17" s="1">
        <f>_xlfn.MAXIFS(Raw_Data!C:C, Raw_Data!B:B, J17)</f>
        <v>45690</v>
      </c>
      <c r="L17" s="6">
        <v>37163</v>
      </c>
    </row>
    <row r="18" spans="5:12">
      <c r="J18" t="s">
        <v>154</v>
      </c>
      <c r="K18" s="1">
        <f>_xlfn.MAXIFS(Raw_Data!C:C, Raw_Data!B:B, J18)</f>
        <v>45725</v>
      </c>
      <c r="L18" s="6">
        <v>30647</v>
      </c>
    </row>
    <row r="19" spans="5:12">
      <c r="J19" t="s">
        <v>155</v>
      </c>
      <c r="K19" s="1">
        <f>_xlfn.MAXIFS(Raw_Data!C:C, Raw_Data!B:B, J19)</f>
        <v>45698</v>
      </c>
      <c r="L19" s="6">
        <v>29863</v>
      </c>
    </row>
    <row r="20" spans="5:12">
      <c r="J20" t="s">
        <v>156</v>
      </c>
      <c r="K20" s="1">
        <f>_xlfn.MAXIFS(Raw_Data!C:C, Raw_Data!B:B, J20)</f>
        <v>45738</v>
      </c>
      <c r="L20" s="6">
        <v>36670</v>
      </c>
    </row>
    <row r="21" spans="5:12">
      <c r="J21" t="s">
        <v>157</v>
      </c>
      <c r="K21" s="1">
        <f>_xlfn.MAXIFS(Raw_Data!C:C, Raw_Data!B:B, J21)</f>
        <v>45729</v>
      </c>
      <c r="L21" s="6">
        <v>76761</v>
      </c>
    </row>
    <row r="22" spans="5:12">
      <c r="J22" t="s">
        <v>158</v>
      </c>
      <c r="K22" s="1">
        <f>_xlfn.MAXIFS(Raw_Data!C:C, Raw_Data!B:B, J22)</f>
        <v>45740</v>
      </c>
      <c r="L22" s="6">
        <v>54550</v>
      </c>
    </row>
    <row r="23" spans="5:12">
      <c r="J23" t="s">
        <v>159</v>
      </c>
      <c r="K23" s="1">
        <f>_xlfn.MAXIFS(Raw_Data!C:C, Raw_Data!B:B, J23)</f>
        <v>45713</v>
      </c>
      <c r="L23" s="6">
        <v>38502</v>
      </c>
    </row>
    <row r="24" spans="5:12">
      <c r="J24" t="s">
        <v>160</v>
      </c>
      <c r="K24" s="1">
        <f>_xlfn.MAXIFS(Raw_Data!C:C, Raw_Data!B:B, J24)</f>
        <v>45734</v>
      </c>
      <c r="L24" s="6">
        <v>63662</v>
      </c>
    </row>
    <row r="32" spans="5:12">
      <c r="E32" s="11" t="s">
        <v>186</v>
      </c>
      <c r="F32" s="11"/>
      <c r="G32" s="11"/>
      <c r="H32" s="11"/>
      <c r="I32" s="11"/>
      <c r="J32" s="11"/>
      <c r="K32" s="11"/>
    </row>
    <row r="33" spans="2:3">
      <c r="B33" t="s">
        <v>187</v>
      </c>
      <c r="C33" s="8" t="s">
        <v>177</v>
      </c>
    </row>
    <row r="34" spans="2:3">
      <c r="B34" t="s">
        <v>188</v>
      </c>
      <c r="C34" s="2">
        <f>SUMIFS(Raw_Data!G:G, Raw_Data!D:D, "North")</f>
        <v>989801</v>
      </c>
    </row>
    <row r="35" spans="2:3">
      <c r="B35" t="s">
        <v>189</v>
      </c>
      <c r="C35" s="2">
        <f>SUMIFS(Raw_Data!G:G, Raw_Data!D:D, "West")</f>
        <v>947538</v>
      </c>
    </row>
    <row r="36" spans="2:3">
      <c r="B36" t="s">
        <v>190</v>
      </c>
      <c r="C36" s="2">
        <f>SUMIFS(Raw_Data!G:G, Raw_Data!D:D, "East")</f>
        <v>755171</v>
      </c>
    </row>
    <row r="37" spans="2:3">
      <c r="B37" t="s">
        <v>191</v>
      </c>
      <c r="C37" s="2">
        <f>SUMIFS(Raw_Data!G:G, Raw_Data!D:D, "South")</f>
        <v>829556</v>
      </c>
    </row>
    <row r="38" spans="2:3">
      <c r="B38" t="s">
        <v>192</v>
      </c>
      <c r="C38" s="2">
        <f>SUMIFS(Raw_Data!G:G, Raw_Data!D:D, "Central")</f>
        <v>1085468</v>
      </c>
    </row>
    <row r="50" spans="5:8" ht="23.25">
      <c r="E50" s="19" t="s">
        <v>193</v>
      </c>
      <c r="F50" s="14"/>
      <c r="G50" s="14"/>
      <c r="H50" s="14"/>
    </row>
  </sheetData>
  <mergeCells count="12">
    <mergeCell ref="B15:H15"/>
    <mergeCell ref="J15:L15"/>
    <mergeCell ref="E32:K32"/>
    <mergeCell ref="E50:H50"/>
    <mergeCell ref="B9:D12"/>
    <mergeCell ref="F9:H12"/>
    <mergeCell ref="J9:L12"/>
    <mergeCell ref="N9:P12"/>
    <mergeCell ref="B13:D13"/>
    <mergeCell ref="F13:H13"/>
    <mergeCell ref="J13:L13"/>
    <mergeCell ref="N13:P13"/>
  </mergeCells>
  <conditionalFormatting sqref="C34:C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CDD9-4141-4420-BB4E-03A8F085519C}">
  <dimension ref="B9:P50"/>
  <sheetViews>
    <sheetView showGridLines="0" tabSelected="1" topLeftCell="C1" workbookViewId="0">
      <selection activeCell="T19" sqref="T19"/>
    </sheetView>
  </sheetViews>
  <sheetFormatPr defaultRowHeight="15"/>
  <cols>
    <col min="2" max="2" width="11.140625" bestFit="1" customWidth="1"/>
    <col min="3" max="3" width="36.5703125" bestFit="1" customWidth="1"/>
    <col min="9" max="9" width="11.140625" bestFit="1" customWidth="1"/>
    <col min="10" max="10" width="13.5703125" bestFit="1" customWidth="1"/>
    <col min="11" max="11" width="20.42578125" bestFit="1" customWidth="1"/>
    <col min="12" max="12" width="15.28515625" bestFit="1" customWidth="1"/>
  </cols>
  <sheetData>
    <row r="9" spans="2:16" ht="15" customHeight="1">
      <c r="B9" s="13">
        <f>Raw_Data!P2</f>
        <v>4694553</v>
      </c>
      <c r="C9" s="9"/>
      <c r="D9" s="9"/>
      <c r="F9" s="9">
        <v>115</v>
      </c>
      <c r="G9" s="9"/>
      <c r="H9" s="9"/>
      <c r="J9" s="15">
        <f>115/123</f>
        <v>0.93495934959349591</v>
      </c>
      <c r="K9" s="16"/>
      <c r="L9" s="16"/>
      <c r="N9" s="18">
        <f>AVERAGEIF(Raw_Data!G:G,"&lt;&gt;0")</f>
        <v>2650.7922077922076</v>
      </c>
      <c r="O9" s="18"/>
      <c r="P9" s="18"/>
    </row>
    <row r="10" spans="2:16" ht="15" customHeight="1">
      <c r="B10" s="9"/>
      <c r="C10" s="9"/>
      <c r="D10" s="9"/>
      <c r="F10" s="9"/>
      <c r="G10" s="9"/>
      <c r="H10" s="9"/>
      <c r="J10" s="16"/>
      <c r="K10" s="16"/>
      <c r="L10" s="16"/>
      <c r="N10" s="18"/>
      <c r="O10" s="18"/>
      <c r="P10" s="18"/>
    </row>
    <row r="11" spans="2:16" ht="15" customHeight="1">
      <c r="B11" s="9"/>
      <c r="C11" s="9"/>
      <c r="D11" s="9"/>
      <c r="F11" s="9"/>
      <c r="G11" s="9"/>
      <c r="H11" s="9"/>
      <c r="J11" s="16"/>
      <c r="K11" s="16"/>
      <c r="L11" s="16"/>
      <c r="N11" s="18"/>
      <c r="O11" s="18"/>
      <c r="P11" s="18"/>
    </row>
    <row r="12" spans="2:16" ht="15" customHeight="1">
      <c r="B12" s="9"/>
      <c r="C12" s="9"/>
      <c r="D12" s="9"/>
      <c r="F12" s="9"/>
      <c r="G12" s="9"/>
      <c r="H12" s="9"/>
      <c r="J12" s="16"/>
      <c r="K12" s="16"/>
      <c r="L12" s="16"/>
      <c r="N12" s="18"/>
      <c r="O12" s="18"/>
      <c r="P12" s="18"/>
    </row>
    <row r="13" spans="2:16">
      <c r="B13" s="10" t="s">
        <v>177</v>
      </c>
      <c r="C13" s="10"/>
      <c r="D13" s="10"/>
      <c r="F13" s="14" t="s">
        <v>178</v>
      </c>
      <c r="G13" s="14"/>
      <c r="H13" s="14"/>
      <c r="J13" s="17" t="s">
        <v>179</v>
      </c>
      <c r="K13" s="17"/>
      <c r="L13" s="17"/>
      <c r="N13" s="10" t="s">
        <v>180</v>
      </c>
      <c r="O13" s="10"/>
      <c r="P13" s="10"/>
    </row>
    <row r="14" spans="2:16" ht="36">
      <c r="C14" s="7"/>
    </row>
    <row r="15" spans="2:16">
      <c r="B15" s="11" t="s">
        <v>181</v>
      </c>
      <c r="C15" s="11"/>
      <c r="D15" s="11"/>
      <c r="E15" s="11"/>
      <c r="F15" s="11"/>
      <c r="G15" s="11"/>
      <c r="H15" s="11"/>
      <c r="J15" s="12" t="s">
        <v>182</v>
      </c>
      <c r="K15" s="12"/>
      <c r="L15" s="12"/>
    </row>
    <row r="16" spans="2:16">
      <c r="J16" t="s">
        <v>183</v>
      </c>
      <c r="K16" s="1" t="s">
        <v>184</v>
      </c>
      <c r="L16" t="s">
        <v>185</v>
      </c>
    </row>
    <row r="17" spans="5:12">
      <c r="J17" t="s">
        <v>153</v>
      </c>
      <c r="K17" s="1">
        <f>_xlfn.MAXIFS(Raw_Data!C:C, Raw_Data!B:B, J17)</f>
        <v>45690</v>
      </c>
      <c r="L17" s="6">
        <v>37163</v>
      </c>
    </row>
    <row r="18" spans="5:12">
      <c r="J18" t="s">
        <v>154</v>
      </c>
      <c r="K18" s="1">
        <f>_xlfn.MAXIFS(Raw_Data!C:C, Raw_Data!B:B, J18)</f>
        <v>45725</v>
      </c>
      <c r="L18" s="6">
        <v>30647</v>
      </c>
    </row>
    <row r="19" spans="5:12">
      <c r="J19" t="s">
        <v>155</v>
      </c>
      <c r="K19" s="1">
        <f>_xlfn.MAXIFS(Raw_Data!C:C, Raw_Data!B:B, J19)</f>
        <v>45698</v>
      </c>
      <c r="L19" s="6">
        <v>29863</v>
      </c>
    </row>
    <row r="20" spans="5:12">
      <c r="J20" t="s">
        <v>156</v>
      </c>
      <c r="K20" s="1">
        <f>_xlfn.MAXIFS(Raw_Data!C:C, Raw_Data!B:B, J20)</f>
        <v>45738</v>
      </c>
      <c r="L20" s="6">
        <v>36670</v>
      </c>
    </row>
    <row r="21" spans="5:12">
      <c r="J21" t="s">
        <v>157</v>
      </c>
      <c r="K21" s="1">
        <f>_xlfn.MAXIFS(Raw_Data!C:C, Raw_Data!B:B, J21)</f>
        <v>45729</v>
      </c>
      <c r="L21" s="6">
        <v>76761</v>
      </c>
    </row>
    <row r="22" spans="5:12">
      <c r="J22" t="s">
        <v>158</v>
      </c>
      <c r="K22" s="1">
        <f>_xlfn.MAXIFS(Raw_Data!C:C, Raw_Data!B:B, J22)</f>
        <v>45740</v>
      </c>
      <c r="L22" s="6">
        <v>54550</v>
      </c>
    </row>
    <row r="23" spans="5:12">
      <c r="J23" t="s">
        <v>159</v>
      </c>
      <c r="K23" s="1">
        <f>_xlfn.MAXIFS(Raw_Data!C:C, Raw_Data!B:B, J23)</f>
        <v>45713</v>
      </c>
      <c r="L23" s="6">
        <v>38502</v>
      </c>
    </row>
    <row r="24" spans="5:12">
      <c r="J24" t="s">
        <v>160</v>
      </c>
      <c r="K24" s="1">
        <f>_xlfn.MAXIFS(Raw_Data!C:C, Raw_Data!B:B, J24)</f>
        <v>45734</v>
      </c>
      <c r="L24" s="6">
        <v>63662</v>
      </c>
    </row>
    <row r="32" spans="5:12">
      <c r="E32" s="11" t="s">
        <v>186</v>
      </c>
      <c r="F32" s="11"/>
      <c r="G32" s="11"/>
      <c r="H32" s="11"/>
      <c r="I32" s="11"/>
      <c r="J32" s="11"/>
      <c r="K32" s="11"/>
    </row>
    <row r="33" spans="2:3">
      <c r="B33" t="s">
        <v>187</v>
      </c>
      <c r="C33" s="8" t="s">
        <v>177</v>
      </c>
    </row>
    <row r="34" spans="2:3">
      <c r="B34" t="s">
        <v>188</v>
      </c>
      <c r="C34" s="2">
        <f>SUMIFS(Raw_Data!G:G, Raw_Data!D:D, "North")</f>
        <v>989801</v>
      </c>
    </row>
    <row r="35" spans="2:3">
      <c r="B35" t="s">
        <v>189</v>
      </c>
      <c r="C35" s="2">
        <f>SUMIFS(Raw_Data!G:G, Raw_Data!D:D, "West")</f>
        <v>947538</v>
      </c>
    </row>
    <row r="36" spans="2:3">
      <c r="B36" t="s">
        <v>190</v>
      </c>
      <c r="C36" s="2">
        <f>SUMIFS(Raw_Data!G:G, Raw_Data!D:D, "East")</f>
        <v>755171</v>
      </c>
    </row>
    <row r="37" spans="2:3">
      <c r="B37" t="s">
        <v>191</v>
      </c>
      <c r="C37" s="2">
        <f>SUMIFS(Raw_Data!G:G, Raw_Data!D:D, "South")</f>
        <v>829556</v>
      </c>
    </row>
    <row r="38" spans="2:3">
      <c r="B38" t="s">
        <v>192</v>
      </c>
      <c r="C38" s="2">
        <f>SUMIFS(Raw_Data!G:G, Raw_Data!D:D, "Central")</f>
        <v>1085468</v>
      </c>
    </row>
    <row r="50" spans="5:8" ht="23.25">
      <c r="E50" s="19" t="s">
        <v>193</v>
      </c>
      <c r="F50" s="14"/>
      <c r="G50" s="14"/>
      <c r="H50" s="14"/>
    </row>
  </sheetData>
  <mergeCells count="12">
    <mergeCell ref="B15:H15"/>
    <mergeCell ref="J15:L15"/>
    <mergeCell ref="E32:K32"/>
    <mergeCell ref="E50:H50"/>
    <mergeCell ref="B9:D12"/>
    <mergeCell ref="F9:H12"/>
    <mergeCell ref="J9:L12"/>
    <mergeCell ref="N9:P12"/>
    <mergeCell ref="B13:D13"/>
    <mergeCell ref="F13:H13"/>
    <mergeCell ref="J13:L13"/>
    <mergeCell ref="N13:P13"/>
  </mergeCells>
  <conditionalFormatting sqref="C34:C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E67D3-BACA-41B6-B214-06584DBFAEEA}">
  <dimension ref="B9:P50"/>
  <sheetViews>
    <sheetView showGridLines="0" topLeftCell="C1" workbookViewId="0">
      <selection activeCell="T19" sqref="T19"/>
    </sheetView>
  </sheetViews>
  <sheetFormatPr defaultRowHeight="15"/>
  <cols>
    <col min="2" max="2" width="11.140625" bestFit="1" customWidth="1"/>
    <col min="3" max="3" width="36.5703125" bestFit="1" customWidth="1"/>
    <col min="9" max="9" width="11.140625" bestFit="1" customWidth="1"/>
    <col min="10" max="10" width="13.5703125" bestFit="1" customWidth="1"/>
    <col min="11" max="11" width="20.42578125" bestFit="1" customWidth="1"/>
    <col min="12" max="12" width="15.28515625" bestFit="1" customWidth="1"/>
  </cols>
  <sheetData>
    <row r="9" spans="2:16" ht="15" customHeight="1">
      <c r="B9" s="13">
        <f>Raw_Data!P2</f>
        <v>4694553</v>
      </c>
      <c r="C9" s="9"/>
      <c r="D9" s="9"/>
      <c r="F9" s="9">
        <v>115</v>
      </c>
      <c r="G9" s="9"/>
      <c r="H9" s="9"/>
      <c r="J9" s="15">
        <f>115/123</f>
        <v>0.93495934959349591</v>
      </c>
      <c r="K9" s="16"/>
      <c r="L9" s="16"/>
      <c r="N9" s="18">
        <f>AVERAGEIF(Raw_Data!G:G,"&lt;&gt;0")</f>
        <v>2650.7922077922076</v>
      </c>
      <c r="O9" s="18"/>
      <c r="P9" s="18"/>
    </row>
    <row r="10" spans="2:16" ht="15" customHeight="1">
      <c r="B10" s="9"/>
      <c r="C10" s="9"/>
      <c r="D10" s="9"/>
      <c r="F10" s="9"/>
      <c r="G10" s="9"/>
      <c r="H10" s="9"/>
      <c r="J10" s="16"/>
      <c r="K10" s="16"/>
      <c r="L10" s="16"/>
      <c r="N10" s="18"/>
      <c r="O10" s="18"/>
      <c r="P10" s="18"/>
    </row>
    <row r="11" spans="2:16" ht="15" customHeight="1">
      <c r="B11" s="9"/>
      <c r="C11" s="9"/>
      <c r="D11" s="9"/>
      <c r="F11" s="9"/>
      <c r="G11" s="9"/>
      <c r="H11" s="9"/>
      <c r="J11" s="16"/>
      <c r="K11" s="16"/>
      <c r="L11" s="16"/>
      <c r="N11" s="18"/>
      <c r="O11" s="18"/>
      <c r="P11" s="18"/>
    </row>
    <row r="12" spans="2:16" ht="15" customHeight="1">
      <c r="B12" s="9"/>
      <c r="C12" s="9"/>
      <c r="D12" s="9"/>
      <c r="F12" s="9"/>
      <c r="G12" s="9"/>
      <c r="H12" s="9"/>
      <c r="J12" s="16"/>
      <c r="K12" s="16"/>
      <c r="L12" s="16"/>
      <c r="N12" s="18"/>
      <c r="O12" s="18"/>
      <c r="P12" s="18"/>
    </row>
    <row r="13" spans="2:16">
      <c r="B13" s="10" t="s">
        <v>177</v>
      </c>
      <c r="C13" s="10"/>
      <c r="D13" s="10"/>
      <c r="F13" s="14" t="s">
        <v>178</v>
      </c>
      <c r="G13" s="14"/>
      <c r="H13" s="14"/>
      <c r="J13" s="17" t="s">
        <v>179</v>
      </c>
      <c r="K13" s="17"/>
      <c r="L13" s="17"/>
      <c r="N13" s="10" t="s">
        <v>180</v>
      </c>
      <c r="O13" s="10"/>
      <c r="P13" s="10"/>
    </row>
    <row r="14" spans="2:16" ht="36">
      <c r="C14" s="7"/>
    </row>
    <row r="15" spans="2:16">
      <c r="B15" s="11" t="s">
        <v>181</v>
      </c>
      <c r="C15" s="11"/>
      <c r="D15" s="11"/>
      <c r="E15" s="11"/>
      <c r="F15" s="11"/>
      <c r="G15" s="11"/>
      <c r="H15" s="11"/>
      <c r="J15" s="12" t="s">
        <v>182</v>
      </c>
      <c r="K15" s="12"/>
      <c r="L15" s="12"/>
    </row>
    <row r="16" spans="2:16">
      <c r="J16" t="s">
        <v>183</v>
      </c>
      <c r="K16" s="1" t="s">
        <v>184</v>
      </c>
      <c r="L16" t="s">
        <v>185</v>
      </c>
    </row>
    <row r="17" spans="5:12">
      <c r="J17" t="s">
        <v>153</v>
      </c>
      <c r="K17" s="1">
        <f>_xlfn.MAXIFS(Raw_Data!C:C, Raw_Data!B:B, J17)</f>
        <v>45690</v>
      </c>
      <c r="L17" s="6">
        <v>37163</v>
      </c>
    </row>
    <row r="18" spans="5:12">
      <c r="J18" t="s">
        <v>154</v>
      </c>
      <c r="K18" s="1">
        <f>_xlfn.MAXIFS(Raw_Data!C:C, Raw_Data!B:B, J18)</f>
        <v>45725</v>
      </c>
      <c r="L18" s="6">
        <v>30647</v>
      </c>
    </row>
    <row r="19" spans="5:12">
      <c r="J19" t="s">
        <v>155</v>
      </c>
      <c r="K19" s="1">
        <f>_xlfn.MAXIFS(Raw_Data!C:C, Raw_Data!B:B, J19)</f>
        <v>45698</v>
      </c>
      <c r="L19" s="6">
        <v>29863</v>
      </c>
    </row>
    <row r="20" spans="5:12">
      <c r="J20" t="s">
        <v>156</v>
      </c>
      <c r="K20" s="1">
        <f>_xlfn.MAXIFS(Raw_Data!C:C, Raw_Data!B:B, J20)</f>
        <v>45738</v>
      </c>
      <c r="L20" s="6">
        <v>36670</v>
      </c>
    </row>
    <row r="21" spans="5:12">
      <c r="J21" t="s">
        <v>157</v>
      </c>
      <c r="K21" s="1">
        <f>_xlfn.MAXIFS(Raw_Data!C:C, Raw_Data!B:B, J21)</f>
        <v>45729</v>
      </c>
      <c r="L21" s="6">
        <v>76761</v>
      </c>
    </row>
    <row r="22" spans="5:12">
      <c r="J22" t="s">
        <v>158</v>
      </c>
      <c r="K22" s="1">
        <f>_xlfn.MAXIFS(Raw_Data!C:C, Raw_Data!B:B, J22)</f>
        <v>45740</v>
      </c>
      <c r="L22" s="6">
        <v>54550</v>
      </c>
    </row>
    <row r="23" spans="5:12">
      <c r="J23" t="s">
        <v>159</v>
      </c>
      <c r="K23" s="1">
        <f>_xlfn.MAXIFS(Raw_Data!C:C, Raw_Data!B:B, J23)</f>
        <v>45713</v>
      </c>
      <c r="L23" s="6">
        <v>38502</v>
      </c>
    </row>
    <row r="24" spans="5:12">
      <c r="J24" t="s">
        <v>160</v>
      </c>
      <c r="K24" s="1">
        <f>_xlfn.MAXIFS(Raw_Data!C:C, Raw_Data!B:B, J24)</f>
        <v>45734</v>
      </c>
      <c r="L24" s="6">
        <v>63662</v>
      </c>
    </row>
    <row r="32" spans="5:12">
      <c r="E32" s="11" t="s">
        <v>186</v>
      </c>
      <c r="F32" s="11"/>
      <c r="G32" s="11"/>
      <c r="H32" s="11"/>
      <c r="I32" s="11"/>
      <c r="J32" s="11"/>
      <c r="K32" s="11"/>
    </row>
    <row r="33" spans="2:3">
      <c r="B33" t="s">
        <v>187</v>
      </c>
      <c r="C33" s="8" t="s">
        <v>177</v>
      </c>
    </row>
    <row r="34" spans="2:3">
      <c r="B34" t="s">
        <v>188</v>
      </c>
      <c r="C34" s="2">
        <f>SUMIFS(Raw_Data!G:G, Raw_Data!D:D, "North")</f>
        <v>989801</v>
      </c>
    </row>
    <row r="35" spans="2:3">
      <c r="B35" t="s">
        <v>189</v>
      </c>
      <c r="C35" s="2">
        <f>SUMIFS(Raw_Data!G:G, Raw_Data!D:D, "West")</f>
        <v>947538</v>
      </c>
    </row>
    <row r="36" spans="2:3">
      <c r="B36" t="s">
        <v>190</v>
      </c>
      <c r="C36" s="2">
        <f>SUMIFS(Raw_Data!G:G, Raw_Data!D:D, "East")</f>
        <v>755171</v>
      </c>
    </row>
    <row r="37" spans="2:3">
      <c r="B37" t="s">
        <v>191</v>
      </c>
      <c r="C37" s="2">
        <f>SUMIFS(Raw_Data!G:G, Raw_Data!D:D, "South")</f>
        <v>829556</v>
      </c>
    </row>
    <row r="38" spans="2:3">
      <c r="B38" t="s">
        <v>192</v>
      </c>
      <c r="C38" s="2">
        <f>SUMIFS(Raw_Data!G:G, Raw_Data!D:D, "Central")</f>
        <v>1085468</v>
      </c>
    </row>
    <row r="50" spans="5:8" ht="23.25">
      <c r="E50" s="19" t="s">
        <v>193</v>
      </c>
      <c r="F50" s="14"/>
      <c r="G50" s="14"/>
      <c r="H50" s="14"/>
    </row>
  </sheetData>
  <mergeCells count="12">
    <mergeCell ref="E50:H50"/>
    <mergeCell ref="N9:P12"/>
    <mergeCell ref="N13:P13"/>
    <mergeCell ref="B15:H15"/>
    <mergeCell ref="E32:K32"/>
    <mergeCell ref="J15:L15"/>
    <mergeCell ref="B9:D12"/>
    <mergeCell ref="B13:D13"/>
    <mergeCell ref="F9:H12"/>
    <mergeCell ref="F13:H13"/>
    <mergeCell ref="J9:L12"/>
    <mergeCell ref="J13:L13"/>
  </mergeCells>
  <conditionalFormatting sqref="C34:C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2026-06-20T09:24:48Z</dcterms:created>
  <dcterms:modified xsi:type="dcterms:W3CDTF">2026-06-21T14:23:43Z</dcterms:modified>
  <cp:category/>
  <cp:contentStatus/>
</cp:coreProperties>
</file>